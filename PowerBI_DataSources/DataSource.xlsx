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ksoszka-my.sharepoint.com/personal/kamil_soszka_ksoszka_onmicrosoft_com/Documents/PowerBI_DataSources/"/>
    </mc:Choice>
  </mc:AlternateContent>
  <xr:revisionPtr revIDLastSave="305" documentId="13_ncr:1_{AEEC8E82-E585-482D-99D2-7EA6C97B32E4}" xr6:coauthVersionLast="47" xr6:coauthVersionMax="47" xr10:uidLastSave="{7474BF09-5FF7-4D4C-9613-4403754AA050}"/>
  <bookViews>
    <workbookView xWindow="-108" yWindow="-108" windowWidth="23256" windowHeight="12576" xr2:uid="{00000000-000D-0000-FFFF-FFFF00000000}"/>
  </bookViews>
  <sheets>
    <sheet name="DataSource" sheetId="6" r:id="rId1"/>
    <sheet name="Prices" sheetId="13" r:id="rId2"/>
    <sheet name="ToCSV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N3" i="6"/>
  <c r="N4" i="6"/>
  <c r="N5" i="6"/>
  <c r="N6" i="6"/>
  <c r="N7" i="6"/>
  <c r="N8" i="6"/>
  <c r="N9" i="6"/>
  <c r="N10" i="6"/>
  <c r="O10" i="6" s="1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O26" i="6" s="1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O42" i="6" s="1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O58" i="6" s="1"/>
  <c r="N59" i="6"/>
  <c r="N60" i="6"/>
  <c r="N61" i="6"/>
  <c r="N62" i="6"/>
  <c r="N63" i="6"/>
  <c r="N64" i="6"/>
  <c r="N65" i="6"/>
  <c r="N66" i="6"/>
  <c r="P66" i="6" s="1"/>
  <c r="N67" i="6"/>
  <c r="N68" i="6"/>
  <c r="N69" i="6"/>
  <c r="N70" i="6"/>
  <c r="N71" i="6"/>
  <c r="N72" i="6"/>
  <c r="N73" i="6"/>
  <c r="N74" i="6"/>
  <c r="O74" i="6" s="1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O90" i="6" s="1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O106" i="6" s="1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O122" i="6" s="1"/>
  <c r="N123" i="6"/>
  <c r="N124" i="6"/>
  <c r="N125" i="6"/>
  <c r="N126" i="6"/>
  <c r="N127" i="6"/>
  <c r="N128" i="6"/>
  <c r="N129" i="6"/>
  <c r="N130" i="6"/>
  <c r="Q130" i="6" s="1"/>
  <c r="N131" i="6"/>
  <c r="N132" i="6"/>
  <c r="N133" i="6"/>
  <c r="N134" i="6"/>
  <c r="N135" i="6"/>
  <c r="N136" i="6"/>
  <c r="N137" i="6"/>
  <c r="N138" i="6"/>
  <c r="O138" i="6" s="1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O154" i="6" s="1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O170" i="6" s="1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O186" i="6" s="1"/>
  <c r="N187" i="6"/>
  <c r="N188" i="6"/>
  <c r="N189" i="6"/>
  <c r="N190" i="6"/>
  <c r="N191" i="6"/>
  <c r="N192" i="6"/>
  <c r="N193" i="6"/>
  <c r="N194" i="6"/>
  <c r="Q194" i="6" s="1"/>
  <c r="N195" i="6"/>
  <c r="N196" i="6"/>
  <c r="N197" i="6"/>
  <c r="N198" i="6"/>
  <c r="N199" i="6"/>
  <c r="N200" i="6"/>
  <c r="N201" i="6"/>
  <c r="N202" i="6"/>
  <c r="O202" i="6" s="1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O221" i="6" s="1"/>
  <c r="N222" i="6"/>
  <c r="O222" i="6" s="1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O237" i="6" s="1"/>
  <c r="N238" i="6"/>
  <c r="O238" i="6" s="1"/>
  <c r="N239" i="6"/>
  <c r="N240" i="6"/>
  <c r="N241" i="6"/>
  <c r="N242" i="6"/>
  <c r="N243" i="6"/>
  <c r="N244" i="6"/>
  <c r="O244" i="6" s="1"/>
  <c r="N245" i="6"/>
  <c r="N246" i="6"/>
  <c r="N247" i="6"/>
  <c r="N248" i="6"/>
  <c r="N249" i="6"/>
  <c r="O249" i="6" s="1"/>
  <c r="N250" i="6"/>
  <c r="N251" i="6"/>
  <c r="N252" i="6"/>
  <c r="N253" i="6"/>
  <c r="N254" i="6"/>
  <c r="O254" i="6" s="1"/>
  <c r="N255" i="6"/>
  <c r="N256" i="6"/>
  <c r="N257" i="6"/>
  <c r="N258" i="6"/>
  <c r="N259" i="6"/>
  <c r="N260" i="6"/>
  <c r="N261" i="6"/>
  <c r="N262" i="6"/>
  <c r="N263" i="6"/>
  <c r="N264" i="6"/>
  <c r="N265" i="6"/>
  <c r="O265" i="6" s="1"/>
  <c r="N266" i="6"/>
  <c r="N267" i="6"/>
  <c r="N268" i="6"/>
  <c r="N269" i="6"/>
  <c r="O269" i="6" s="1"/>
  <c r="N270" i="6"/>
  <c r="O270" i="6" s="1"/>
  <c r="N271" i="6"/>
  <c r="N272" i="6"/>
  <c r="N273" i="6"/>
  <c r="N274" i="6"/>
  <c r="N275" i="6"/>
  <c r="N276" i="6"/>
  <c r="O276" i="6" s="1"/>
  <c r="N277" i="6"/>
  <c r="N278" i="6"/>
  <c r="N279" i="6"/>
  <c r="N280" i="6"/>
  <c r="N281" i="6"/>
  <c r="O281" i="6" s="1"/>
  <c r="N282" i="6"/>
  <c r="N283" i="6"/>
  <c r="N284" i="6"/>
  <c r="N285" i="6"/>
  <c r="N286" i="6"/>
  <c r="O286" i="6" s="1"/>
  <c r="N287" i="6"/>
  <c r="N288" i="6"/>
  <c r="N289" i="6"/>
  <c r="N290" i="6"/>
  <c r="N291" i="6"/>
  <c r="N292" i="6"/>
  <c r="N293" i="6"/>
  <c r="N294" i="6"/>
  <c r="N295" i="6"/>
  <c r="N296" i="6"/>
  <c r="N297" i="6"/>
  <c r="O297" i="6" s="1"/>
  <c r="N298" i="6"/>
  <c r="N299" i="6"/>
  <c r="N300" i="6"/>
  <c r="N301" i="6"/>
  <c r="O301" i="6" s="1"/>
  <c r="N302" i="6"/>
  <c r="O302" i="6" s="1"/>
  <c r="N303" i="6"/>
  <c r="N304" i="6"/>
  <c r="N305" i="6"/>
  <c r="N306" i="6"/>
  <c r="N307" i="6"/>
  <c r="N308" i="6"/>
  <c r="O308" i="6" s="1"/>
  <c r="N309" i="6"/>
  <c r="N310" i="6"/>
  <c r="N311" i="6"/>
  <c r="N312" i="6"/>
  <c r="N313" i="6"/>
  <c r="O313" i="6" s="1"/>
  <c r="N314" i="6"/>
  <c r="O314" i="6" s="1"/>
  <c r="N315" i="6"/>
  <c r="N316" i="6"/>
  <c r="N317" i="6"/>
  <c r="O317" i="6" s="1"/>
  <c r="N318" i="6"/>
  <c r="O318" i="6" s="1"/>
  <c r="N319" i="6"/>
  <c r="N320" i="6"/>
  <c r="N321" i="6"/>
  <c r="N322" i="6"/>
  <c r="Q322" i="6" s="1"/>
  <c r="N323" i="6"/>
  <c r="N324" i="6"/>
  <c r="N325" i="6"/>
  <c r="N326" i="6"/>
  <c r="N327" i="6"/>
  <c r="N328" i="6"/>
  <c r="N329" i="6"/>
  <c r="O329" i="6" s="1"/>
  <c r="N330" i="6"/>
  <c r="N331" i="6"/>
  <c r="N332" i="6"/>
  <c r="N333" i="6"/>
  <c r="N334" i="6"/>
  <c r="O334" i="6" s="1"/>
  <c r="N335" i="6"/>
  <c r="N336" i="6"/>
  <c r="N337" i="6"/>
  <c r="N338" i="6"/>
  <c r="N339" i="6"/>
  <c r="N340" i="6"/>
  <c r="O340" i="6" s="1"/>
  <c r="N341" i="6"/>
  <c r="N342" i="6"/>
  <c r="N343" i="6"/>
  <c r="N344" i="6"/>
  <c r="O344" i="6" s="1"/>
  <c r="N345" i="6"/>
  <c r="N346" i="6"/>
  <c r="N347" i="6"/>
  <c r="N348" i="6"/>
  <c r="N349" i="6"/>
  <c r="N350" i="6"/>
  <c r="N351" i="6"/>
  <c r="N352" i="6"/>
  <c r="N353" i="6"/>
  <c r="P353" i="6" s="1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P369" i="6" s="1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P401" i="6" s="1"/>
  <c r="N402" i="6"/>
  <c r="N403" i="6"/>
  <c r="N404" i="6"/>
  <c r="N405" i="6"/>
  <c r="N406" i="6"/>
  <c r="N407" i="6"/>
  <c r="N408" i="6"/>
  <c r="O408" i="6" s="1"/>
  <c r="N409" i="6"/>
  <c r="N410" i="6"/>
  <c r="N411" i="6"/>
  <c r="N412" i="6"/>
  <c r="N413" i="6"/>
  <c r="N414" i="6"/>
  <c r="N415" i="6"/>
  <c r="N416" i="6"/>
  <c r="N417" i="6"/>
  <c r="P417" i="6" s="1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P433" i="6" s="1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P465" i="6" s="1"/>
  <c r="N466" i="6"/>
  <c r="N467" i="6"/>
  <c r="N468" i="6"/>
  <c r="N469" i="6"/>
  <c r="N470" i="6"/>
  <c r="N471" i="6"/>
  <c r="N472" i="6"/>
  <c r="O472" i="6" s="1"/>
  <c r="N473" i="6"/>
  <c r="N474" i="6"/>
  <c r="N475" i="6"/>
  <c r="N476" i="6"/>
  <c r="N477" i="6"/>
  <c r="N478" i="6"/>
  <c r="N479" i="6"/>
  <c r="N480" i="6"/>
  <c r="N481" i="6"/>
  <c r="P481" i="6" s="1"/>
  <c r="N482" i="6"/>
  <c r="O482" i="6" s="1"/>
  <c r="N483" i="6"/>
  <c r="O483" i="6" s="1"/>
  <c r="N484" i="6"/>
  <c r="N485" i="6"/>
  <c r="O485" i="6" s="1"/>
  <c r="N486" i="6"/>
  <c r="O486" i="6" s="1"/>
  <c r="N487" i="6"/>
  <c r="N488" i="6"/>
  <c r="N489" i="6"/>
  <c r="O489" i="6" s="1"/>
  <c r="N490" i="6"/>
  <c r="O490" i="6" s="1"/>
  <c r="N491" i="6"/>
  <c r="O491" i="6" s="1"/>
  <c r="N492" i="6"/>
  <c r="N493" i="6"/>
  <c r="O493" i="6" s="1"/>
  <c r="N494" i="6"/>
  <c r="O494" i="6" s="1"/>
  <c r="N495" i="6"/>
  <c r="O495" i="6" s="1"/>
  <c r="N496" i="6"/>
  <c r="N497" i="6"/>
  <c r="O497" i="6" s="1"/>
  <c r="N498" i="6"/>
  <c r="O498" i="6" s="1"/>
  <c r="N499" i="6"/>
  <c r="O499" i="6" s="1"/>
  <c r="N500" i="6"/>
  <c r="N501" i="6"/>
  <c r="O501" i="6" s="1"/>
  <c r="N502" i="6"/>
  <c r="O502" i="6" s="1"/>
  <c r="N503" i="6"/>
  <c r="O503" i="6" s="1"/>
  <c r="N504" i="6"/>
  <c r="N505" i="6"/>
  <c r="O505" i="6" s="1"/>
  <c r="N506" i="6"/>
  <c r="O506" i="6" s="1"/>
  <c r="N507" i="6"/>
  <c r="O507" i="6" s="1"/>
  <c r="N508" i="6"/>
  <c r="N509" i="6"/>
  <c r="O509" i="6" s="1"/>
  <c r="N510" i="6"/>
  <c r="N511" i="6"/>
  <c r="O511" i="6" s="1"/>
  <c r="N512" i="6"/>
  <c r="N513" i="6"/>
  <c r="O513" i="6" s="1"/>
  <c r="N514" i="6"/>
  <c r="O514" i="6" s="1"/>
  <c r="N515" i="6"/>
  <c r="O515" i="6" s="1"/>
  <c r="N516" i="6"/>
  <c r="N517" i="6"/>
  <c r="O517" i="6" s="1"/>
  <c r="N518" i="6"/>
  <c r="O518" i="6" s="1"/>
  <c r="N519" i="6"/>
  <c r="N520" i="6"/>
  <c r="N521" i="6"/>
  <c r="O521" i="6" s="1"/>
  <c r="N522" i="6"/>
  <c r="O522" i="6" s="1"/>
  <c r="N523" i="6"/>
  <c r="O523" i="6" s="1"/>
  <c r="N524" i="6"/>
  <c r="N525" i="6"/>
  <c r="O525" i="6" s="1"/>
  <c r="N526" i="6"/>
  <c r="O526" i="6" s="1"/>
  <c r="N527" i="6"/>
  <c r="O527" i="6" s="1"/>
  <c r="N528" i="6"/>
  <c r="N529" i="6"/>
  <c r="O529" i="6" s="1"/>
  <c r="N530" i="6"/>
  <c r="N531" i="6"/>
  <c r="O531" i="6" s="1"/>
  <c r="N532" i="6"/>
  <c r="N533" i="6"/>
  <c r="O533" i="6" s="1"/>
  <c r="N534" i="6"/>
  <c r="O534" i="6" s="1"/>
  <c r="N535" i="6"/>
  <c r="O535" i="6" s="1"/>
  <c r="N536" i="6"/>
  <c r="N537" i="6"/>
  <c r="O537" i="6" s="1"/>
  <c r="N538" i="6"/>
  <c r="O538" i="6" s="1"/>
  <c r="N539" i="6"/>
  <c r="O539" i="6" s="1"/>
  <c r="N540" i="6"/>
  <c r="N541" i="6"/>
  <c r="O541" i="6" s="1"/>
  <c r="N542" i="6"/>
  <c r="O542" i="6" s="1"/>
  <c r="N543" i="6"/>
  <c r="O543" i="6" s="1"/>
  <c r="N544" i="6"/>
  <c r="N545" i="6"/>
  <c r="O545" i="6" s="1"/>
  <c r="N546" i="6"/>
  <c r="O546" i="6" s="1"/>
  <c r="N547" i="6"/>
  <c r="O547" i="6" s="1"/>
  <c r="N548" i="6"/>
  <c r="N549" i="6"/>
  <c r="O549" i="6" s="1"/>
  <c r="N550" i="6"/>
  <c r="O550" i="6" s="1"/>
  <c r="N551" i="6"/>
  <c r="N552" i="6"/>
  <c r="N553" i="6"/>
  <c r="O553" i="6" s="1"/>
  <c r="N554" i="6"/>
  <c r="O554" i="6" s="1"/>
  <c r="N555" i="6"/>
  <c r="O555" i="6" s="1"/>
  <c r="N556" i="6"/>
  <c r="N557" i="6"/>
  <c r="O557" i="6" s="1"/>
  <c r="N558" i="6"/>
  <c r="N559" i="6"/>
  <c r="O559" i="6" s="1"/>
  <c r="N560" i="6"/>
  <c r="N561" i="6"/>
  <c r="O561" i="6" s="1"/>
  <c r="N562" i="6"/>
  <c r="N563" i="6"/>
  <c r="O563" i="6" s="1"/>
  <c r="N564" i="6"/>
  <c r="N565" i="6"/>
  <c r="O565" i="6" s="1"/>
  <c r="N566" i="6"/>
  <c r="O566" i="6" s="1"/>
  <c r="N567" i="6"/>
  <c r="O567" i="6" s="1"/>
  <c r="N568" i="6"/>
  <c r="N569" i="6"/>
  <c r="O569" i="6" s="1"/>
  <c r="N570" i="6"/>
  <c r="N571" i="6"/>
  <c r="O571" i="6" s="1"/>
  <c r="N572" i="6"/>
  <c r="N573" i="6"/>
  <c r="O573" i="6" s="1"/>
  <c r="N574" i="6"/>
  <c r="N575" i="6"/>
  <c r="N576" i="6"/>
  <c r="N577" i="6"/>
  <c r="O577" i="6" s="1"/>
  <c r="N578" i="6"/>
  <c r="O578" i="6" s="1"/>
  <c r="N579" i="6"/>
  <c r="O579" i="6" s="1"/>
  <c r="N580" i="6"/>
  <c r="N581" i="6"/>
  <c r="O581" i="6" s="1"/>
  <c r="N582" i="6"/>
  <c r="O582" i="6" s="1"/>
  <c r="N583" i="6"/>
  <c r="O583" i="6" s="1"/>
  <c r="N584" i="6"/>
  <c r="N585" i="6"/>
  <c r="O585" i="6" s="1"/>
  <c r="N586" i="6"/>
  <c r="O586" i="6" s="1"/>
  <c r="N587" i="6"/>
  <c r="O587" i="6" s="1"/>
  <c r="N588" i="6"/>
  <c r="N589" i="6"/>
  <c r="N590" i="6"/>
  <c r="O590" i="6" s="1"/>
  <c r="N591" i="6"/>
  <c r="O591" i="6" s="1"/>
  <c r="N592" i="6"/>
  <c r="N593" i="6"/>
  <c r="O593" i="6" s="1"/>
  <c r="N594" i="6"/>
  <c r="N595" i="6"/>
  <c r="O595" i="6" s="1"/>
  <c r="N596" i="6"/>
  <c r="N597" i="6"/>
  <c r="O597" i="6" s="1"/>
  <c r="N598" i="6"/>
  <c r="O598" i="6" s="1"/>
  <c r="N599" i="6"/>
  <c r="O599" i="6" s="1"/>
  <c r="N600" i="6"/>
  <c r="N601" i="6"/>
  <c r="O601" i="6" s="1"/>
  <c r="N602" i="6"/>
  <c r="O602" i="6" s="1"/>
  <c r="N603" i="6"/>
  <c r="O603" i="6" s="1"/>
  <c r="N604" i="6"/>
  <c r="N605" i="6"/>
  <c r="O605" i="6" s="1"/>
  <c r="N606" i="6"/>
  <c r="N607" i="6"/>
  <c r="O607" i="6" s="1"/>
  <c r="N608" i="6"/>
  <c r="N609" i="6"/>
  <c r="O609" i="6" s="1"/>
  <c r="N610" i="6"/>
  <c r="O610" i="6" s="1"/>
  <c r="N611" i="6"/>
  <c r="O611" i="6" s="1"/>
  <c r="N612" i="6"/>
  <c r="N613" i="6"/>
  <c r="O613" i="6" s="1"/>
  <c r="N614" i="6"/>
  <c r="O614" i="6" s="1"/>
  <c r="N615" i="6"/>
  <c r="N616" i="6"/>
  <c r="N617" i="6"/>
  <c r="O617" i="6" s="1"/>
  <c r="N618" i="6"/>
  <c r="O618" i="6" s="1"/>
  <c r="N619" i="6"/>
  <c r="O619" i="6" s="1"/>
  <c r="N620" i="6"/>
  <c r="N621" i="6"/>
  <c r="O621" i="6" s="1"/>
  <c r="N622" i="6"/>
  <c r="O622" i="6" s="1"/>
  <c r="N623" i="6"/>
  <c r="O623" i="6" s="1"/>
  <c r="N624" i="6"/>
  <c r="N625" i="6"/>
  <c r="O625" i="6" s="1"/>
  <c r="N626" i="6"/>
  <c r="N627" i="6"/>
  <c r="O627" i="6" s="1"/>
  <c r="N628" i="6"/>
  <c r="N629" i="6"/>
  <c r="O629" i="6" s="1"/>
  <c r="N630" i="6"/>
  <c r="O630" i="6" s="1"/>
  <c r="N631" i="6"/>
  <c r="O631" i="6" s="1"/>
  <c r="N632" i="6"/>
  <c r="N633" i="6"/>
  <c r="O633" i="6" s="1"/>
  <c r="N634" i="6"/>
  <c r="O634" i="6" s="1"/>
  <c r="N635" i="6"/>
  <c r="O635" i="6" s="1"/>
  <c r="N636" i="6"/>
  <c r="N637" i="6"/>
  <c r="O637" i="6" s="1"/>
  <c r="N638" i="6"/>
  <c r="N639" i="6"/>
  <c r="O639" i="6" s="1"/>
  <c r="N640" i="6"/>
  <c r="N641" i="6"/>
  <c r="O641" i="6" s="1"/>
  <c r="N642" i="6"/>
  <c r="O642" i="6" s="1"/>
  <c r="N643" i="6"/>
  <c r="O643" i="6" s="1"/>
  <c r="N644" i="6"/>
  <c r="N645" i="6"/>
  <c r="O645" i="6" s="1"/>
  <c r="N646" i="6"/>
  <c r="O646" i="6" s="1"/>
  <c r="N647" i="6"/>
  <c r="N648" i="6"/>
  <c r="N649" i="6"/>
  <c r="O649" i="6" s="1"/>
  <c r="N650" i="6"/>
  <c r="O650" i="6" s="1"/>
  <c r="N651" i="6"/>
  <c r="O651" i="6" s="1"/>
  <c r="N652" i="6"/>
  <c r="N653" i="6"/>
  <c r="O653" i="6" s="1"/>
  <c r="N654" i="6"/>
  <c r="O654" i="6" s="1"/>
  <c r="N655" i="6"/>
  <c r="O655" i="6" s="1"/>
  <c r="N656" i="6"/>
  <c r="N657" i="6"/>
  <c r="O657" i="6" s="1"/>
  <c r="N658" i="6"/>
  <c r="N659" i="6"/>
  <c r="O659" i="6" s="1"/>
  <c r="N660" i="6"/>
  <c r="N661" i="6"/>
  <c r="O661" i="6" s="1"/>
  <c r="N662" i="6"/>
  <c r="O662" i="6" s="1"/>
  <c r="N663" i="6"/>
  <c r="O663" i="6" s="1"/>
  <c r="N664" i="6"/>
  <c r="N665" i="6"/>
  <c r="O665" i="6" s="1"/>
  <c r="N666" i="6"/>
  <c r="O666" i="6" s="1"/>
  <c r="N667" i="6"/>
  <c r="O667" i="6" s="1"/>
  <c r="N668" i="6"/>
  <c r="N669" i="6"/>
  <c r="O669" i="6" s="1"/>
  <c r="N670" i="6"/>
  <c r="N671" i="6"/>
  <c r="O671" i="6" s="1"/>
  <c r="N672" i="6"/>
  <c r="N673" i="6"/>
  <c r="O673" i="6" s="1"/>
  <c r="N674" i="6"/>
  <c r="O674" i="6" s="1"/>
  <c r="N675" i="6"/>
  <c r="O675" i="6" s="1"/>
  <c r="N676" i="6"/>
  <c r="N677" i="6"/>
  <c r="O677" i="6" s="1"/>
  <c r="N678" i="6"/>
  <c r="N679" i="6"/>
  <c r="N680" i="6"/>
  <c r="N681" i="6"/>
  <c r="O681" i="6" s="1"/>
  <c r="N682" i="6"/>
  <c r="O682" i="6" s="1"/>
  <c r="N683" i="6"/>
  <c r="O683" i="6" s="1"/>
  <c r="N684" i="6"/>
  <c r="N685" i="6"/>
  <c r="O685" i="6" s="1"/>
  <c r="N686" i="6"/>
  <c r="O686" i="6" s="1"/>
  <c r="N687" i="6"/>
  <c r="N688" i="6"/>
  <c r="N689" i="6"/>
  <c r="O689" i="6" s="1"/>
  <c r="N690" i="6"/>
  <c r="N691" i="6"/>
  <c r="O691" i="6" s="1"/>
  <c r="N692" i="6"/>
  <c r="N693" i="6"/>
  <c r="O693" i="6" s="1"/>
  <c r="N694" i="6"/>
  <c r="O694" i="6" s="1"/>
  <c r="N695" i="6"/>
  <c r="O695" i="6" s="1"/>
  <c r="N696" i="6"/>
  <c r="N697" i="6"/>
  <c r="O697" i="6" s="1"/>
  <c r="N698" i="6"/>
  <c r="O698" i="6" s="1"/>
  <c r="N699" i="6"/>
  <c r="O699" i="6" s="1"/>
  <c r="N700" i="6"/>
  <c r="N701" i="6"/>
  <c r="O701" i="6" s="1"/>
  <c r="N702" i="6"/>
  <c r="O702" i="6" s="1"/>
  <c r="N703" i="6"/>
  <c r="N704" i="6"/>
  <c r="O704" i="6" s="1"/>
  <c r="N705" i="6"/>
  <c r="O705" i="6" s="1"/>
  <c r="N706" i="6"/>
  <c r="O706" i="6" s="1"/>
  <c r="N707" i="6"/>
  <c r="N708" i="6"/>
  <c r="N709" i="6"/>
  <c r="O709" i="6" s="1"/>
  <c r="N710" i="6"/>
  <c r="N711" i="6"/>
  <c r="N712" i="6"/>
  <c r="O712" i="6" s="1"/>
  <c r="N713" i="6"/>
  <c r="O713" i="6" s="1"/>
  <c r="N714" i="6"/>
  <c r="O714" i="6" s="1"/>
  <c r="N715" i="6"/>
  <c r="N716" i="6"/>
  <c r="N717" i="6"/>
  <c r="O717" i="6" s="1"/>
  <c r="N718" i="6"/>
  <c r="O718" i="6" s="1"/>
  <c r="N719" i="6"/>
  <c r="N720" i="6"/>
  <c r="O720" i="6" s="1"/>
  <c r="N721" i="6"/>
  <c r="O721" i="6" s="1"/>
  <c r="N722" i="6"/>
  <c r="O722" i="6" s="1"/>
  <c r="N723" i="6"/>
  <c r="N724" i="6"/>
  <c r="N725" i="6"/>
  <c r="O725" i="6" s="1"/>
  <c r="N726" i="6"/>
  <c r="O726" i="6" s="1"/>
  <c r="N727" i="6"/>
  <c r="N728" i="6"/>
  <c r="N729" i="6"/>
  <c r="O729" i="6" s="1"/>
  <c r="N730" i="6"/>
  <c r="O730" i="6" s="1"/>
  <c r="N731" i="6"/>
  <c r="P731" i="6" s="1"/>
  <c r="N732" i="6"/>
  <c r="N733" i="6"/>
  <c r="O733" i="6" s="1"/>
  <c r="N734" i="6"/>
  <c r="O734" i="6" s="1"/>
  <c r="N735" i="6"/>
  <c r="N736" i="6"/>
  <c r="N737" i="6"/>
  <c r="O737" i="6" s="1"/>
  <c r="N738" i="6"/>
  <c r="O738" i="6" s="1"/>
  <c r="N739" i="6"/>
  <c r="N740" i="6"/>
  <c r="Q740" i="6" s="1"/>
  <c r="N741" i="6"/>
  <c r="O741" i="6" s="1"/>
  <c r="N742" i="6"/>
  <c r="O742" i="6" s="1"/>
  <c r="N743" i="6"/>
  <c r="N744" i="6"/>
  <c r="N745" i="6"/>
  <c r="O745" i="6" s="1"/>
  <c r="N746" i="6"/>
  <c r="N747" i="6"/>
  <c r="N748" i="6"/>
  <c r="N749" i="6"/>
  <c r="O749" i="6" s="1"/>
  <c r="N750" i="6"/>
  <c r="O750" i="6" s="1"/>
  <c r="N751" i="6"/>
  <c r="N752" i="6"/>
  <c r="N753" i="6"/>
  <c r="O753" i="6" s="1"/>
  <c r="N754" i="6"/>
  <c r="O754" i="6" s="1"/>
  <c r="N755" i="6"/>
  <c r="N756" i="6"/>
  <c r="N757" i="6"/>
  <c r="O757" i="6" s="1"/>
  <c r="N758" i="6"/>
  <c r="N759" i="6"/>
  <c r="N760" i="6"/>
  <c r="N761" i="6"/>
  <c r="O761" i="6" s="1"/>
  <c r="N762" i="6"/>
  <c r="O762" i="6" s="1"/>
  <c r="N763" i="6"/>
  <c r="P763" i="6" s="1"/>
  <c r="N764" i="6"/>
  <c r="N765" i="6"/>
  <c r="O765" i="6" s="1"/>
  <c r="N766" i="6"/>
  <c r="O766" i="6" s="1"/>
  <c r="N767" i="6"/>
  <c r="N768" i="6"/>
  <c r="N769" i="6"/>
  <c r="O769" i="6" s="1"/>
  <c r="N770" i="6"/>
  <c r="N771" i="6"/>
  <c r="N772" i="6"/>
  <c r="N773" i="6"/>
  <c r="O773" i="6" s="1"/>
  <c r="N774" i="6"/>
  <c r="O774" i="6" s="1"/>
  <c r="N775" i="6"/>
  <c r="N776" i="6"/>
  <c r="N777" i="6"/>
  <c r="O777" i="6" s="1"/>
  <c r="N778" i="6"/>
  <c r="O778" i="6" s="1"/>
  <c r="N779" i="6"/>
  <c r="P779" i="6" s="1"/>
  <c r="N780" i="6"/>
  <c r="N781" i="6"/>
  <c r="O781" i="6" s="1"/>
  <c r="N782" i="6"/>
  <c r="O782" i="6" s="1"/>
  <c r="N783" i="6"/>
  <c r="N784" i="6"/>
  <c r="N785" i="6"/>
  <c r="O785" i="6" s="1"/>
  <c r="N786" i="6"/>
  <c r="O786" i="6" s="1"/>
  <c r="N787" i="6"/>
  <c r="O787" i="6" s="1"/>
  <c r="N788" i="6"/>
  <c r="N789" i="6"/>
  <c r="O789" i="6" s="1"/>
  <c r="N790" i="6"/>
  <c r="O790" i="6" s="1"/>
  <c r="N791" i="6"/>
  <c r="O791" i="6" s="1"/>
  <c r="N792" i="6"/>
  <c r="N793" i="6"/>
  <c r="O793" i="6" s="1"/>
  <c r="N794" i="6"/>
  <c r="N795" i="6"/>
  <c r="O795" i="6" s="1"/>
  <c r="N796" i="6"/>
  <c r="N797" i="6"/>
  <c r="O797" i="6" s="1"/>
  <c r="N798" i="6"/>
  <c r="O798" i="6" s="1"/>
  <c r="N799" i="6"/>
  <c r="O799" i="6" s="1"/>
  <c r="N800" i="6"/>
  <c r="N801" i="6"/>
  <c r="O801" i="6" s="1"/>
  <c r="N802" i="6"/>
  <c r="O802" i="6" s="1"/>
  <c r="N803" i="6"/>
  <c r="O803" i="6" s="1"/>
  <c r="N804" i="6"/>
  <c r="P804" i="6" s="1"/>
  <c r="N805" i="6"/>
  <c r="O805" i="6" s="1"/>
  <c r="N806" i="6"/>
  <c r="O806" i="6" s="1"/>
  <c r="N807" i="6"/>
  <c r="O807" i="6" s="1"/>
  <c r="N808" i="6"/>
  <c r="N809" i="6"/>
  <c r="O809" i="6" s="1"/>
  <c r="N810" i="6"/>
  <c r="N811" i="6"/>
  <c r="O811" i="6" s="1"/>
  <c r="N812" i="6"/>
  <c r="N813" i="6"/>
  <c r="N814" i="6"/>
  <c r="O814" i="6" s="1"/>
  <c r="N815" i="6"/>
  <c r="N816" i="6"/>
  <c r="O816" i="6" s="1"/>
  <c r="N817" i="6"/>
  <c r="O817" i="6" s="1"/>
  <c r="N818" i="6"/>
  <c r="N819" i="6"/>
  <c r="O819" i="6" s="1"/>
  <c r="N820" i="6"/>
  <c r="N821" i="6"/>
  <c r="O821" i="6" s="1"/>
  <c r="N822" i="6"/>
  <c r="O822" i="6" s="1"/>
  <c r="N823" i="6"/>
  <c r="O823" i="6" s="1"/>
  <c r="N824" i="6"/>
  <c r="O824" i="6" s="1"/>
  <c r="N825" i="6"/>
  <c r="O825" i="6" s="1"/>
  <c r="N826" i="6"/>
  <c r="O826" i="6" s="1"/>
  <c r="N827" i="6"/>
  <c r="O827" i="6" s="1"/>
  <c r="N828" i="6"/>
  <c r="N829" i="6"/>
  <c r="N830" i="6"/>
  <c r="O830" i="6" s="1"/>
  <c r="N831" i="6"/>
  <c r="N832" i="6"/>
  <c r="O832" i="6" s="1"/>
  <c r="N833" i="6"/>
  <c r="O833" i="6" s="1"/>
  <c r="N834" i="6"/>
  <c r="N835" i="6"/>
  <c r="O835" i="6" s="1"/>
  <c r="N836" i="6"/>
  <c r="N837" i="6"/>
  <c r="O837" i="6" s="1"/>
  <c r="N838" i="6"/>
  <c r="O838" i="6" s="1"/>
  <c r="N839" i="6"/>
  <c r="O839" i="6" s="1"/>
  <c r="N840" i="6"/>
  <c r="O840" i="6" s="1"/>
  <c r="N841" i="6"/>
  <c r="O841" i="6" s="1"/>
  <c r="N842" i="6"/>
  <c r="N843" i="6"/>
  <c r="O843" i="6" s="1"/>
  <c r="N844" i="6"/>
  <c r="N845" i="6"/>
  <c r="N846" i="6"/>
  <c r="O846" i="6" s="1"/>
  <c r="N847" i="6"/>
  <c r="O847" i="6" s="1"/>
  <c r="N848" i="6"/>
  <c r="O848" i="6" s="1"/>
  <c r="N849" i="6"/>
  <c r="O849" i="6" s="1"/>
  <c r="N850" i="6"/>
  <c r="N851" i="6"/>
  <c r="O851" i="6" s="1"/>
  <c r="N852" i="6"/>
  <c r="N853" i="6"/>
  <c r="N854" i="6"/>
  <c r="N855" i="6"/>
  <c r="O855" i="6" s="1"/>
  <c r="N856" i="6"/>
  <c r="N857" i="6"/>
  <c r="N858" i="6"/>
  <c r="N859" i="6"/>
  <c r="O859" i="6" s="1"/>
  <c r="N860" i="6"/>
  <c r="N861" i="6"/>
  <c r="N862" i="6"/>
  <c r="N863" i="6"/>
  <c r="O863" i="6" s="1"/>
  <c r="N864" i="6"/>
  <c r="N865" i="6"/>
  <c r="Q865" i="6" s="1"/>
  <c r="N866" i="6"/>
  <c r="N867" i="6"/>
  <c r="O867" i="6" s="1"/>
  <c r="N868" i="6"/>
  <c r="N869" i="6"/>
  <c r="N870" i="6"/>
  <c r="N871" i="6"/>
  <c r="O871" i="6" s="1"/>
  <c r="N872" i="6"/>
  <c r="N873" i="6"/>
  <c r="N874" i="6"/>
  <c r="N875" i="6"/>
  <c r="O875" i="6" s="1"/>
  <c r="N876" i="6"/>
  <c r="N877" i="6"/>
  <c r="N878" i="6"/>
  <c r="N879" i="6"/>
  <c r="O879" i="6" s="1"/>
  <c r="N880" i="6"/>
  <c r="N881" i="6"/>
  <c r="O881" i="6" s="1"/>
  <c r="N882" i="6"/>
  <c r="N883" i="6"/>
  <c r="N884" i="6"/>
  <c r="Q884" i="6" s="1"/>
  <c r="N885" i="6"/>
  <c r="O885" i="6" s="1"/>
  <c r="N886" i="6"/>
  <c r="N887" i="6"/>
  <c r="N888" i="6"/>
  <c r="N889" i="6"/>
  <c r="O889" i="6" s="1"/>
  <c r="N890" i="6"/>
  <c r="N891" i="6"/>
  <c r="N892" i="6"/>
  <c r="N893" i="6"/>
  <c r="N894" i="6"/>
  <c r="N895" i="6"/>
  <c r="N896" i="6"/>
  <c r="N897" i="6"/>
  <c r="O897" i="6" s="1"/>
  <c r="N898" i="6"/>
  <c r="N899" i="6"/>
  <c r="O899" i="6" s="1"/>
  <c r="N900" i="6"/>
  <c r="N901" i="6"/>
  <c r="O901" i="6" s="1"/>
  <c r="N902" i="6"/>
  <c r="N903" i="6"/>
  <c r="N904" i="6"/>
  <c r="N905" i="6"/>
  <c r="O905" i="6" s="1"/>
  <c r="N906" i="6"/>
  <c r="Q906" i="6" s="1"/>
  <c r="N907" i="6"/>
  <c r="N908" i="6"/>
  <c r="P908" i="6" s="1"/>
  <c r="N909" i="6"/>
  <c r="N910" i="6"/>
  <c r="N911" i="6"/>
  <c r="N912" i="6"/>
  <c r="N913" i="6"/>
  <c r="O913" i="6" s="1"/>
  <c r="N914" i="6"/>
  <c r="N915" i="6"/>
  <c r="N916" i="6"/>
  <c r="N917" i="6"/>
  <c r="O917" i="6" s="1"/>
  <c r="N918" i="6"/>
  <c r="N919" i="6"/>
  <c r="P919" i="6" s="1"/>
  <c r="N920" i="6"/>
  <c r="N921" i="6"/>
  <c r="O921" i="6" s="1"/>
  <c r="N922" i="6"/>
  <c r="N923" i="6"/>
  <c r="N924" i="6"/>
  <c r="N925" i="6"/>
  <c r="N926" i="6"/>
  <c r="N927" i="6"/>
  <c r="N928" i="6"/>
  <c r="N929" i="6"/>
  <c r="O929" i="6" s="1"/>
  <c r="N930" i="6"/>
  <c r="N931" i="6"/>
  <c r="N932" i="6"/>
  <c r="N933" i="6"/>
  <c r="O933" i="6" s="1"/>
  <c r="N934" i="6"/>
  <c r="N935" i="6"/>
  <c r="N936" i="6"/>
  <c r="N937" i="6"/>
  <c r="O937" i="6" s="1"/>
  <c r="N938" i="6"/>
  <c r="Q938" i="6" s="1"/>
  <c r="N939" i="6"/>
  <c r="N940" i="6"/>
  <c r="N941" i="6"/>
  <c r="N942" i="6"/>
  <c r="N943" i="6"/>
  <c r="N944" i="6"/>
  <c r="N945" i="6"/>
  <c r="O945" i="6" s="1"/>
  <c r="N946" i="6"/>
  <c r="N947" i="6"/>
  <c r="P947" i="6" s="1"/>
  <c r="N948" i="6"/>
  <c r="P948" i="6" s="1"/>
  <c r="N949" i="6"/>
  <c r="O949" i="6" s="1"/>
  <c r="N950" i="6"/>
  <c r="O950" i="6" s="1"/>
  <c r="N951" i="6"/>
  <c r="N952" i="6"/>
  <c r="N953" i="6"/>
  <c r="O953" i="6" s="1"/>
  <c r="N954" i="6"/>
  <c r="O954" i="6" s="1"/>
  <c r="N955" i="6"/>
  <c r="P955" i="6" s="1"/>
  <c r="N956" i="6"/>
  <c r="P956" i="6" s="1"/>
  <c r="N957" i="6"/>
  <c r="O957" i="6" s="1"/>
  <c r="N958" i="6"/>
  <c r="O958" i="6" s="1"/>
  <c r="N959" i="6"/>
  <c r="N960" i="6"/>
  <c r="N961" i="6"/>
  <c r="O961" i="6" s="1"/>
  <c r="N962" i="6"/>
  <c r="O962" i="6" s="1"/>
  <c r="N963" i="6"/>
  <c r="P963" i="6" s="1"/>
  <c r="N964" i="6"/>
  <c r="O964" i="6" s="1"/>
  <c r="N965" i="6"/>
  <c r="O965" i="6" s="1"/>
  <c r="N966" i="6"/>
  <c r="O966" i="6" s="1"/>
  <c r="N967" i="6"/>
  <c r="N968" i="6"/>
  <c r="N969" i="6"/>
  <c r="O969" i="6" s="1"/>
  <c r="N970" i="6"/>
  <c r="O970" i="6" s="1"/>
  <c r="N971" i="6"/>
  <c r="P971" i="6" s="1"/>
  <c r="N972" i="6"/>
  <c r="P972" i="6" s="1"/>
  <c r="N973" i="6"/>
  <c r="O973" i="6" s="1"/>
  <c r="N974" i="6"/>
  <c r="N975" i="6"/>
  <c r="N976" i="6"/>
  <c r="N977" i="6"/>
  <c r="O977" i="6" s="1"/>
  <c r="N978" i="6"/>
  <c r="O978" i="6" s="1"/>
  <c r="N979" i="6"/>
  <c r="P979" i="6" s="1"/>
  <c r="N980" i="6"/>
  <c r="P980" i="6" s="1"/>
  <c r="N981" i="6"/>
  <c r="O981" i="6" s="1"/>
  <c r="N982" i="6"/>
  <c r="N983" i="6"/>
  <c r="O983" i="6" s="1"/>
  <c r="N984" i="6"/>
  <c r="N985" i="6"/>
  <c r="O985" i="6" s="1"/>
  <c r="N986" i="6"/>
  <c r="O986" i="6" s="1"/>
  <c r="N987" i="6"/>
  <c r="P987" i="6" s="1"/>
  <c r="N988" i="6"/>
  <c r="P988" i="6" s="1"/>
  <c r="N989" i="6"/>
  <c r="O989" i="6" s="1"/>
  <c r="N990" i="6"/>
  <c r="O990" i="6" s="1"/>
  <c r="N991" i="6"/>
  <c r="N992" i="6"/>
  <c r="N993" i="6"/>
  <c r="O993" i="6" s="1"/>
  <c r="N994" i="6"/>
  <c r="Q994" i="6" s="1"/>
  <c r="N995" i="6"/>
  <c r="P995" i="6" s="1"/>
  <c r="N996" i="6"/>
  <c r="P996" i="6" s="1"/>
  <c r="N997" i="6"/>
  <c r="Q997" i="6" s="1"/>
  <c r="N998" i="6"/>
  <c r="O998" i="6" s="1"/>
  <c r="N999" i="6"/>
  <c r="O999" i="6" s="1"/>
  <c r="N1000" i="6"/>
  <c r="N1001" i="6"/>
  <c r="Q1001" i="6" s="1"/>
  <c r="N1002" i="6"/>
  <c r="O1002" i="6" s="1"/>
  <c r="N1003" i="6"/>
  <c r="O1003" i="6" s="1"/>
  <c r="N1004" i="6"/>
  <c r="N1005" i="6"/>
  <c r="N1006" i="6"/>
  <c r="O1006" i="6" s="1"/>
  <c r="N1007" i="6"/>
  <c r="O1007" i="6" s="1"/>
  <c r="N1008" i="6"/>
  <c r="P1008" i="6" s="1"/>
  <c r="N1009" i="6"/>
  <c r="Q1009" i="6" s="1"/>
  <c r="N1010" i="6"/>
  <c r="O1010" i="6" s="1"/>
  <c r="N1011" i="6"/>
  <c r="P1011" i="6" s="1"/>
  <c r="N1012" i="6"/>
  <c r="Q1012" i="6" s="1"/>
  <c r="N1013" i="6"/>
  <c r="Q1013" i="6" s="1"/>
  <c r="N1014" i="6"/>
  <c r="O1014" i="6" s="1"/>
  <c r="N1015" i="6"/>
  <c r="N1016" i="6"/>
  <c r="N1017" i="6"/>
  <c r="P1017" i="6" s="1"/>
  <c r="N1018" i="6"/>
  <c r="N1019" i="6"/>
  <c r="P1019" i="6" s="1"/>
  <c r="N1020" i="6"/>
  <c r="N1021" i="6"/>
  <c r="O1021" i="6" s="1"/>
  <c r="N1022" i="6"/>
  <c r="N1023" i="6"/>
  <c r="N1024" i="6"/>
  <c r="N1025" i="6"/>
  <c r="Q1025" i="6" s="1"/>
  <c r="N1026" i="6"/>
  <c r="N1027" i="6"/>
  <c r="P1027" i="6" s="1"/>
  <c r="N1028" i="6"/>
  <c r="N1029" i="6"/>
  <c r="Q1029" i="6" s="1"/>
  <c r="N1030" i="6"/>
  <c r="N1031" i="6"/>
  <c r="N1032" i="6"/>
  <c r="N1033" i="6"/>
  <c r="P1033" i="6" s="1"/>
  <c r="N1034" i="6"/>
  <c r="N1035" i="6"/>
  <c r="N1036" i="6"/>
  <c r="N1037" i="6"/>
  <c r="O1037" i="6" s="1"/>
  <c r="N1038" i="6"/>
  <c r="N1039" i="6"/>
  <c r="N1040" i="6"/>
  <c r="N1041" i="6"/>
  <c r="Q1041" i="6" s="1"/>
  <c r="N1042" i="6"/>
  <c r="N1043" i="6"/>
  <c r="O1043" i="6" s="1"/>
  <c r="N1044" i="6"/>
  <c r="O1044" i="6" s="1"/>
  <c r="N1045" i="6"/>
  <c r="P1045" i="6" s="1"/>
  <c r="N1046" i="6"/>
  <c r="N1047" i="6"/>
  <c r="N1048" i="6"/>
  <c r="N1049" i="6"/>
  <c r="Q1049" i="6" s="1"/>
  <c r="N1050" i="6"/>
  <c r="N1051" i="6"/>
  <c r="O1051" i="6" s="1"/>
  <c r="N1052" i="6"/>
  <c r="O1052" i="6" s="1"/>
  <c r="N1053" i="6"/>
  <c r="O1053" i="6" s="1"/>
  <c r="N1054" i="6"/>
  <c r="N1055" i="6"/>
  <c r="N1056" i="6"/>
  <c r="N1057" i="6"/>
  <c r="Q1057" i="6" s="1"/>
  <c r="N1058" i="6"/>
  <c r="N1059" i="6"/>
  <c r="P1059" i="6" s="1"/>
  <c r="N1060" i="6"/>
  <c r="O1060" i="6" s="1"/>
  <c r="N1061" i="6"/>
  <c r="Q1061" i="6" s="1"/>
  <c r="N1062" i="6"/>
  <c r="N1063" i="6"/>
  <c r="N1064" i="6"/>
  <c r="O1064" i="6" s="1"/>
  <c r="N1065" i="6"/>
  <c r="Q1065" i="6" s="1"/>
  <c r="N1066" i="6"/>
  <c r="N1067" i="6"/>
  <c r="N1068" i="6"/>
  <c r="O1068" i="6" s="1"/>
  <c r="N1069" i="6"/>
  <c r="O1069" i="6" s="1"/>
  <c r="N1070" i="6"/>
  <c r="N1071" i="6"/>
  <c r="N1072" i="6"/>
  <c r="N1073" i="6"/>
  <c r="P1073" i="6" s="1"/>
  <c r="N1074" i="6"/>
  <c r="N1075" i="6"/>
  <c r="P1075" i="6" s="1"/>
  <c r="N1076" i="6"/>
  <c r="N1077" i="6"/>
  <c r="Q1077" i="6" s="1"/>
  <c r="N1078" i="6"/>
  <c r="N1079" i="6"/>
  <c r="P1079" i="6" s="1"/>
  <c r="N1080" i="6"/>
  <c r="N1081" i="6"/>
  <c r="P1081" i="6" s="1"/>
  <c r="N1082" i="6"/>
  <c r="N1083" i="6"/>
  <c r="P1083" i="6" s="1"/>
  <c r="N1084" i="6"/>
  <c r="Q1084" i="6" s="1"/>
  <c r="N1085" i="6"/>
  <c r="O1085" i="6" s="1"/>
  <c r="N1086" i="6"/>
  <c r="N1087" i="6"/>
  <c r="O1087" i="6" s="1"/>
  <c r="N1088" i="6"/>
  <c r="N1089" i="6"/>
  <c r="O1089" i="6" s="1"/>
  <c r="N1090" i="6"/>
  <c r="O1090" i="6" s="1"/>
  <c r="N1091" i="6"/>
  <c r="O1091" i="6" s="1"/>
  <c r="N1092" i="6"/>
  <c r="O1092" i="6" s="1"/>
  <c r="N1093" i="6"/>
  <c r="O1093" i="6" s="1"/>
  <c r="N1094" i="6"/>
  <c r="N1095" i="6"/>
  <c r="O1095" i="6" s="1"/>
  <c r="N1096" i="6"/>
  <c r="O1096" i="6" s="1"/>
  <c r="N1097" i="6"/>
  <c r="O1097" i="6" s="1"/>
  <c r="N1098" i="6"/>
  <c r="N1099" i="6"/>
  <c r="N1100" i="6"/>
  <c r="O1100" i="6" s="1"/>
  <c r="N1101" i="6"/>
  <c r="O1101" i="6" s="1"/>
  <c r="N1102" i="6"/>
  <c r="N1103" i="6"/>
  <c r="O1103" i="6" s="1"/>
  <c r="N1104" i="6"/>
  <c r="O1104" i="6" s="1"/>
  <c r="N1105" i="6"/>
  <c r="P1105" i="6" s="1"/>
  <c r="N1106" i="6"/>
  <c r="N1107" i="6"/>
  <c r="O1107" i="6" s="1"/>
  <c r="N1108" i="6"/>
  <c r="O1108" i="6" s="1"/>
  <c r="N1109" i="6"/>
  <c r="P1109" i="6" s="1"/>
  <c r="N1110" i="6"/>
  <c r="N1111" i="6"/>
  <c r="P1111" i="6" s="1"/>
  <c r="N1112" i="6"/>
  <c r="N1113" i="6"/>
  <c r="P1113" i="6" s="1"/>
  <c r="N1114" i="6"/>
  <c r="N1115" i="6"/>
  <c r="P1115" i="6" s="1"/>
  <c r="N1116" i="6"/>
  <c r="O1116" i="6" s="1"/>
  <c r="N1117" i="6"/>
  <c r="N1118" i="6"/>
  <c r="O1118" i="6" s="1"/>
  <c r="N1119" i="6"/>
  <c r="N1120" i="6"/>
  <c r="N1121" i="6"/>
  <c r="P1121" i="6" s="1"/>
  <c r="N1122" i="6"/>
  <c r="N1123" i="6"/>
  <c r="P1123" i="6" s="1"/>
  <c r="N1124" i="6"/>
  <c r="N1125" i="6"/>
  <c r="O1125" i="6" s="1"/>
  <c r="N1126" i="6"/>
  <c r="O1126" i="6" s="1"/>
  <c r="N1127" i="6"/>
  <c r="P1127" i="6" s="1"/>
  <c r="N1128" i="6"/>
  <c r="N1129" i="6"/>
  <c r="P1129" i="6" s="1"/>
  <c r="N1130" i="6"/>
  <c r="N1131" i="6"/>
  <c r="P1131" i="6" s="1"/>
  <c r="N1132" i="6"/>
  <c r="Q1132" i="6" s="1"/>
  <c r="N1133" i="6"/>
  <c r="O1133" i="6" s="1"/>
  <c r="N1134" i="6"/>
  <c r="N1135" i="6"/>
  <c r="O1135" i="6" s="1"/>
  <c r="N1136" i="6"/>
  <c r="O1136" i="6" s="1"/>
  <c r="N1137" i="6"/>
  <c r="O1137" i="6" s="1"/>
  <c r="N1138" i="6"/>
  <c r="N1139" i="6"/>
  <c r="P1139" i="6" s="1"/>
  <c r="N1140" i="6"/>
  <c r="O1140" i="6" s="1"/>
  <c r="N1141" i="6"/>
  <c r="O1141" i="6" s="1"/>
  <c r="N1142" i="6"/>
  <c r="N1143" i="6"/>
  <c r="O1143" i="6" s="1"/>
  <c r="N1144" i="6"/>
  <c r="N1145" i="6"/>
  <c r="O1145" i="6" s="1"/>
  <c r="N1146" i="6"/>
  <c r="O1146" i="6" s="1"/>
  <c r="N1147" i="6"/>
  <c r="P1147" i="6" s="1"/>
  <c r="N1148" i="6"/>
  <c r="O1148" i="6" s="1"/>
  <c r="N1149" i="6"/>
  <c r="P1149" i="6" s="1"/>
  <c r="N1150" i="6"/>
  <c r="O1150" i="6" s="1"/>
  <c r="N1151" i="6"/>
  <c r="O1151" i="6" s="1"/>
  <c r="N1152" i="6"/>
  <c r="P1152" i="6" s="1"/>
  <c r="N1153" i="6"/>
  <c r="O1153" i="6" s="1"/>
  <c r="N1154" i="6"/>
  <c r="N1155" i="6"/>
  <c r="P1155" i="6" s="1"/>
  <c r="N1156" i="6"/>
  <c r="O1156" i="6" s="1"/>
  <c r="N1157" i="6"/>
  <c r="O1157" i="6" s="1"/>
  <c r="N1158" i="6"/>
  <c r="O1158" i="6" s="1"/>
  <c r="N1159" i="6"/>
  <c r="P1159" i="6" s="1"/>
  <c r="N1160" i="6"/>
  <c r="P1160" i="6" s="1"/>
  <c r="N1161" i="6"/>
  <c r="O1161" i="6" s="1"/>
  <c r="N1162" i="6"/>
  <c r="N1163" i="6"/>
  <c r="N1164" i="6"/>
  <c r="O1164" i="6" s="1"/>
  <c r="N1165" i="6"/>
  <c r="O1165" i="6" s="1"/>
  <c r="N1166" i="6"/>
  <c r="O1166" i="6" s="1"/>
  <c r="N1167" i="6"/>
  <c r="P1167" i="6" s="1"/>
  <c r="N1168" i="6"/>
  <c r="P1168" i="6" s="1"/>
  <c r="N1169" i="6"/>
  <c r="O1169" i="6" s="1"/>
  <c r="N1170" i="6"/>
  <c r="O1170" i="6" s="1"/>
  <c r="N1171" i="6"/>
  <c r="P1171" i="6" s="1"/>
  <c r="N1172" i="6"/>
  <c r="N1173" i="6"/>
  <c r="P1173" i="6" s="1"/>
  <c r="N1174" i="6"/>
  <c r="O1174" i="6" s="1"/>
  <c r="N1175" i="6"/>
  <c r="P1175" i="6" s="1"/>
  <c r="N1176" i="6"/>
  <c r="O1176" i="6" s="1"/>
  <c r="N1177" i="6"/>
  <c r="O1177" i="6" s="1"/>
  <c r="N1178" i="6"/>
  <c r="O1178" i="6" s="1"/>
  <c r="N1179" i="6"/>
  <c r="P1179" i="6" s="1"/>
  <c r="N1180" i="6"/>
  <c r="O1180" i="6" s="1"/>
  <c r="N1181" i="6"/>
  <c r="O1181" i="6" s="1"/>
  <c r="N1182" i="6"/>
  <c r="O1182" i="6" s="1"/>
  <c r="N1183" i="6"/>
  <c r="P1183" i="6" s="1"/>
  <c r="N1184" i="6"/>
  <c r="Q1184" i="6" s="1"/>
  <c r="N1185" i="6"/>
  <c r="P1185" i="6" s="1"/>
  <c r="N1186" i="6"/>
  <c r="O1186" i="6" s="1"/>
  <c r="N1187" i="6"/>
  <c r="P1187" i="6" s="1"/>
  <c r="N1188" i="6"/>
  <c r="O1188" i="6" s="1"/>
  <c r="N1189" i="6"/>
  <c r="O1189" i="6" s="1"/>
  <c r="N1190" i="6"/>
  <c r="O1190" i="6" s="1"/>
  <c r="N1191" i="6"/>
  <c r="P1191" i="6" s="1"/>
  <c r="N1192" i="6"/>
  <c r="O1192" i="6" s="1"/>
  <c r="N1193" i="6"/>
  <c r="O1193" i="6" s="1"/>
  <c r="N1194" i="6"/>
  <c r="O1194" i="6" s="1"/>
  <c r="N1195" i="6"/>
  <c r="P1195" i="6" s="1"/>
  <c r="N1196" i="6"/>
  <c r="O1196" i="6" s="1"/>
  <c r="N1197" i="6"/>
  <c r="O1197" i="6" s="1"/>
  <c r="N1198" i="6"/>
  <c r="O1198" i="6" s="1"/>
  <c r="N1199" i="6"/>
  <c r="P1199" i="6" s="1"/>
  <c r="N1200" i="6"/>
  <c r="O1200" i="6" s="1"/>
  <c r="N1201" i="6"/>
  <c r="O1201" i="6" s="1"/>
  <c r="N1202" i="6"/>
  <c r="O1202" i="6" s="1"/>
  <c r="N1203" i="6"/>
  <c r="P1203" i="6" s="1"/>
  <c r="N1204" i="6"/>
  <c r="N1205" i="6"/>
  <c r="P1205" i="6" s="1"/>
  <c r="N1206" i="6"/>
  <c r="N1207" i="6"/>
  <c r="P1207" i="6" s="1"/>
  <c r="N1208" i="6"/>
  <c r="O1208" i="6" s="1"/>
  <c r="N1209" i="6"/>
  <c r="P1209" i="6" s="1"/>
  <c r="N1210" i="6"/>
  <c r="O1210" i="6" s="1"/>
  <c r="N1211" i="6"/>
  <c r="P1211" i="6" s="1"/>
  <c r="N1212" i="6"/>
  <c r="N1213" i="6"/>
  <c r="O1213" i="6" s="1"/>
  <c r="N1214" i="6"/>
  <c r="O1214" i="6" s="1"/>
  <c r="N1215" i="6"/>
  <c r="P1215" i="6" s="1"/>
  <c r="N1216" i="6"/>
  <c r="O1216" i="6" s="1"/>
  <c r="N1217" i="6"/>
  <c r="O1217" i="6" s="1"/>
  <c r="N1218" i="6"/>
  <c r="O1218" i="6" s="1"/>
  <c r="N1219" i="6"/>
  <c r="P1219" i="6" s="1"/>
  <c r="N1220" i="6"/>
  <c r="N1221" i="6"/>
  <c r="O1221" i="6" s="1"/>
  <c r="N1222" i="6"/>
  <c r="O1222" i="6" s="1"/>
  <c r="N1223" i="6"/>
  <c r="N1224" i="6"/>
  <c r="N1225" i="6"/>
  <c r="N1226" i="6"/>
  <c r="O1226" i="6" s="1"/>
  <c r="N1227" i="6"/>
  <c r="P1227" i="6" s="1"/>
  <c r="N1228" i="6"/>
  <c r="P1228" i="6" s="1"/>
  <c r="N1229" i="6"/>
  <c r="N1230" i="6"/>
  <c r="O1230" i="6" s="1"/>
  <c r="N1231" i="6"/>
  <c r="N1232" i="6"/>
  <c r="O1232" i="6" s="1"/>
  <c r="N1233" i="6"/>
  <c r="P1233" i="6" s="1"/>
  <c r="N1234" i="6"/>
  <c r="O1234" i="6" s="1"/>
  <c r="N1235" i="6"/>
  <c r="O1235" i="6" s="1"/>
  <c r="N1236" i="6"/>
  <c r="P1236" i="6" s="1"/>
  <c r="N1237" i="6"/>
  <c r="P1237" i="6" s="1"/>
  <c r="N1238" i="6"/>
  <c r="O1238" i="6" s="1"/>
  <c r="N1239" i="6"/>
  <c r="N1240" i="6"/>
  <c r="N1241" i="6"/>
  <c r="P1241" i="6" s="1"/>
  <c r="N1242" i="6"/>
  <c r="N1243" i="6"/>
  <c r="P1243" i="6" s="1"/>
  <c r="N1244" i="6"/>
  <c r="N1245" i="6"/>
  <c r="O1245" i="6" s="1"/>
  <c r="N1246" i="6"/>
  <c r="N1247" i="6"/>
  <c r="N1248" i="6"/>
  <c r="Q1248" i="6" s="1"/>
  <c r="N1249" i="6"/>
  <c r="O1249" i="6" s="1"/>
  <c r="N1250" i="6"/>
  <c r="N1251" i="6"/>
  <c r="P1251" i="6" s="1"/>
  <c r="N1252" i="6"/>
  <c r="O1252" i="6" s="1"/>
  <c r="N1253" i="6"/>
  <c r="O1253" i="6" s="1"/>
  <c r="N1254" i="6"/>
  <c r="O1254" i="6" s="1"/>
  <c r="N1255" i="6"/>
  <c r="P1255" i="6" s="1"/>
  <c r="N1256" i="6"/>
  <c r="O1256" i="6" s="1"/>
  <c r="N1257" i="6"/>
  <c r="P1257" i="6" s="1"/>
  <c r="N1258" i="6"/>
  <c r="O1258" i="6" s="1"/>
  <c r="N1259" i="6"/>
  <c r="O1259" i="6" s="1"/>
  <c r="N1260" i="6"/>
  <c r="O1260" i="6" s="1"/>
  <c r="N1261" i="6"/>
  <c r="O1261" i="6" s="1"/>
  <c r="N1262" i="6"/>
  <c r="N1263" i="6"/>
  <c r="P1263" i="6" s="1"/>
  <c r="N1264" i="6"/>
  <c r="N1265" i="6"/>
  <c r="Q1265" i="6" s="1"/>
  <c r="N1266" i="6"/>
  <c r="O1266" i="6" s="1"/>
  <c r="N1267" i="6"/>
  <c r="O1267" i="6" s="1"/>
  <c r="N1268" i="6"/>
  <c r="O1268" i="6" s="1"/>
  <c r="N1269" i="6"/>
  <c r="O1269" i="6" s="1"/>
  <c r="N1270" i="6"/>
  <c r="O1270" i="6" s="1"/>
  <c r="N1271" i="6"/>
  <c r="P1271" i="6" s="1"/>
  <c r="N1272" i="6"/>
  <c r="O1272" i="6" s="1"/>
  <c r="N1273" i="6"/>
  <c r="O1273" i="6" s="1"/>
  <c r="N1274" i="6"/>
  <c r="O1274" i="6" s="1"/>
  <c r="N1275" i="6"/>
  <c r="P1275" i="6" s="1"/>
  <c r="N1276" i="6"/>
  <c r="P1276" i="6" s="1"/>
  <c r="N1277" i="6"/>
  <c r="O1277" i="6" s="1"/>
  <c r="N1278" i="6"/>
  <c r="O1278" i="6" s="1"/>
  <c r="N1279" i="6"/>
  <c r="P1279" i="6" s="1"/>
  <c r="N1280" i="6"/>
  <c r="O1280" i="6" s="1"/>
  <c r="N1281" i="6"/>
  <c r="P1281" i="6" s="1"/>
  <c r="N1282" i="6"/>
  <c r="O1282" i="6" s="1"/>
  <c r="N1283" i="6"/>
  <c r="P1283" i="6" s="1"/>
  <c r="N1284" i="6"/>
  <c r="O1284" i="6" s="1"/>
  <c r="N1285" i="6"/>
  <c r="O1285" i="6" s="1"/>
  <c r="N1286" i="6"/>
  <c r="O1286" i="6" s="1"/>
  <c r="N1287" i="6"/>
  <c r="P1287" i="6" s="1"/>
  <c r="N1288" i="6"/>
  <c r="N1289" i="6"/>
  <c r="Q1289" i="6" s="1"/>
  <c r="N1290" i="6"/>
  <c r="O1290" i="6" s="1"/>
  <c r="N1291" i="6"/>
  <c r="P1291" i="6" s="1"/>
  <c r="N1292" i="6"/>
  <c r="O1292" i="6" s="1"/>
  <c r="N1293" i="6"/>
  <c r="Q1293" i="6" s="1"/>
  <c r="N1294" i="6"/>
  <c r="N1295" i="6"/>
  <c r="P1295" i="6" s="1"/>
  <c r="N1296" i="6"/>
  <c r="N1297" i="6"/>
  <c r="P1297" i="6" s="1"/>
  <c r="N1298" i="6"/>
  <c r="N1299" i="6"/>
  <c r="P1299" i="6" s="1"/>
  <c r="N1300" i="6"/>
  <c r="O1300" i="6" s="1"/>
  <c r="N1301" i="6"/>
  <c r="P1301" i="6" s="1"/>
  <c r="N1302" i="6"/>
  <c r="N1303" i="6"/>
  <c r="N1304" i="6"/>
  <c r="N1305" i="6"/>
  <c r="O1305" i="6" s="1"/>
  <c r="N1306" i="6"/>
  <c r="N1307" i="6"/>
  <c r="P1307" i="6" s="1"/>
  <c r="N1308" i="6"/>
  <c r="N1309" i="6"/>
  <c r="O1309" i="6" s="1"/>
  <c r="N1310" i="6"/>
  <c r="N1311" i="6"/>
  <c r="P1311" i="6" s="1"/>
  <c r="N1312" i="6"/>
  <c r="N1313" i="6"/>
  <c r="P1313" i="6" s="1"/>
  <c r="N1314" i="6"/>
  <c r="N1315" i="6"/>
  <c r="P1315" i="6" s="1"/>
  <c r="N1316" i="6"/>
  <c r="O1316" i="6" s="1"/>
  <c r="N1317" i="6"/>
  <c r="P1317" i="6" s="1"/>
  <c r="N1318" i="6"/>
  <c r="N1319" i="6"/>
  <c r="O1319" i="6" s="1"/>
  <c r="N1320" i="6"/>
  <c r="N1321" i="6"/>
  <c r="P1321" i="6" s="1"/>
  <c r="N1322" i="6"/>
  <c r="N1323" i="6"/>
  <c r="O1323" i="6" s="1"/>
  <c r="N1324" i="6"/>
  <c r="O1324" i="6" s="1"/>
  <c r="N1325" i="6"/>
  <c r="O1325" i="6" s="1"/>
  <c r="N1326" i="6"/>
  <c r="N1327" i="6"/>
  <c r="O1327" i="6" s="1"/>
  <c r="N1328" i="6"/>
  <c r="N1329" i="6"/>
  <c r="O1329" i="6" s="1"/>
  <c r="N1330" i="6"/>
  <c r="N1331" i="6"/>
  <c r="P1331" i="6" s="1"/>
  <c r="N1332" i="6"/>
  <c r="N1333" i="6"/>
  <c r="O1333" i="6" s="1"/>
  <c r="N1334" i="6"/>
  <c r="N1335" i="6"/>
  <c r="O1335" i="6" s="1"/>
  <c r="N1336" i="6"/>
  <c r="N1337" i="6"/>
  <c r="P1337" i="6" s="1"/>
  <c r="N1338" i="6"/>
  <c r="O1338" i="6" s="1"/>
  <c r="N1339" i="6"/>
  <c r="P1339" i="6" s="1"/>
  <c r="N1340" i="6"/>
  <c r="N1341" i="6"/>
  <c r="O1341" i="6" s="1"/>
  <c r="N1342" i="6"/>
  <c r="O1342" i="6" s="1"/>
  <c r="N1343" i="6"/>
  <c r="O1343" i="6" s="1"/>
  <c r="N1344" i="6"/>
  <c r="N1345" i="6"/>
  <c r="P1345" i="6" s="1"/>
  <c r="N1346" i="6"/>
  <c r="O1346" i="6" s="1"/>
  <c r="N1347" i="6"/>
  <c r="P1347" i="6" s="1"/>
  <c r="N1348" i="6"/>
  <c r="P1348" i="6" s="1"/>
  <c r="N1349" i="6"/>
  <c r="O1349" i="6" s="1"/>
  <c r="N1350" i="6"/>
  <c r="O1350" i="6" s="1"/>
  <c r="N1351" i="6"/>
  <c r="O1351" i="6" s="1"/>
  <c r="N1352" i="6"/>
  <c r="N1353" i="6"/>
  <c r="P1353" i="6" s="1"/>
  <c r="N1354" i="6"/>
  <c r="O1354" i="6" s="1"/>
  <c r="N1355" i="6"/>
  <c r="P1355" i="6" s="1"/>
  <c r="N1356" i="6"/>
  <c r="P1356" i="6" s="1"/>
  <c r="N1357" i="6"/>
  <c r="O1357" i="6" s="1"/>
  <c r="N1358" i="6"/>
  <c r="O1358" i="6" s="1"/>
  <c r="N1359" i="6"/>
  <c r="N1360" i="6"/>
  <c r="O1360" i="6" s="1"/>
  <c r="N1361" i="6"/>
  <c r="P1361" i="6" s="1"/>
  <c r="N1362" i="6"/>
  <c r="O1362" i="6" s="1"/>
  <c r="N1363" i="6"/>
  <c r="P1363" i="6" s="1"/>
  <c r="N1364" i="6"/>
  <c r="O1364" i="6" s="1"/>
  <c r="N1365" i="6"/>
  <c r="Q1365" i="6" s="1"/>
  <c r="N1366" i="6"/>
  <c r="O1366" i="6" s="1"/>
  <c r="N1367" i="6"/>
  <c r="N1368" i="6"/>
  <c r="Q1368" i="6" s="1"/>
  <c r="N1369" i="6"/>
  <c r="P1369" i="6" s="1"/>
  <c r="N1370" i="6"/>
  <c r="O1370" i="6" s="1"/>
  <c r="N1371" i="6"/>
  <c r="O1371" i="6" s="1"/>
  <c r="N1372" i="6"/>
  <c r="P1372" i="6" s="1"/>
  <c r="N1373" i="6"/>
  <c r="O1373" i="6" s="1"/>
  <c r="N1374" i="6"/>
  <c r="O1374" i="6" s="1"/>
  <c r="N1375" i="6"/>
  <c r="N1376" i="6"/>
  <c r="O1376" i="6" s="1"/>
  <c r="N1377" i="6"/>
  <c r="P1377" i="6" s="1"/>
  <c r="N1378" i="6"/>
  <c r="N1379" i="6"/>
  <c r="O1379" i="6" s="1"/>
  <c r="N1380" i="6"/>
  <c r="O1380" i="6" s="1"/>
  <c r="N1381" i="6"/>
  <c r="Q1381" i="6" s="1"/>
  <c r="N1382" i="6"/>
  <c r="N1383" i="6"/>
  <c r="O1383" i="6" s="1"/>
  <c r="N1384" i="6"/>
  <c r="O1384" i="6" s="1"/>
  <c r="N1385" i="6"/>
  <c r="P1385" i="6" s="1"/>
  <c r="N1386" i="6"/>
  <c r="O1386" i="6" s="1"/>
  <c r="N1387" i="6"/>
  <c r="O1387" i="6" s="1"/>
  <c r="N1388" i="6"/>
  <c r="N1389" i="6"/>
  <c r="O1389" i="6" s="1"/>
  <c r="N1390" i="6"/>
  <c r="O1390" i="6" s="1"/>
  <c r="N1391" i="6"/>
  <c r="N1392" i="6"/>
  <c r="O1392" i="6" s="1"/>
  <c r="N1393" i="6"/>
  <c r="N1394" i="6"/>
  <c r="O1394" i="6" s="1"/>
  <c r="N1395" i="6"/>
  <c r="O1395" i="6" s="1"/>
  <c r="N1396" i="6"/>
  <c r="P1396" i="6" s="1"/>
  <c r="N1397" i="6"/>
  <c r="P1397" i="6" s="1"/>
  <c r="N1398" i="6"/>
  <c r="O1398" i="6" s="1"/>
  <c r="N1399" i="6"/>
  <c r="N1400" i="6"/>
  <c r="O1400" i="6" s="1"/>
  <c r="N1401" i="6"/>
  <c r="P1401" i="6" s="1"/>
  <c r="O258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O1244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O728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O285" i="6"/>
  <c r="O333" i="6"/>
  <c r="N2" i="6"/>
  <c r="O2" i="6" s="1"/>
  <c r="F2" i="6"/>
  <c r="E3" i="13"/>
  <c r="G929" i="6" s="1"/>
  <c r="F3" i="13"/>
  <c r="H582" i="6" s="1"/>
  <c r="E4" i="13"/>
  <c r="G364" i="6" s="1"/>
  <c r="F4" i="13"/>
  <c r="E5" i="13"/>
  <c r="F5" i="13"/>
  <c r="E6" i="13"/>
  <c r="F6" i="13"/>
  <c r="E7" i="13"/>
  <c r="F7" i="13"/>
  <c r="E8" i="13"/>
  <c r="G709" i="6" s="1"/>
  <c r="F8" i="13"/>
  <c r="E9" i="13"/>
  <c r="G1318" i="6" s="1"/>
  <c r="F9" i="13"/>
  <c r="H710" i="6" s="1"/>
  <c r="E10" i="13"/>
  <c r="F10" i="13"/>
  <c r="E11" i="13"/>
  <c r="G1213" i="6" s="1"/>
  <c r="F11" i="13"/>
  <c r="H1213" i="6" s="1"/>
  <c r="E12" i="13"/>
  <c r="G713" i="6" s="1"/>
  <c r="F12" i="13"/>
  <c r="E13" i="13"/>
  <c r="F13" i="13"/>
  <c r="E14" i="13"/>
  <c r="G983" i="6" s="1"/>
  <c r="F14" i="13"/>
  <c r="H854" i="6" s="1"/>
  <c r="E15" i="13"/>
  <c r="G1242" i="6" s="1"/>
  <c r="F15" i="13"/>
  <c r="E16" i="13"/>
  <c r="G645" i="6" s="1"/>
  <c r="F16" i="13"/>
  <c r="H1321" i="6" s="1"/>
  <c r="E17" i="13"/>
  <c r="G1257" i="6" s="1"/>
  <c r="F17" i="13"/>
  <c r="H1257" i="6" s="1"/>
  <c r="E18" i="13"/>
  <c r="G919" i="6" s="1"/>
  <c r="F18" i="13"/>
  <c r="H1217" i="6" s="1"/>
  <c r="E19" i="13"/>
  <c r="G1043" i="6" s="1"/>
  <c r="F19" i="13"/>
  <c r="E20" i="13"/>
  <c r="F20" i="13"/>
  <c r="E21" i="13"/>
  <c r="G1340" i="6" s="1"/>
  <c r="F21" i="13"/>
  <c r="H1381" i="6" s="1"/>
  <c r="E22" i="13"/>
  <c r="G1119" i="6" s="1"/>
  <c r="F22" i="13"/>
  <c r="H974" i="6" s="1"/>
  <c r="E23" i="13"/>
  <c r="G725" i="6" s="1"/>
  <c r="F23" i="13"/>
  <c r="H1166" i="6" s="1"/>
  <c r="E24" i="13"/>
  <c r="G951" i="6" s="1"/>
  <c r="F24" i="13"/>
  <c r="H1377" i="6" s="1"/>
  <c r="E25" i="13"/>
  <c r="G729" i="6" s="1"/>
  <c r="F25" i="13"/>
  <c r="H1382" i="6" s="1"/>
  <c r="E26" i="13"/>
  <c r="G641" i="6" s="1"/>
  <c r="F26" i="13"/>
  <c r="E27" i="13"/>
  <c r="G993" i="6" s="1"/>
  <c r="F27" i="13"/>
  <c r="H1045" i="6" s="1"/>
  <c r="E28" i="13"/>
  <c r="G961" i="6" s="1"/>
  <c r="F28" i="13"/>
  <c r="E29" i="13"/>
  <c r="F29" i="13"/>
  <c r="E30" i="13"/>
  <c r="G1087" i="6" s="1"/>
  <c r="F30" i="13"/>
  <c r="E31" i="13"/>
  <c r="G1388" i="6" s="1"/>
  <c r="F31" i="13"/>
  <c r="H1173" i="6" s="1"/>
  <c r="E32" i="13"/>
  <c r="G1127" i="6" s="1"/>
  <c r="F32" i="13"/>
  <c r="H1177" i="6" s="1"/>
  <c r="E33" i="13"/>
  <c r="G1356" i="6" s="1"/>
  <c r="F33" i="13"/>
  <c r="H1357" i="6" s="1"/>
  <c r="E34" i="13"/>
  <c r="G1025" i="6" s="1"/>
  <c r="F34" i="13"/>
  <c r="H1025" i="6" s="1"/>
  <c r="E35" i="13"/>
  <c r="F35" i="13"/>
  <c r="H742" i="6" s="1"/>
  <c r="E36" i="13"/>
  <c r="G693" i="6" s="1"/>
  <c r="F36" i="13"/>
  <c r="H1393" i="6" s="1"/>
  <c r="E37" i="13"/>
  <c r="F37" i="13"/>
  <c r="E38" i="13"/>
  <c r="G745" i="6" s="1"/>
  <c r="F38" i="13"/>
  <c r="E39" i="13"/>
  <c r="G1230" i="6" s="1"/>
  <c r="F39" i="13"/>
  <c r="H1230" i="6" s="1"/>
  <c r="E40" i="13"/>
  <c r="G1055" i="6" s="1"/>
  <c r="F40" i="13"/>
  <c r="E41" i="13"/>
  <c r="F41" i="13"/>
  <c r="H1326" i="6" s="1"/>
  <c r="E42" i="13"/>
  <c r="G841" i="6" s="1"/>
  <c r="F42" i="13"/>
  <c r="E43" i="13"/>
  <c r="F43" i="13"/>
  <c r="H970" i="6" s="1"/>
  <c r="E44" i="13"/>
  <c r="G753" i="6" s="1"/>
  <c r="F44" i="13"/>
  <c r="H1097" i="6" s="1"/>
  <c r="E45" i="13"/>
  <c r="G913" i="6" s="1"/>
  <c r="F45" i="13"/>
  <c r="E46" i="13"/>
  <c r="G1039" i="6" s="1"/>
  <c r="F46" i="13"/>
  <c r="E47" i="13"/>
  <c r="G785" i="6" s="1"/>
  <c r="F47" i="13"/>
  <c r="H1302" i="6" s="1"/>
  <c r="E48" i="13"/>
  <c r="G849" i="6" s="1"/>
  <c r="F48" i="13"/>
  <c r="E49" i="13"/>
  <c r="G761" i="6" s="1"/>
  <c r="F49" i="13"/>
  <c r="H1145" i="6" s="1"/>
  <c r="E50" i="13"/>
  <c r="G975" i="6" s="1"/>
  <c r="F50" i="13"/>
  <c r="E51" i="13"/>
  <c r="G801" i="6" s="1"/>
  <c r="F51" i="13"/>
  <c r="H1205" i="6" s="1"/>
  <c r="E52" i="13"/>
  <c r="G460" i="6" s="1"/>
  <c r="F52" i="13"/>
  <c r="E53" i="13"/>
  <c r="F53" i="13"/>
  <c r="E54" i="13"/>
  <c r="F54" i="13"/>
  <c r="E55" i="13"/>
  <c r="F55" i="13"/>
  <c r="E56" i="13"/>
  <c r="G769" i="6" s="1"/>
  <c r="F56" i="13"/>
  <c r="H1281" i="6" s="1"/>
  <c r="E57" i="13"/>
  <c r="F57" i="13"/>
  <c r="H774" i="6" s="1"/>
  <c r="E58" i="13"/>
  <c r="G887" i="6" s="1"/>
  <c r="F58" i="13"/>
  <c r="H1337" i="6" s="1"/>
  <c r="E59" i="13"/>
  <c r="F59" i="13"/>
  <c r="H934" i="6" s="1"/>
  <c r="E60" i="13"/>
  <c r="G1007" i="6" s="1"/>
  <c r="F60" i="13"/>
  <c r="H1009" i="6" s="1"/>
  <c r="E61" i="13"/>
  <c r="G1123" i="6" s="1"/>
  <c r="F61" i="13"/>
  <c r="E62" i="13"/>
  <c r="G895" i="6" s="1"/>
  <c r="F62" i="13"/>
  <c r="E63" i="13"/>
  <c r="F63" i="13"/>
  <c r="H550" i="6" s="1"/>
  <c r="E64" i="13"/>
  <c r="G953" i="6" s="1"/>
  <c r="F64" i="13"/>
  <c r="E65" i="13"/>
  <c r="F65" i="13"/>
  <c r="E66" i="13"/>
  <c r="G1023" i="6" s="1"/>
  <c r="F66" i="13"/>
  <c r="H1129" i="6" s="1"/>
  <c r="E67" i="13"/>
  <c r="G1091" i="6" s="1"/>
  <c r="F67" i="13"/>
  <c r="H966" i="6" s="1"/>
  <c r="E68" i="13"/>
  <c r="G566" i="6" s="1"/>
  <c r="F68" i="13"/>
  <c r="H566" i="6" s="1"/>
  <c r="E69" i="13"/>
  <c r="F69" i="13"/>
  <c r="E70" i="13"/>
  <c r="G1131" i="6" s="1"/>
  <c r="F70" i="13"/>
  <c r="E71" i="13"/>
  <c r="G1182" i="6" s="1"/>
  <c r="F71" i="13"/>
  <c r="H1053" i="6" s="1"/>
  <c r="E72" i="13"/>
  <c r="G999" i="6" s="1"/>
  <c r="F72" i="13"/>
  <c r="H1153" i="6" s="1"/>
  <c r="E73" i="13"/>
  <c r="G1194" i="6" s="1"/>
  <c r="F73" i="13"/>
  <c r="H494" i="6" s="1"/>
  <c r="E74" i="13"/>
  <c r="F74" i="13"/>
  <c r="E75" i="13"/>
  <c r="G883" i="6" s="1"/>
  <c r="F75" i="13"/>
  <c r="E76" i="13"/>
  <c r="G985" i="6" s="1"/>
  <c r="F76" i="13"/>
  <c r="E77" i="13"/>
  <c r="F77" i="13"/>
  <c r="H806" i="6" s="1"/>
  <c r="E78" i="13"/>
  <c r="G807" i="6" s="1"/>
  <c r="F78" i="13"/>
  <c r="H1273" i="6" s="1"/>
  <c r="E79" i="13"/>
  <c r="F79" i="13"/>
  <c r="E80" i="13"/>
  <c r="G1121" i="6" s="1"/>
  <c r="F80" i="13"/>
  <c r="H1121" i="6" s="1"/>
  <c r="E81" i="13"/>
  <c r="G1254" i="6" s="1"/>
  <c r="F81" i="13"/>
  <c r="E82" i="13"/>
  <c r="G815" i="6" s="1"/>
  <c r="F82" i="13"/>
  <c r="E83" i="13"/>
  <c r="G817" i="6" s="1"/>
  <c r="F83" i="13"/>
  <c r="H518" i="6" s="1"/>
  <c r="E84" i="13"/>
  <c r="G1041" i="6" s="1"/>
  <c r="F84" i="13"/>
  <c r="H1041" i="6" s="1"/>
  <c r="E85" i="13"/>
  <c r="F85" i="13"/>
  <c r="H1293" i="6" s="1"/>
  <c r="E86" i="13"/>
  <c r="G1294" i="6" s="1"/>
  <c r="F86" i="13"/>
  <c r="E87" i="13"/>
  <c r="G348" i="6" s="1"/>
  <c r="F87" i="13"/>
  <c r="H1022" i="6" s="1"/>
  <c r="E88" i="13"/>
  <c r="F88" i="13"/>
  <c r="E89" i="13"/>
  <c r="G1349" i="6" s="1"/>
  <c r="F89" i="13"/>
  <c r="H1349" i="6" s="1"/>
  <c r="E90" i="13"/>
  <c r="G130" i="6" s="1"/>
  <c r="F90" i="13"/>
  <c r="H449" i="6" s="1"/>
  <c r="E91" i="13"/>
  <c r="F91" i="13"/>
  <c r="H1305" i="6" s="1"/>
  <c r="E92" i="13"/>
  <c r="G833" i="6" s="1"/>
  <c r="F92" i="13"/>
  <c r="H1137" i="6" s="1"/>
  <c r="E93" i="13"/>
  <c r="G1308" i="6" s="1"/>
  <c r="F93" i="13"/>
  <c r="H694" i="6" s="1"/>
  <c r="E94" i="13"/>
  <c r="G967" i="6" s="1"/>
  <c r="F94" i="13"/>
  <c r="H1201" i="6" s="1"/>
  <c r="E95" i="13"/>
  <c r="F95" i="13"/>
  <c r="E96" i="13"/>
  <c r="G1103" i="6" s="1"/>
  <c r="F96" i="13"/>
  <c r="E97" i="13"/>
  <c r="G1360" i="6" s="1"/>
  <c r="F97" i="13"/>
  <c r="E98" i="13"/>
  <c r="G1328" i="6" s="1"/>
  <c r="F98" i="13"/>
  <c r="H1161" i="6" s="1"/>
  <c r="E99" i="13"/>
  <c r="F99" i="13"/>
  <c r="E100" i="13"/>
  <c r="G855" i="6" s="1"/>
  <c r="F100" i="13"/>
  <c r="E101" i="13"/>
  <c r="F101" i="13"/>
  <c r="H1033" i="6" s="1"/>
  <c r="E102" i="13"/>
  <c r="G1095" i="6" s="1"/>
  <c r="F102" i="13"/>
  <c r="E103" i="13"/>
  <c r="G1202" i="6" s="1"/>
  <c r="F103" i="13"/>
  <c r="H502" i="6" s="1"/>
  <c r="E104" i="13"/>
  <c r="F104" i="13"/>
  <c r="E105" i="13"/>
  <c r="F105" i="13"/>
  <c r="E106" i="13"/>
  <c r="F106" i="13"/>
  <c r="H886" i="6" s="1"/>
  <c r="E107" i="13"/>
  <c r="F107" i="13"/>
  <c r="H1389" i="6" s="1"/>
  <c r="E108" i="13"/>
  <c r="G324" i="6" s="1"/>
  <c r="F108" i="13"/>
  <c r="E109" i="13"/>
  <c r="F109" i="13"/>
  <c r="E110" i="13"/>
  <c r="G1154" i="6" s="1"/>
  <c r="F110" i="13"/>
  <c r="E111" i="13"/>
  <c r="F111" i="13"/>
  <c r="H534" i="6" s="1"/>
  <c r="E112" i="13"/>
  <c r="G396" i="6" s="1"/>
  <c r="F112" i="13"/>
  <c r="H1193" i="6" s="1"/>
  <c r="E113" i="13"/>
  <c r="F113" i="13"/>
  <c r="H1085" i="6" s="1"/>
  <c r="E114" i="13"/>
  <c r="G1312" i="6" s="1"/>
  <c r="F114" i="13"/>
  <c r="E115" i="13"/>
  <c r="F115" i="13"/>
  <c r="H630" i="6" s="1"/>
  <c r="E116" i="13"/>
  <c r="G935" i="6" s="1"/>
  <c r="F116" i="13"/>
  <c r="E117" i="13"/>
  <c r="F117" i="13"/>
  <c r="H954" i="6" s="1"/>
  <c r="E118" i="13"/>
  <c r="G1225" i="6" s="1"/>
  <c r="F118" i="13"/>
  <c r="H1225" i="6" s="1"/>
  <c r="E119" i="13"/>
  <c r="G963" i="6" s="1"/>
  <c r="F119" i="13"/>
  <c r="H1353" i="6" s="1"/>
  <c r="E120" i="13"/>
  <c r="G1209" i="6" s="1"/>
  <c r="F120" i="13"/>
  <c r="H1241" i="6" s="1"/>
  <c r="E121" i="13"/>
  <c r="G977" i="6" s="1"/>
  <c r="F121" i="13"/>
  <c r="H1014" i="6" s="1"/>
  <c r="E122" i="13"/>
  <c r="G1278" i="6" s="1"/>
  <c r="F122" i="13"/>
  <c r="E123" i="13"/>
  <c r="G1370" i="6" s="1"/>
  <c r="F123" i="13"/>
  <c r="H1369" i="6" s="1"/>
  <c r="E124" i="13"/>
  <c r="G991" i="6" s="1"/>
  <c r="F124" i="13"/>
  <c r="H1169" i="6" s="1"/>
  <c r="E125" i="13"/>
  <c r="F125" i="13"/>
  <c r="H478" i="6" s="1"/>
  <c r="E126" i="13"/>
  <c r="G609" i="6" s="1"/>
  <c r="F126" i="13"/>
  <c r="E127" i="13"/>
  <c r="F127" i="13"/>
  <c r="H1001" i="6" s="1"/>
  <c r="E128" i="13"/>
  <c r="F128" i="13"/>
  <c r="E129" i="13"/>
  <c r="F129" i="13"/>
  <c r="E130" i="13"/>
  <c r="F130" i="13"/>
  <c r="E131" i="13"/>
  <c r="F131" i="13"/>
  <c r="H1069" i="6" s="1"/>
  <c r="E132" i="13"/>
  <c r="G1174" i="6" s="1"/>
  <c r="F132" i="13"/>
  <c r="H1049" i="6" s="1"/>
  <c r="E133" i="13"/>
  <c r="G1262" i="6" s="1"/>
  <c r="F133" i="13"/>
  <c r="H1262" i="6" s="1"/>
  <c r="E134" i="13"/>
  <c r="G1310" i="6" s="1"/>
  <c r="F134" i="13"/>
  <c r="E135" i="13"/>
  <c r="G1189" i="6" s="1"/>
  <c r="F135" i="13"/>
  <c r="H1189" i="6" s="1"/>
  <c r="E136" i="13"/>
  <c r="G1063" i="6" s="1"/>
  <c r="F136" i="13"/>
  <c r="E137" i="13"/>
  <c r="F137" i="13"/>
  <c r="H366" i="6" s="1"/>
  <c r="E138" i="13"/>
  <c r="G1107" i="6" s="1"/>
  <c r="F138" i="13"/>
  <c r="E139" i="13"/>
  <c r="G1089" i="6" s="1"/>
  <c r="F139" i="13"/>
  <c r="H389" i="6" s="1"/>
  <c r="E140" i="13"/>
  <c r="F140" i="13"/>
  <c r="E141" i="13"/>
  <c r="G405" i="6" s="1"/>
  <c r="F141" i="13"/>
  <c r="H1329" i="6" s="1"/>
  <c r="E142" i="13"/>
  <c r="G1352" i="6" s="1"/>
  <c r="F142" i="13"/>
  <c r="E143" i="13"/>
  <c r="F143" i="13"/>
  <c r="H701" i="6" s="1"/>
  <c r="E144" i="13"/>
  <c r="F144" i="13"/>
  <c r="E145" i="13"/>
  <c r="F145" i="13"/>
  <c r="H1325" i="6" s="1"/>
  <c r="E146" i="13"/>
  <c r="G487" i="6" s="1"/>
  <c r="F146" i="13"/>
  <c r="H1361" i="6" s="1"/>
  <c r="E147" i="13"/>
  <c r="G1277" i="6" s="1"/>
  <c r="F147" i="13"/>
  <c r="H1277" i="6" s="1"/>
  <c r="E148" i="13"/>
  <c r="G504" i="6" s="1"/>
  <c r="F148" i="13"/>
  <c r="H1313" i="6" s="1"/>
  <c r="E149" i="13"/>
  <c r="G697" i="6" s="1"/>
  <c r="F149" i="13"/>
  <c r="H1397" i="6" s="1"/>
  <c r="E150" i="13"/>
  <c r="G667" i="6" s="1"/>
  <c r="F150" i="13"/>
  <c r="E151" i="13"/>
  <c r="F151" i="13"/>
  <c r="H1385" i="6" s="1"/>
  <c r="F2" i="13"/>
  <c r="E2" i="13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2" i="13"/>
  <c r="O1012" i="6" l="1"/>
  <c r="O1184" i="6"/>
  <c r="G476" i="6"/>
  <c r="P1364" i="6"/>
  <c r="O972" i="6"/>
  <c r="O1348" i="6"/>
  <c r="H1401" i="6"/>
  <c r="H1057" i="6"/>
  <c r="G1386" i="6"/>
  <c r="G1338" i="6"/>
  <c r="L1338" i="6" s="1"/>
  <c r="G1290" i="6"/>
  <c r="G1253" i="6"/>
  <c r="L1253" i="6" s="1"/>
  <c r="G1221" i="6"/>
  <c r="L1221" i="6" s="1"/>
  <c r="G1192" i="6"/>
  <c r="L1192" i="6" s="1"/>
  <c r="G1153" i="6"/>
  <c r="G1019" i="6"/>
  <c r="L1019" i="6" s="1"/>
  <c r="G923" i="6"/>
  <c r="L923" i="6" s="1"/>
  <c r="H1233" i="6"/>
  <c r="G1378" i="6"/>
  <c r="G1333" i="6"/>
  <c r="L1333" i="6" s="1"/>
  <c r="G1285" i="6"/>
  <c r="L1285" i="6" s="1"/>
  <c r="G1244" i="6"/>
  <c r="L1244" i="6" s="1"/>
  <c r="G1214" i="6"/>
  <c r="G1181" i="6"/>
  <c r="L1181" i="6" s="1"/>
  <c r="G1129" i="6"/>
  <c r="L1129" i="6" s="1"/>
  <c r="G1003" i="6"/>
  <c r="L1003" i="6" s="1"/>
  <c r="G907" i="6"/>
  <c r="G803" i="6"/>
  <c r="L803" i="6" s="1"/>
  <c r="G677" i="6"/>
  <c r="L677" i="6" s="1"/>
  <c r="G194" i="6"/>
  <c r="L194" i="6" s="1"/>
  <c r="G633" i="6"/>
  <c r="G827" i="6"/>
  <c r="G1365" i="6"/>
  <c r="L1365" i="6" s="1"/>
  <c r="G1270" i="6"/>
  <c r="L1270" i="6" s="1"/>
  <c r="G1237" i="6"/>
  <c r="G1208" i="6"/>
  <c r="L1208" i="6" s="1"/>
  <c r="G1170" i="6"/>
  <c r="L1170" i="6" s="1"/>
  <c r="G1059" i="6"/>
  <c r="L1059" i="6" s="1"/>
  <c r="G865" i="6"/>
  <c r="G777" i="6"/>
  <c r="L777" i="6" s="1"/>
  <c r="O1228" i="6"/>
  <c r="G1344" i="6"/>
  <c r="L1344" i="6" s="1"/>
  <c r="G1297" i="6"/>
  <c r="G1265" i="6"/>
  <c r="L1265" i="6" s="1"/>
  <c r="G1229" i="6"/>
  <c r="L1229" i="6" s="1"/>
  <c r="G1201" i="6"/>
  <c r="L1201" i="6" s="1"/>
  <c r="G1161" i="6"/>
  <c r="G947" i="6"/>
  <c r="L947" i="6" s="1"/>
  <c r="G843" i="6"/>
  <c r="L843" i="6" s="1"/>
  <c r="G597" i="6"/>
  <c r="L597" i="6" s="1"/>
  <c r="G1372" i="6"/>
  <c r="G1306" i="6"/>
  <c r="L1306" i="6" s="1"/>
  <c r="G560" i="6"/>
  <c r="L560" i="6" s="1"/>
  <c r="H1185" i="6"/>
  <c r="H1017" i="6"/>
  <c r="H446" i="6"/>
  <c r="G1393" i="6"/>
  <c r="L1393" i="6" s="1"/>
  <c r="G1382" i="6"/>
  <c r="G1377" i="6"/>
  <c r="G1361" i="6"/>
  <c r="L1361" i="6" s="1"/>
  <c r="G1354" i="6"/>
  <c r="L1354" i="6" s="1"/>
  <c r="G1348" i="6"/>
  <c r="G1342" i="6"/>
  <c r="G1337" i="6"/>
  <c r="L1337" i="6" s="1"/>
  <c r="G1332" i="6"/>
  <c r="L1332" i="6" s="1"/>
  <c r="G1322" i="6"/>
  <c r="L1322" i="6" s="1"/>
  <c r="G1317" i="6"/>
  <c r="G1304" i="6"/>
  <c r="L1304" i="6" s="1"/>
  <c r="G1296" i="6"/>
  <c r="L1296" i="6" s="1"/>
  <c r="G1289" i="6"/>
  <c r="L1289" i="6" s="1"/>
  <c r="G1282" i="6"/>
  <c r="G1274" i="6"/>
  <c r="L1274" i="6" s="1"/>
  <c r="G1269" i="6"/>
  <c r="L1269" i="6" s="1"/>
  <c r="G1249" i="6"/>
  <c r="L1249" i="6" s="1"/>
  <c r="G1236" i="6"/>
  <c r="L1236" i="6" s="1"/>
  <c r="G1228" i="6"/>
  <c r="L1228" i="6" s="1"/>
  <c r="G1218" i="6"/>
  <c r="L1218" i="6" s="1"/>
  <c r="G1206" i="6"/>
  <c r="L1206" i="6" s="1"/>
  <c r="G1197" i="6"/>
  <c r="G1177" i="6"/>
  <c r="L1177" i="6" s="1"/>
  <c r="G1169" i="6"/>
  <c r="L1169" i="6" s="1"/>
  <c r="G1160" i="6"/>
  <c r="L1160" i="6" s="1"/>
  <c r="G1139" i="6"/>
  <c r="G1099" i="6"/>
  <c r="L1099" i="6" s="1"/>
  <c r="G1075" i="6"/>
  <c r="L1075" i="6" s="1"/>
  <c r="G1057" i="6"/>
  <c r="L1057" i="6" s="1"/>
  <c r="G1035" i="6"/>
  <c r="G1017" i="6"/>
  <c r="L1017" i="6" s="1"/>
  <c r="G995" i="6"/>
  <c r="L995" i="6" s="1"/>
  <c r="G979" i="6"/>
  <c r="L979" i="6" s="1"/>
  <c r="G945" i="6"/>
  <c r="G921" i="6"/>
  <c r="L921" i="6" s="1"/>
  <c r="G899" i="6"/>
  <c r="L899" i="6" s="1"/>
  <c r="G881" i="6"/>
  <c r="L881" i="6" s="1"/>
  <c r="G857" i="6"/>
  <c r="L857" i="6" s="1"/>
  <c r="G819" i="6"/>
  <c r="G773" i="6"/>
  <c r="L773" i="6" s="1"/>
  <c r="G741" i="6"/>
  <c r="L741" i="6" s="1"/>
  <c r="G665" i="6"/>
  <c r="G629" i="6"/>
  <c r="L629" i="6" s="1"/>
  <c r="G585" i="6"/>
  <c r="L585" i="6" s="1"/>
  <c r="G536" i="6"/>
  <c r="L536" i="6" s="1"/>
  <c r="G412" i="6"/>
  <c r="G1397" i="6"/>
  <c r="L1397" i="6" s="1"/>
  <c r="G1324" i="6"/>
  <c r="L1324" i="6" s="1"/>
  <c r="G1105" i="6"/>
  <c r="L1105" i="6" s="1"/>
  <c r="H958" i="6"/>
  <c r="G1400" i="6"/>
  <c r="G1392" i="6"/>
  <c r="L1392" i="6" s="1"/>
  <c r="G1381" i="6"/>
  <c r="L1381" i="6" s="1"/>
  <c r="G1376" i="6"/>
  <c r="G1368" i="6"/>
  <c r="L1368" i="6" s="1"/>
  <c r="G1346" i="6"/>
  <c r="L1346" i="6" s="1"/>
  <c r="G1341" i="6"/>
  <c r="L1341" i="6" s="1"/>
  <c r="G1336" i="6"/>
  <c r="G1329" i="6"/>
  <c r="L1329" i="6" s="1"/>
  <c r="G1321" i="6"/>
  <c r="L1321" i="6" s="1"/>
  <c r="G1316" i="6"/>
  <c r="L1316" i="6" s="1"/>
  <c r="G1309" i="6"/>
  <c r="G1302" i="6"/>
  <c r="L1302" i="6" s="1"/>
  <c r="G1288" i="6"/>
  <c r="L1288" i="6" s="1"/>
  <c r="G1281" i="6"/>
  <c r="L1281" i="6" s="1"/>
  <c r="G1273" i="6"/>
  <c r="G1268" i="6"/>
  <c r="L1268" i="6" s="1"/>
  <c r="G1246" i="6"/>
  <c r="L1246" i="6" s="1"/>
  <c r="G1241" i="6"/>
  <c r="L1241" i="6" s="1"/>
  <c r="G1232" i="6"/>
  <c r="G1226" i="6"/>
  <c r="L1226" i="6" s="1"/>
  <c r="G1217" i="6"/>
  <c r="L1217" i="6" s="1"/>
  <c r="G1212" i="6"/>
  <c r="L1212" i="6" s="1"/>
  <c r="G1204" i="6"/>
  <c r="G1188" i="6"/>
  <c r="L1188" i="6" s="1"/>
  <c r="G1176" i="6"/>
  <c r="L1176" i="6" s="1"/>
  <c r="G1166" i="6"/>
  <c r="L1166" i="6" s="1"/>
  <c r="G1157" i="6"/>
  <c r="G1137" i="6"/>
  <c r="L1137" i="6" s="1"/>
  <c r="G1097" i="6"/>
  <c r="L1097" i="6" s="1"/>
  <c r="G1073" i="6"/>
  <c r="L1073" i="6" s="1"/>
  <c r="G1049" i="6"/>
  <c r="G1027" i="6"/>
  <c r="L1027" i="6" s="1"/>
  <c r="G1011" i="6"/>
  <c r="L1011" i="6" s="1"/>
  <c r="G955" i="6"/>
  <c r="L955" i="6" s="1"/>
  <c r="G931" i="6"/>
  <c r="G915" i="6"/>
  <c r="L915" i="6" s="1"/>
  <c r="G897" i="6"/>
  <c r="L897" i="6" s="1"/>
  <c r="G873" i="6"/>
  <c r="L873" i="6" s="1"/>
  <c r="G851" i="6"/>
  <c r="G835" i="6"/>
  <c r="L835" i="6" s="1"/>
  <c r="G787" i="6"/>
  <c r="L787" i="6" s="1"/>
  <c r="G661" i="6"/>
  <c r="L661" i="6" s="1"/>
  <c r="G613" i="6"/>
  <c r="G581" i="6"/>
  <c r="L581" i="6" s="1"/>
  <c r="G528" i="6"/>
  <c r="L528" i="6" s="1"/>
  <c r="H1105" i="6"/>
  <c r="I1105" i="6" s="1"/>
  <c r="H790" i="6"/>
  <c r="G1398" i="6"/>
  <c r="L1398" i="6" s="1"/>
  <c r="G1380" i="6"/>
  <c r="L1380" i="6" s="1"/>
  <c r="G1373" i="6"/>
  <c r="L1373" i="6" s="1"/>
  <c r="G1366" i="6"/>
  <c r="G1358" i="6"/>
  <c r="G1350" i="6"/>
  <c r="L1350" i="6" s="1"/>
  <c r="G1345" i="6"/>
  <c r="L1345" i="6" s="1"/>
  <c r="G1334" i="6"/>
  <c r="G1320" i="6"/>
  <c r="L1320" i="6" s="1"/>
  <c r="G1313" i="6"/>
  <c r="L1313" i="6" s="1"/>
  <c r="G1301" i="6"/>
  <c r="L1301" i="6" s="1"/>
  <c r="G1292" i="6"/>
  <c r="G1286" i="6"/>
  <c r="L1286" i="6" s="1"/>
  <c r="G1272" i="6"/>
  <c r="L1272" i="6" s="1"/>
  <c r="G1266" i="6"/>
  <c r="L1266" i="6" s="1"/>
  <c r="G1245" i="6"/>
  <c r="G1240" i="6"/>
  <c r="L1240" i="6" s="1"/>
  <c r="G1216" i="6"/>
  <c r="L1216" i="6" s="1"/>
  <c r="G1193" i="6"/>
  <c r="L1193" i="6" s="1"/>
  <c r="G1165" i="6"/>
  <c r="G1067" i="6"/>
  <c r="L1067" i="6" s="1"/>
  <c r="G1009" i="6"/>
  <c r="L1009" i="6" s="1"/>
  <c r="G987" i="6"/>
  <c r="L987" i="6" s="1"/>
  <c r="G971" i="6"/>
  <c r="G891" i="6"/>
  <c r="L891" i="6" s="1"/>
  <c r="G867" i="6"/>
  <c r="L867" i="6" s="1"/>
  <c r="G809" i="6"/>
  <c r="L809" i="6" s="1"/>
  <c r="G757" i="6"/>
  <c r="G601" i="6"/>
  <c r="L601" i="6" s="1"/>
  <c r="G492" i="6"/>
  <c r="L492" i="6" s="1"/>
  <c r="H614" i="6"/>
  <c r="H1065" i="6"/>
  <c r="H1345" i="6"/>
  <c r="H1089" i="6"/>
  <c r="H1254" i="6"/>
  <c r="H1289" i="6"/>
  <c r="H1078" i="6"/>
  <c r="H382" i="6"/>
  <c r="H1265" i="6"/>
  <c r="I1265" i="6" s="1"/>
  <c r="H918" i="6"/>
  <c r="H758" i="6"/>
  <c r="H598" i="6"/>
  <c r="H258" i="6"/>
  <c r="G600" i="6"/>
  <c r="G685" i="6"/>
  <c r="L685" i="6" s="1"/>
  <c r="G1300" i="6"/>
  <c r="L1300" i="6" s="1"/>
  <c r="G495" i="6"/>
  <c r="L495" i="6" s="1"/>
  <c r="G1195" i="6"/>
  <c r="G490" i="6"/>
  <c r="G577" i="6"/>
  <c r="L577" i="6" s="1"/>
  <c r="G662" i="6"/>
  <c r="L662" i="6" s="1"/>
  <c r="G456" i="6"/>
  <c r="G625" i="6"/>
  <c r="G1156" i="6"/>
  <c r="L1156" i="6" s="1"/>
  <c r="G430" i="6"/>
  <c r="L430" i="6" s="1"/>
  <c r="G1130" i="6"/>
  <c r="G701" i="6"/>
  <c r="L701" i="6" s="1"/>
  <c r="G389" i="6"/>
  <c r="L389" i="6" s="1"/>
  <c r="G606" i="6"/>
  <c r="L606" i="6" s="1"/>
  <c r="G366" i="6"/>
  <c r="G464" i="6"/>
  <c r="L464" i="6" s="1"/>
  <c r="G1066" i="6"/>
  <c r="L1066" i="6" s="1"/>
  <c r="G1164" i="6"/>
  <c r="L1164" i="6" s="1"/>
  <c r="G489" i="6"/>
  <c r="G358" i="6"/>
  <c r="L358" i="6" s="1"/>
  <c r="G1058" i="6"/>
  <c r="L1058" i="6" s="1"/>
  <c r="G351" i="6"/>
  <c r="L351" i="6" s="1"/>
  <c r="G562" i="6"/>
  <c r="G369" i="6"/>
  <c r="L369" i="6" s="1"/>
  <c r="G409" i="6"/>
  <c r="L409" i="6" s="1"/>
  <c r="G543" i="6"/>
  <c r="L543" i="6" s="1"/>
  <c r="G547" i="6"/>
  <c r="G332" i="6"/>
  <c r="L332" i="6" s="1"/>
  <c r="G1032" i="6"/>
  <c r="L1032" i="6" s="1"/>
  <c r="G1069" i="6"/>
  <c r="L1069" i="6" s="1"/>
  <c r="G1109" i="6"/>
  <c r="G1243" i="6"/>
  <c r="L1243" i="6" s="1"/>
  <c r="G1247" i="6"/>
  <c r="L1247" i="6" s="1"/>
  <c r="G320" i="6"/>
  <c r="L320" i="6" s="1"/>
  <c r="G499" i="6"/>
  <c r="G1020" i="6"/>
  <c r="L1020" i="6" s="1"/>
  <c r="G1199" i="6"/>
  <c r="L1199" i="6" s="1"/>
  <c r="G301" i="6"/>
  <c r="L301" i="6" s="1"/>
  <c r="G533" i="6"/>
  <c r="G294" i="6"/>
  <c r="L294" i="6" s="1"/>
  <c r="G478" i="6"/>
  <c r="L478" i="6" s="1"/>
  <c r="G994" i="6"/>
  <c r="L994" i="6" s="1"/>
  <c r="G388" i="6"/>
  <c r="G344" i="6"/>
  <c r="L344" i="6" s="1"/>
  <c r="G1044" i="6"/>
  <c r="L1044" i="6" s="1"/>
  <c r="G1088" i="6"/>
  <c r="L1088" i="6" s="1"/>
  <c r="G281" i="6"/>
  <c r="G670" i="6"/>
  <c r="L670" i="6" s="1"/>
  <c r="G669" i="6"/>
  <c r="L669" i="6" s="1"/>
  <c r="G981" i="6"/>
  <c r="L981" i="6" s="1"/>
  <c r="G277" i="6"/>
  <c r="G406" i="6"/>
  <c r="L406" i="6" s="1"/>
  <c r="G314" i="6"/>
  <c r="L314" i="6" s="1"/>
  <c r="G1014" i="6"/>
  <c r="L1014" i="6" s="1"/>
  <c r="G1106" i="6"/>
  <c r="G263" i="6"/>
  <c r="L263" i="6" s="1"/>
  <c r="G653" i="6"/>
  <c r="L653" i="6" s="1"/>
  <c r="G254" i="6"/>
  <c r="G471" i="6"/>
  <c r="L471" i="6" s="1"/>
  <c r="G954" i="6"/>
  <c r="L954" i="6" s="1"/>
  <c r="G1171" i="6"/>
  <c r="L1171" i="6" s="1"/>
  <c r="G228" i="6"/>
  <c r="L228" i="6" s="1"/>
  <c r="G630" i="6"/>
  <c r="G928" i="6"/>
  <c r="L928" i="6" s="1"/>
  <c r="G220" i="6"/>
  <c r="L220" i="6" s="1"/>
  <c r="G385" i="6"/>
  <c r="L385" i="6" s="1"/>
  <c r="G920" i="6"/>
  <c r="L920" i="6" s="1"/>
  <c r="G1085" i="6"/>
  <c r="L1085" i="6" s="1"/>
  <c r="G211" i="6"/>
  <c r="L211" i="6" s="1"/>
  <c r="G534" i="6"/>
  <c r="L534" i="6" s="1"/>
  <c r="G911" i="6"/>
  <c r="L911" i="6" s="1"/>
  <c r="G209" i="6"/>
  <c r="L209" i="6" s="1"/>
  <c r="G480" i="6"/>
  <c r="L480" i="6" s="1"/>
  <c r="G909" i="6"/>
  <c r="L909" i="6" s="1"/>
  <c r="G1180" i="6"/>
  <c r="L1180" i="6" s="1"/>
  <c r="G203" i="6"/>
  <c r="L203" i="6" s="1"/>
  <c r="G689" i="6"/>
  <c r="L689" i="6" s="1"/>
  <c r="G903" i="6"/>
  <c r="L903" i="6" s="1"/>
  <c r="G185" i="6"/>
  <c r="G639" i="6"/>
  <c r="L639" i="6" s="1"/>
  <c r="G885" i="6"/>
  <c r="L885" i="6" s="1"/>
  <c r="G1339" i="6"/>
  <c r="L1339" i="6" s="1"/>
  <c r="G169" i="6"/>
  <c r="G502" i="6"/>
  <c r="L502" i="6" s="1"/>
  <c r="G869" i="6"/>
  <c r="L869" i="6" s="1"/>
  <c r="G156" i="6"/>
  <c r="L156" i="6" s="1"/>
  <c r="G333" i="6"/>
  <c r="G856" i="6"/>
  <c r="L856" i="6" s="1"/>
  <c r="G152" i="6"/>
  <c r="L152" i="6" s="1"/>
  <c r="G318" i="6"/>
  <c r="L318" i="6" s="1"/>
  <c r="G1018" i="6"/>
  <c r="L1018" i="6" s="1"/>
  <c r="G852" i="6"/>
  <c r="G145" i="6"/>
  <c r="L145" i="6" s="1"/>
  <c r="G660" i="6"/>
  <c r="L660" i="6" s="1"/>
  <c r="G845" i="6"/>
  <c r="G139" i="6"/>
  <c r="L139" i="6" s="1"/>
  <c r="G273" i="6"/>
  <c r="L273" i="6" s="1"/>
  <c r="G973" i="6"/>
  <c r="L973" i="6" s="1"/>
  <c r="G839" i="6"/>
  <c r="L839" i="6" s="1"/>
  <c r="G136" i="6"/>
  <c r="L136" i="6" s="1"/>
  <c r="G485" i="6"/>
  <c r="L485" i="6" s="1"/>
  <c r="G694" i="6"/>
  <c r="L694" i="6" s="1"/>
  <c r="G608" i="6"/>
  <c r="L608" i="6" s="1"/>
  <c r="G836" i="6"/>
  <c r="L836" i="6" s="1"/>
  <c r="G132" i="6"/>
  <c r="L132" i="6" s="1"/>
  <c r="G603" i="6"/>
  <c r="L603" i="6" s="1"/>
  <c r="G684" i="6"/>
  <c r="L684" i="6" s="1"/>
  <c r="G832" i="6"/>
  <c r="L832" i="6" s="1"/>
  <c r="G605" i="6"/>
  <c r="L605" i="6" s="1"/>
  <c r="G1303" i="6"/>
  <c r="L1303" i="6" s="1"/>
  <c r="G129" i="6"/>
  <c r="L129" i="6" s="1"/>
  <c r="G1128" i="6"/>
  <c r="L1128" i="6" s="1"/>
  <c r="G829" i="6"/>
  <c r="L829" i="6" s="1"/>
  <c r="G125" i="6"/>
  <c r="L125" i="6" s="1"/>
  <c r="G181" i="6"/>
  <c r="L181" i="6" s="1"/>
  <c r="G257" i="6"/>
  <c r="L257" i="6" s="1"/>
  <c r="G386" i="6"/>
  <c r="L386" i="6" s="1"/>
  <c r="G322" i="6"/>
  <c r="L322" i="6" s="1"/>
  <c r="G650" i="6"/>
  <c r="G958" i="6"/>
  <c r="L958" i="6" s="1"/>
  <c r="G1022" i="6"/>
  <c r="L1022" i="6" s="1"/>
  <c r="G1086" i="6"/>
  <c r="L1086" i="6" s="1"/>
  <c r="G1048" i="6"/>
  <c r="L1048" i="6" s="1"/>
  <c r="G957" i="6"/>
  <c r="L957" i="6" s="1"/>
  <c r="G1260" i="6"/>
  <c r="L1260" i="6" s="1"/>
  <c r="G163" i="6"/>
  <c r="L163" i="6" s="1"/>
  <c r="G120" i="6"/>
  <c r="L120" i="6" s="1"/>
  <c r="G158" i="6"/>
  <c r="L158" i="6" s="1"/>
  <c r="G858" i="6"/>
  <c r="L858" i="6" s="1"/>
  <c r="G820" i="6"/>
  <c r="L820" i="6" s="1"/>
  <c r="G593" i="6"/>
  <c r="L593" i="6" s="1"/>
  <c r="G863" i="6"/>
  <c r="L863" i="6" s="1"/>
  <c r="G123" i="6"/>
  <c r="L123" i="6" s="1"/>
  <c r="G159" i="6"/>
  <c r="L159" i="6" s="1"/>
  <c r="G117" i="6"/>
  <c r="L117" i="6" s="1"/>
  <c r="G498" i="6"/>
  <c r="L498" i="6" s="1"/>
  <c r="G623" i="6"/>
  <c r="L623" i="6" s="1"/>
  <c r="G518" i="6"/>
  <c r="G1323" i="6"/>
  <c r="L1323" i="6" s="1"/>
  <c r="G823" i="6"/>
  <c r="L823" i="6" s="1"/>
  <c r="G111" i="6"/>
  <c r="L111" i="6" s="1"/>
  <c r="G160" i="6"/>
  <c r="L160" i="6" s="1"/>
  <c r="G192" i="6"/>
  <c r="L192" i="6" s="1"/>
  <c r="G554" i="6"/>
  <c r="L554" i="6" s="1"/>
  <c r="G340" i="6"/>
  <c r="L340" i="6" s="1"/>
  <c r="G860" i="6"/>
  <c r="L860" i="6" s="1"/>
  <c r="G892" i="6"/>
  <c r="L892" i="6" s="1"/>
  <c r="G1040" i="6"/>
  <c r="L1040" i="6" s="1"/>
  <c r="G589" i="6"/>
  <c r="L589" i="6" s="1"/>
  <c r="G108" i="6"/>
  <c r="L108" i="6" s="1"/>
  <c r="G189" i="6"/>
  <c r="L189" i="6" s="1"/>
  <c r="G808" i="6"/>
  <c r="L808" i="6" s="1"/>
  <c r="G106" i="6"/>
  <c r="L106" i="6" s="1"/>
  <c r="G458" i="6"/>
  <c r="L458" i="6" s="1"/>
  <c r="G462" i="6"/>
  <c r="L462" i="6" s="1"/>
  <c r="G806" i="6"/>
  <c r="L806" i="6" s="1"/>
  <c r="G583" i="6"/>
  <c r="L583" i="6" s="1"/>
  <c r="G619" i="6"/>
  <c r="L619" i="6" s="1"/>
  <c r="G360" i="6"/>
  <c r="L360" i="6" s="1"/>
  <c r="G584" i="6"/>
  <c r="L584" i="6" s="1"/>
  <c r="G1060" i="6"/>
  <c r="L1060" i="6" s="1"/>
  <c r="G1283" i="6"/>
  <c r="L1283" i="6" s="1"/>
  <c r="G1319" i="6"/>
  <c r="L1319" i="6" s="1"/>
  <c r="G1284" i="6"/>
  <c r="L1284" i="6" s="1"/>
  <c r="G183" i="6"/>
  <c r="L183" i="6" s="1"/>
  <c r="G148" i="6"/>
  <c r="L148" i="6" s="1"/>
  <c r="G102" i="6"/>
  <c r="L102" i="6" s="1"/>
  <c r="G507" i="6"/>
  <c r="L507" i="6" s="1"/>
  <c r="G802" i="6"/>
  <c r="L802" i="6" s="1"/>
  <c r="G848" i="6"/>
  <c r="L848" i="6" s="1"/>
  <c r="G1207" i="6"/>
  <c r="L1207" i="6" s="1"/>
  <c r="G99" i="6"/>
  <c r="L99" i="6" s="1"/>
  <c r="G494" i="6"/>
  <c r="L494" i="6" s="1"/>
  <c r="G799" i="6"/>
  <c r="L799" i="6" s="1"/>
  <c r="G95" i="6"/>
  <c r="L95" i="6" s="1"/>
  <c r="G353" i="6"/>
  <c r="G482" i="6"/>
  <c r="L482" i="6" s="1"/>
  <c r="G1053" i="6"/>
  <c r="L1053" i="6" s="1"/>
  <c r="G93" i="6"/>
  <c r="L93" i="6" s="1"/>
  <c r="G97" i="6"/>
  <c r="L97" i="6" s="1"/>
  <c r="G797" i="6"/>
  <c r="L797" i="6" s="1"/>
  <c r="G135" i="6"/>
  <c r="L135" i="6" s="1"/>
  <c r="G393" i="6"/>
  <c r="L393" i="6" s="1"/>
  <c r="G90" i="6"/>
  <c r="L90" i="6" s="1"/>
  <c r="G486" i="6"/>
  <c r="L486" i="6" s="1"/>
  <c r="G266" i="6"/>
  <c r="L266" i="6" s="1"/>
  <c r="G391" i="6"/>
  <c r="L391" i="6" s="1"/>
  <c r="G451" i="6"/>
  <c r="L451" i="6" s="1"/>
  <c r="G790" i="6"/>
  <c r="L790" i="6" s="1"/>
  <c r="G966" i="6"/>
  <c r="L966" i="6" s="1"/>
  <c r="G576" i="6"/>
  <c r="L576" i="6" s="1"/>
  <c r="G624" i="6"/>
  <c r="L624" i="6" s="1"/>
  <c r="G1093" i="6"/>
  <c r="L1093" i="6" s="1"/>
  <c r="G1151" i="6"/>
  <c r="L1151" i="6" s="1"/>
  <c r="G1276" i="6"/>
  <c r="G83" i="6"/>
  <c r="L83" i="6" s="1"/>
  <c r="G243" i="6"/>
  <c r="L243" i="6" s="1"/>
  <c r="G193" i="6"/>
  <c r="L193" i="6" s="1"/>
  <c r="G548" i="6"/>
  <c r="L548" i="6" s="1"/>
  <c r="G893" i="6"/>
  <c r="L893" i="6" s="1"/>
  <c r="G783" i="6"/>
  <c r="L783" i="6" s="1"/>
  <c r="G943" i="6"/>
  <c r="L943" i="6" s="1"/>
  <c r="G1248" i="6"/>
  <c r="L1248" i="6" s="1"/>
  <c r="G80" i="6"/>
  <c r="L80" i="6" s="1"/>
  <c r="G116" i="6"/>
  <c r="L116" i="6" s="1"/>
  <c r="G113" i="6"/>
  <c r="L113" i="6" s="1"/>
  <c r="G202" i="6"/>
  <c r="L202" i="6" s="1"/>
  <c r="G902" i="6"/>
  <c r="L902" i="6" s="1"/>
  <c r="G372" i="6"/>
  <c r="L372" i="6" s="1"/>
  <c r="G550" i="6"/>
  <c r="L550" i="6" s="1"/>
  <c r="G780" i="6"/>
  <c r="L780" i="6" s="1"/>
  <c r="G816" i="6"/>
  <c r="L816" i="6" s="1"/>
  <c r="G1072" i="6"/>
  <c r="L1072" i="6" s="1"/>
  <c r="G813" i="6"/>
  <c r="L813" i="6" s="1"/>
  <c r="G239" i="6"/>
  <c r="L239" i="6" s="1"/>
  <c r="G248" i="6"/>
  <c r="G78" i="6"/>
  <c r="L78" i="6" s="1"/>
  <c r="G423" i="6"/>
  <c r="L423" i="6" s="1"/>
  <c r="G778" i="6"/>
  <c r="L778" i="6" s="1"/>
  <c r="G948" i="6"/>
  <c r="L948" i="6" s="1"/>
  <c r="G75" i="6"/>
  <c r="L75" i="6" s="1"/>
  <c r="G413" i="6"/>
  <c r="L413" i="6" s="1"/>
  <c r="G234" i="6"/>
  <c r="L234" i="6" s="1"/>
  <c r="G463" i="6"/>
  <c r="L463" i="6" s="1"/>
  <c r="G934" i="6"/>
  <c r="L934" i="6" s="1"/>
  <c r="G775" i="6"/>
  <c r="L775" i="6" s="1"/>
  <c r="G1163" i="6"/>
  <c r="L1163" i="6" s="1"/>
  <c r="G71" i="6"/>
  <c r="G74" i="6"/>
  <c r="L74" i="6" s="1"/>
  <c r="G774" i="6"/>
  <c r="L774" i="6" s="1"/>
  <c r="G771" i="6"/>
  <c r="L771" i="6" s="1"/>
  <c r="G67" i="6"/>
  <c r="L67" i="6" s="1"/>
  <c r="G627" i="6"/>
  <c r="L627" i="6" s="1"/>
  <c r="G767" i="6"/>
  <c r="L767" i="6" s="1"/>
  <c r="G1327" i="6"/>
  <c r="L1327" i="6" s="1"/>
  <c r="G65" i="6"/>
  <c r="L65" i="6" s="1"/>
  <c r="G225" i="6"/>
  <c r="L225" i="6" s="1"/>
  <c r="G496" i="6"/>
  <c r="L496" i="6" s="1"/>
  <c r="G765" i="6"/>
  <c r="L765" i="6" s="1"/>
  <c r="G925" i="6"/>
  <c r="L925" i="6" s="1"/>
  <c r="G1196" i="6"/>
  <c r="L1196" i="6" s="1"/>
  <c r="G63" i="6"/>
  <c r="L63" i="6" s="1"/>
  <c r="G315" i="6"/>
  <c r="L315" i="6" s="1"/>
  <c r="G101" i="6"/>
  <c r="L101" i="6" s="1"/>
  <c r="G150" i="6"/>
  <c r="L150" i="6" s="1"/>
  <c r="G278" i="6"/>
  <c r="L278" i="6" s="1"/>
  <c r="G505" i="6"/>
  <c r="L505" i="6" s="1"/>
  <c r="G850" i="6"/>
  <c r="L850" i="6" s="1"/>
  <c r="G978" i="6"/>
  <c r="L978" i="6" s="1"/>
  <c r="G763" i="6"/>
  <c r="L763" i="6" s="1"/>
  <c r="G1015" i="6"/>
  <c r="L1015" i="6" s="1"/>
  <c r="G68" i="6"/>
  <c r="L68" i="6" s="1"/>
  <c r="G61" i="6"/>
  <c r="L61" i="6" s="1"/>
  <c r="G365" i="6"/>
  <c r="L365" i="6" s="1"/>
  <c r="G445" i="6"/>
  <c r="L445" i="6" s="1"/>
  <c r="G510" i="6"/>
  <c r="L510" i="6" s="1"/>
  <c r="G538" i="6"/>
  <c r="L538" i="6" s="1"/>
  <c r="G614" i="6"/>
  <c r="L614" i="6" s="1"/>
  <c r="G316" i="6"/>
  <c r="L316" i="6" s="1"/>
  <c r="G768" i="6"/>
  <c r="L768" i="6" s="1"/>
  <c r="G1016" i="6"/>
  <c r="L1016" i="6" s="1"/>
  <c r="G259" i="6"/>
  <c r="L259" i="6" s="1"/>
  <c r="G295" i="6"/>
  <c r="L295" i="6" s="1"/>
  <c r="G85" i="6"/>
  <c r="G205" i="6"/>
  <c r="L205" i="6" s="1"/>
  <c r="G262" i="6"/>
  <c r="L262" i="6" s="1"/>
  <c r="G58" i="6"/>
  <c r="L58" i="6" s="1"/>
  <c r="G347" i="6"/>
  <c r="L347" i="6" s="1"/>
  <c r="G602" i="6"/>
  <c r="L602" i="6" s="1"/>
  <c r="G758" i="6"/>
  <c r="L758" i="6" s="1"/>
  <c r="G962" i="6"/>
  <c r="L962" i="6" s="1"/>
  <c r="G524" i="6"/>
  <c r="G472" i="6"/>
  <c r="L472" i="6" s="1"/>
  <c r="G992" i="6"/>
  <c r="L992" i="6" s="1"/>
  <c r="G292" i="6"/>
  <c r="L292" i="6" s="1"/>
  <c r="G959" i="6"/>
  <c r="L959" i="6" s="1"/>
  <c r="G1047" i="6"/>
  <c r="L1047" i="6" s="1"/>
  <c r="G1172" i="6"/>
  <c r="L1172" i="6" s="1"/>
  <c r="G1224" i="6"/>
  <c r="L1224" i="6" s="1"/>
  <c r="G213" i="6"/>
  <c r="L213" i="6" s="1"/>
  <c r="G54" i="6"/>
  <c r="L54" i="6" s="1"/>
  <c r="G503" i="6"/>
  <c r="L503" i="6" s="1"/>
  <c r="G571" i="6"/>
  <c r="L571" i="6" s="1"/>
  <c r="G754" i="6"/>
  <c r="L754" i="6" s="1"/>
  <c r="G1203" i="6"/>
  <c r="L1203" i="6" s="1"/>
  <c r="G1271" i="6"/>
  <c r="L1271" i="6" s="1"/>
  <c r="G51" i="6"/>
  <c r="L51" i="6" s="1"/>
  <c r="G212" i="6"/>
  <c r="L212" i="6" s="1"/>
  <c r="G224" i="6"/>
  <c r="L224" i="6" s="1"/>
  <c r="G270" i="6"/>
  <c r="L270" i="6" s="1"/>
  <c r="G398" i="6"/>
  <c r="L398" i="6" s="1"/>
  <c r="G142" i="6"/>
  <c r="G400" i="6"/>
  <c r="L400" i="6" s="1"/>
  <c r="G842" i="6"/>
  <c r="L842" i="6" s="1"/>
  <c r="G970" i="6"/>
  <c r="L970" i="6" s="1"/>
  <c r="G1098" i="6"/>
  <c r="L1098" i="6" s="1"/>
  <c r="G751" i="6"/>
  <c r="L751" i="6" s="1"/>
  <c r="G912" i="6"/>
  <c r="L912" i="6" s="1"/>
  <c r="G924" i="6"/>
  <c r="L924" i="6" s="1"/>
  <c r="G1100" i="6"/>
  <c r="L1100" i="6" s="1"/>
  <c r="G48" i="6"/>
  <c r="L48" i="6" s="1"/>
  <c r="G52" i="6"/>
  <c r="L52" i="6" s="1"/>
  <c r="G626" i="6"/>
  <c r="L626" i="6" s="1"/>
  <c r="G798" i="6"/>
  <c r="L798" i="6" s="1"/>
  <c r="G98" i="6"/>
  <c r="L98" i="6" s="1"/>
  <c r="G664" i="6"/>
  <c r="L664" i="6" s="1"/>
  <c r="G748" i="6"/>
  <c r="L748" i="6" s="1"/>
  <c r="G752" i="6"/>
  <c r="L752" i="6" s="1"/>
  <c r="G59" i="6"/>
  <c r="L59" i="6" s="1"/>
  <c r="G91" i="6"/>
  <c r="L91" i="6" s="1"/>
  <c r="G326" i="6"/>
  <c r="L326" i="6" s="1"/>
  <c r="G264" i="6"/>
  <c r="L264" i="6" s="1"/>
  <c r="G46" i="6"/>
  <c r="L46" i="6" s="1"/>
  <c r="G530" i="6"/>
  <c r="L530" i="6" s="1"/>
  <c r="G690" i="6"/>
  <c r="L690" i="6" s="1"/>
  <c r="G746" i="6"/>
  <c r="L746" i="6" s="1"/>
  <c r="G1026" i="6"/>
  <c r="L1026" i="6" s="1"/>
  <c r="G564" i="6"/>
  <c r="L564" i="6" s="1"/>
  <c r="G759" i="6"/>
  <c r="L759" i="6" s="1"/>
  <c r="G964" i="6"/>
  <c r="G791" i="6"/>
  <c r="L791" i="6" s="1"/>
  <c r="G1264" i="6"/>
  <c r="L1264" i="6" s="1"/>
  <c r="G44" i="6"/>
  <c r="L44" i="6" s="1"/>
  <c r="G208" i="6"/>
  <c r="L208" i="6" s="1"/>
  <c r="G269" i="6"/>
  <c r="L269" i="6" s="1"/>
  <c r="G390" i="6"/>
  <c r="G575" i="6"/>
  <c r="L575" i="6" s="1"/>
  <c r="G1090" i="6"/>
  <c r="L1090" i="6" s="1"/>
  <c r="G452" i="6"/>
  <c r="L452" i="6" s="1"/>
  <c r="G659" i="6"/>
  <c r="L659" i="6" s="1"/>
  <c r="G392" i="6"/>
  <c r="L392" i="6" s="1"/>
  <c r="G696" i="6"/>
  <c r="L696" i="6" s="1"/>
  <c r="G744" i="6"/>
  <c r="L744" i="6" s="1"/>
  <c r="G908" i="6"/>
  <c r="L908" i="6" s="1"/>
  <c r="G1092" i="6"/>
  <c r="L1092" i="6" s="1"/>
  <c r="G1152" i="6"/>
  <c r="L1152" i="6" s="1"/>
  <c r="G1275" i="6"/>
  <c r="L1275" i="6" s="1"/>
  <c r="G1359" i="6"/>
  <c r="L1359" i="6" s="1"/>
  <c r="G42" i="6"/>
  <c r="L42" i="6" s="1"/>
  <c r="G563" i="6"/>
  <c r="L563" i="6" s="1"/>
  <c r="G742" i="6"/>
  <c r="L742" i="6" s="1"/>
  <c r="G436" i="6"/>
  <c r="L436" i="6" s="1"/>
  <c r="G484" i="6"/>
  <c r="L484" i="6" s="1"/>
  <c r="G1136" i="6"/>
  <c r="L1136" i="6" s="1"/>
  <c r="G1263" i="6"/>
  <c r="L1263" i="6" s="1"/>
  <c r="G1184" i="6"/>
  <c r="L1184" i="6" s="1"/>
  <c r="G171" i="6"/>
  <c r="L171" i="6" s="1"/>
  <c r="G40" i="6"/>
  <c r="L40" i="6" s="1"/>
  <c r="G394" i="6"/>
  <c r="L394" i="6" s="1"/>
  <c r="G300" i="6"/>
  <c r="L300" i="6" s="1"/>
  <c r="G1094" i="6"/>
  <c r="L1094" i="6" s="1"/>
  <c r="G656" i="6"/>
  <c r="L656" i="6" s="1"/>
  <c r="G740" i="6"/>
  <c r="L740" i="6" s="1"/>
  <c r="G1000" i="6"/>
  <c r="L1000" i="6" s="1"/>
  <c r="G657" i="6"/>
  <c r="L657" i="6" s="1"/>
  <c r="G871" i="6"/>
  <c r="L871" i="6" s="1"/>
  <c r="G88" i="6"/>
  <c r="L88" i="6" s="1"/>
  <c r="G260" i="6"/>
  <c r="L260" i="6" s="1"/>
  <c r="G38" i="6"/>
  <c r="L38" i="6" s="1"/>
  <c r="G473" i="6"/>
  <c r="L473" i="6" s="1"/>
  <c r="G290" i="6"/>
  <c r="L290" i="6" s="1"/>
  <c r="G738" i="6"/>
  <c r="L738" i="6" s="1"/>
  <c r="G990" i="6"/>
  <c r="L990" i="6" s="1"/>
  <c r="G688" i="6"/>
  <c r="L688" i="6" s="1"/>
  <c r="G788" i="6"/>
  <c r="L788" i="6" s="1"/>
  <c r="G960" i="6"/>
  <c r="L960" i="6" s="1"/>
  <c r="G35" i="6"/>
  <c r="L35" i="6" s="1"/>
  <c r="G37" i="6"/>
  <c r="L37" i="6" s="1"/>
  <c r="G500" i="6"/>
  <c r="L500" i="6" s="1"/>
  <c r="G607" i="6"/>
  <c r="L607" i="6" s="1"/>
  <c r="G735" i="6"/>
  <c r="L735" i="6" s="1"/>
  <c r="G1307" i="6"/>
  <c r="L1307" i="6" s="1"/>
  <c r="G737" i="6"/>
  <c r="L737" i="6" s="1"/>
  <c r="G1200" i="6"/>
  <c r="L1200" i="6" s="1"/>
  <c r="G131" i="6"/>
  <c r="L131" i="6" s="1"/>
  <c r="G33" i="6"/>
  <c r="L33" i="6" s="1"/>
  <c r="G293" i="6"/>
  <c r="L293" i="6" s="1"/>
  <c r="G86" i="6"/>
  <c r="L86" i="6" s="1"/>
  <c r="G345" i="6"/>
  <c r="L345" i="6" s="1"/>
  <c r="G561" i="6"/>
  <c r="L561" i="6" s="1"/>
  <c r="G312" i="6"/>
  <c r="L312" i="6" s="1"/>
  <c r="G559" i="6"/>
  <c r="L559" i="6" s="1"/>
  <c r="G786" i="6"/>
  <c r="L786" i="6" s="1"/>
  <c r="G526" i="6"/>
  <c r="L526" i="6" s="1"/>
  <c r="G1012" i="6"/>
  <c r="L1012" i="6" s="1"/>
  <c r="G733" i="6"/>
  <c r="L733" i="6" s="1"/>
  <c r="G1045" i="6"/>
  <c r="L1045" i="6" s="1"/>
  <c r="G1259" i="6"/>
  <c r="L1259" i="6" s="1"/>
  <c r="G831" i="6"/>
  <c r="L831" i="6" s="1"/>
  <c r="G112" i="6"/>
  <c r="L112" i="6" s="1"/>
  <c r="G29" i="6"/>
  <c r="L29" i="6" s="1"/>
  <c r="G459" i="6"/>
  <c r="L459" i="6" s="1"/>
  <c r="G682" i="6"/>
  <c r="L682" i="6" s="1"/>
  <c r="G862" i="6"/>
  <c r="L862" i="6" s="1"/>
  <c r="G162" i="6"/>
  <c r="L162" i="6" s="1"/>
  <c r="G643" i="6"/>
  <c r="L643" i="6" s="1"/>
  <c r="G812" i="6"/>
  <c r="L812" i="6" s="1"/>
  <c r="G1159" i="6"/>
  <c r="L1159" i="6" s="1"/>
  <c r="G1343" i="6"/>
  <c r="L1343" i="6" s="1"/>
  <c r="G25" i="6"/>
  <c r="L25" i="6" s="1"/>
  <c r="G241" i="6"/>
  <c r="L241" i="6" s="1"/>
  <c r="G466" i="6"/>
  <c r="G415" i="6"/>
  <c r="L415" i="6" s="1"/>
  <c r="G555" i="6"/>
  <c r="G376" i="6"/>
  <c r="L376" i="6" s="1"/>
  <c r="G1076" i="6"/>
  <c r="L1076" i="6" s="1"/>
  <c r="G941" i="6"/>
  <c r="L941" i="6" s="1"/>
  <c r="G1255" i="6"/>
  <c r="L1255" i="6" s="1"/>
  <c r="G23" i="6"/>
  <c r="L23" i="6" s="1"/>
  <c r="G175" i="6"/>
  <c r="L175" i="6" s="1"/>
  <c r="G381" i="6"/>
  <c r="L381" i="6" s="1"/>
  <c r="G549" i="6"/>
  <c r="L549" i="6" s="1"/>
  <c r="G218" i="6"/>
  <c r="L218" i="6" s="1"/>
  <c r="G383" i="6"/>
  <c r="L383" i="6" s="1"/>
  <c r="G447" i="6"/>
  <c r="L447" i="6" s="1"/>
  <c r="G515" i="6"/>
  <c r="L515" i="6" s="1"/>
  <c r="G551" i="6"/>
  <c r="L551" i="6" s="1"/>
  <c r="G384" i="6"/>
  <c r="L384" i="6" s="1"/>
  <c r="G416" i="6"/>
  <c r="L416" i="6" s="1"/>
  <c r="G674" i="6"/>
  <c r="L674" i="6" s="1"/>
  <c r="G918" i="6"/>
  <c r="L918" i="6" s="1"/>
  <c r="G556" i="6"/>
  <c r="L556" i="6" s="1"/>
  <c r="G675" i="6"/>
  <c r="L675" i="6" s="1"/>
  <c r="G723" i="6"/>
  <c r="L723" i="6" s="1"/>
  <c r="G558" i="6"/>
  <c r="L558" i="6" s="1"/>
  <c r="G640" i="6"/>
  <c r="L640" i="6" s="1"/>
  <c r="G1084" i="6"/>
  <c r="L1084" i="6" s="1"/>
  <c r="G1116" i="6"/>
  <c r="G1215" i="6"/>
  <c r="L1215" i="6" s="1"/>
  <c r="G1251" i="6"/>
  <c r="L1251" i="6" s="1"/>
  <c r="G1375" i="6"/>
  <c r="L1375" i="6" s="1"/>
  <c r="G552" i="6"/>
  <c r="L552" i="6" s="1"/>
  <c r="G1252" i="6"/>
  <c r="L1252" i="6" s="1"/>
  <c r="G1256" i="6"/>
  <c r="L1256" i="6" s="1"/>
  <c r="G32" i="6"/>
  <c r="L32" i="6" s="1"/>
  <c r="G216" i="6"/>
  <c r="G21" i="6"/>
  <c r="L21" i="6" s="1"/>
  <c r="G373" i="6"/>
  <c r="L373" i="6" s="1"/>
  <c r="G374" i="6"/>
  <c r="L374" i="6" s="1"/>
  <c r="G378" i="6"/>
  <c r="L378" i="6" s="1"/>
  <c r="G382" i="6"/>
  <c r="L382" i="6" s="1"/>
  <c r="G343" i="6"/>
  <c r="L343" i="6" s="1"/>
  <c r="G375" i="6"/>
  <c r="L375" i="6" s="1"/>
  <c r="G379" i="6"/>
  <c r="L379" i="6" s="1"/>
  <c r="G448" i="6"/>
  <c r="L448" i="6" s="1"/>
  <c r="G522" i="6"/>
  <c r="L522" i="6" s="1"/>
  <c r="G598" i="6"/>
  <c r="L598" i="6" s="1"/>
  <c r="G1074" i="6"/>
  <c r="L1074" i="6" s="1"/>
  <c r="G1078" i="6"/>
  <c r="L1078" i="6" s="1"/>
  <c r="G1082" i="6"/>
  <c r="L1082" i="6" s="1"/>
  <c r="G468" i="6"/>
  <c r="L468" i="6" s="1"/>
  <c r="G574" i="6"/>
  <c r="L574" i="6" s="1"/>
  <c r="G591" i="6"/>
  <c r="L591" i="6" s="1"/>
  <c r="G672" i="6"/>
  <c r="L672" i="6" s="1"/>
  <c r="G732" i="6"/>
  <c r="L732" i="6" s="1"/>
  <c r="G916" i="6"/>
  <c r="L916" i="6" s="1"/>
  <c r="G1080" i="6"/>
  <c r="L1080" i="6" s="1"/>
  <c r="G1148" i="6"/>
  <c r="L1148" i="6" s="1"/>
  <c r="G380" i="6"/>
  <c r="L380" i="6" s="1"/>
  <c r="G1291" i="6"/>
  <c r="G721" i="6"/>
  <c r="L721" i="6" s="1"/>
  <c r="G1079" i="6"/>
  <c r="L1079" i="6" s="1"/>
  <c r="G1168" i="6"/>
  <c r="L1168" i="6" s="1"/>
  <c r="G19" i="6"/>
  <c r="L19" i="6" s="1"/>
  <c r="G179" i="6"/>
  <c r="L179" i="6" s="1"/>
  <c r="G200" i="6"/>
  <c r="L200" i="6" s="1"/>
  <c r="G557" i="6"/>
  <c r="L557" i="6" s="1"/>
  <c r="G26" i="6"/>
  <c r="L26" i="6" s="1"/>
  <c r="G726" i="6"/>
  <c r="L726" i="6" s="1"/>
  <c r="G719" i="6"/>
  <c r="L719" i="6" s="1"/>
  <c r="G900" i="6"/>
  <c r="L900" i="6" s="1"/>
  <c r="G520" i="6"/>
  <c r="L520" i="6" s="1"/>
  <c r="G879" i="6"/>
  <c r="L879" i="6" s="1"/>
  <c r="G1220" i="6"/>
  <c r="L1220" i="6" s="1"/>
  <c r="G17" i="6"/>
  <c r="L17" i="6" s="1"/>
  <c r="G542" i="6"/>
  <c r="L542" i="6" s="1"/>
  <c r="G717" i="6"/>
  <c r="L717" i="6" s="1"/>
  <c r="G237" i="6"/>
  <c r="L237" i="6" s="1"/>
  <c r="G14" i="6"/>
  <c r="L14" i="6" s="1"/>
  <c r="G714" i="6"/>
  <c r="L714" i="6" s="1"/>
  <c r="G671" i="6"/>
  <c r="L671" i="6" s="1"/>
  <c r="G1371" i="6"/>
  <c r="L1371" i="6" s="1"/>
  <c r="G12" i="6"/>
  <c r="L12" i="6" s="1"/>
  <c r="G70" i="6"/>
  <c r="L70" i="6" s="1"/>
  <c r="G513" i="6"/>
  <c r="L513" i="6" s="1"/>
  <c r="G770" i="6"/>
  <c r="L770" i="6" s="1"/>
  <c r="G878" i="6"/>
  <c r="L878" i="6" s="1"/>
  <c r="G178" i="6"/>
  <c r="L178" i="6" s="1"/>
  <c r="G712" i="6"/>
  <c r="L712" i="6" s="1"/>
  <c r="G331" i="6"/>
  <c r="L331" i="6" s="1"/>
  <c r="G72" i="6"/>
  <c r="L72" i="6" s="1"/>
  <c r="G153" i="6"/>
  <c r="L153" i="6" s="1"/>
  <c r="G233" i="6"/>
  <c r="L233" i="6" s="1"/>
  <c r="G10" i="6"/>
  <c r="L10" i="6" s="1"/>
  <c r="G306" i="6"/>
  <c r="L306" i="6" s="1"/>
  <c r="G618" i="6"/>
  <c r="L618" i="6" s="1"/>
  <c r="G710" i="6"/>
  <c r="L710" i="6" s="1"/>
  <c r="G1006" i="6"/>
  <c r="L1006" i="6" s="1"/>
  <c r="G284" i="6"/>
  <c r="L284" i="6" s="1"/>
  <c r="G408" i="6"/>
  <c r="L408" i="6" s="1"/>
  <c r="G772" i="6"/>
  <c r="L772" i="6" s="1"/>
  <c r="G984" i="6"/>
  <c r="L984" i="6" s="1"/>
  <c r="G1108" i="6"/>
  <c r="L1108" i="6" s="1"/>
  <c r="G853" i="6"/>
  <c r="L853" i="6" s="1"/>
  <c r="G933" i="6"/>
  <c r="L933" i="6" s="1"/>
  <c r="G1031" i="6"/>
  <c r="L1031" i="6" s="1"/>
  <c r="G8" i="6"/>
  <c r="L8" i="6" s="1"/>
  <c r="G371" i="6"/>
  <c r="L371" i="6" s="1"/>
  <c r="G708" i="6"/>
  <c r="L708" i="6" s="1"/>
  <c r="G1071" i="6"/>
  <c r="L1071" i="6" s="1"/>
  <c r="G5" i="6"/>
  <c r="L5" i="6" s="1"/>
  <c r="G631" i="6"/>
  <c r="L631" i="6" s="1"/>
  <c r="G1331" i="6"/>
  <c r="L1331" i="6" s="1"/>
  <c r="G705" i="6"/>
  <c r="L705" i="6" s="1"/>
  <c r="G3" i="6"/>
  <c r="L3" i="6" s="1"/>
  <c r="G7" i="6"/>
  <c r="L7" i="6" s="1"/>
  <c r="G147" i="6"/>
  <c r="L147" i="6" s="1"/>
  <c r="G229" i="6"/>
  <c r="L229" i="6" s="1"/>
  <c r="G442" i="6"/>
  <c r="L442" i="6" s="1"/>
  <c r="G506" i="6"/>
  <c r="G582" i="6"/>
  <c r="L582" i="6" s="1"/>
  <c r="G1142" i="6"/>
  <c r="L1142" i="6" s="1"/>
  <c r="G703" i="6"/>
  <c r="L703" i="6" s="1"/>
  <c r="G707" i="6"/>
  <c r="L707" i="6" s="1"/>
  <c r="G847" i="6"/>
  <c r="L847" i="6" s="1"/>
  <c r="H1297" i="6"/>
  <c r="H1249" i="6"/>
  <c r="H1209" i="6"/>
  <c r="H1081" i="6"/>
  <c r="H990" i="6"/>
  <c r="H726" i="6"/>
  <c r="G1401" i="6"/>
  <c r="L1401" i="6" s="1"/>
  <c r="G1396" i="6"/>
  <c r="L1396" i="6" s="1"/>
  <c r="G1390" i="6"/>
  <c r="L1390" i="6" s="1"/>
  <c r="G1385" i="6"/>
  <c r="L1385" i="6" s="1"/>
  <c r="G1374" i="6"/>
  <c r="L1374" i="6" s="1"/>
  <c r="G1369" i="6"/>
  <c r="L1369" i="6" s="1"/>
  <c r="G1364" i="6"/>
  <c r="L1364" i="6" s="1"/>
  <c r="G1353" i="6"/>
  <c r="L1353" i="6" s="1"/>
  <c r="G1326" i="6"/>
  <c r="L1326" i="6" s="1"/>
  <c r="G1305" i="6"/>
  <c r="L1305" i="6" s="1"/>
  <c r="G1298" i="6"/>
  <c r="L1298" i="6" s="1"/>
  <c r="G1293" i="6"/>
  <c r="L1293" i="6" s="1"/>
  <c r="G1261" i="6"/>
  <c r="L1261" i="6" s="1"/>
  <c r="G1234" i="6"/>
  <c r="L1234" i="6" s="1"/>
  <c r="G1222" i="6"/>
  <c r="L1222" i="6" s="1"/>
  <c r="G1210" i="6"/>
  <c r="L1210" i="6" s="1"/>
  <c r="G1205" i="6"/>
  <c r="L1205" i="6" s="1"/>
  <c r="G1198" i="6"/>
  <c r="L1198" i="6" s="1"/>
  <c r="G1186" i="6"/>
  <c r="L1186" i="6" s="1"/>
  <c r="G1178" i="6"/>
  <c r="L1178" i="6" s="1"/>
  <c r="G1173" i="6"/>
  <c r="G1158" i="6"/>
  <c r="L1158" i="6" s="1"/>
  <c r="G1147" i="6"/>
  <c r="L1147" i="6" s="1"/>
  <c r="G1115" i="6"/>
  <c r="L1115" i="6" s="1"/>
  <c r="G1083" i="6"/>
  <c r="G1051" i="6"/>
  <c r="L1051" i="6" s="1"/>
  <c r="G939" i="6"/>
  <c r="L939" i="6" s="1"/>
  <c r="G875" i="6"/>
  <c r="L875" i="6" s="1"/>
  <c r="G859" i="6"/>
  <c r="L859" i="6" s="1"/>
  <c r="G811" i="6"/>
  <c r="L811" i="6" s="1"/>
  <c r="G795" i="6"/>
  <c r="L795" i="6" s="1"/>
  <c r="G681" i="6"/>
  <c r="L681" i="6" s="1"/>
  <c r="G649" i="6"/>
  <c r="L649" i="6" s="1"/>
  <c r="G617" i="6"/>
  <c r="L617" i="6" s="1"/>
  <c r="G428" i="6"/>
  <c r="L428" i="6" s="1"/>
  <c r="G258" i="6"/>
  <c r="L258" i="6" s="1"/>
  <c r="G104" i="6"/>
  <c r="L104" i="6" s="1"/>
  <c r="G182" i="6"/>
  <c r="L182" i="6" s="1"/>
  <c r="G174" i="6"/>
  <c r="L174" i="6" s="1"/>
  <c r="G443" i="6"/>
  <c r="L443" i="6" s="1"/>
  <c r="G702" i="6"/>
  <c r="L702" i="6" s="1"/>
  <c r="G874" i="6"/>
  <c r="L874" i="6" s="1"/>
  <c r="G882" i="6"/>
  <c r="L882" i="6" s="1"/>
  <c r="G580" i="6"/>
  <c r="L580" i="6" s="1"/>
  <c r="G804" i="6"/>
  <c r="L804" i="6" s="1"/>
  <c r="G1143" i="6"/>
  <c r="L1143" i="6" s="1"/>
  <c r="G1280" i="6"/>
  <c r="L1280" i="6" s="1"/>
  <c r="H822" i="6"/>
  <c r="I822" i="6" s="1"/>
  <c r="H942" i="6"/>
  <c r="P989" i="6"/>
  <c r="H1113" i="6"/>
  <c r="H1073" i="6"/>
  <c r="H662" i="6"/>
  <c r="G1394" i="6"/>
  <c r="L1394" i="6" s="1"/>
  <c r="G1389" i="6"/>
  <c r="L1389" i="6" s="1"/>
  <c r="G1384" i="6"/>
  <c r="L1384" i="6" s="1"/>
  <c r="G1362" i="6"/>
  <c r="L1362" i="6" s="1"/>
  <c r="G1357" i="6"/>
  <c r="L1357" i="6" s="1"/>
  <c r="G1330" i="6"/>
  <c r="L1330" i="6" s="1"/>
  <c r="G1325" i="6"/>
  <c r="L1325" i="6" s="1"/>
  <c r="G1314" i="6"/>
  <c r="L1314" i="6" s="1"/>
  <c r="G1258" i="6"/>
  <c r="L1258" i="6" s="1"/>
  <c r="G1250" i="6"/>
  <c r="L1250" i="6" s="1"/>
  <c r="G1238" i="6"/>
  <c r="L1238" i="6" s="1"/>
  <c r="G1233" i="6"/>
  <c r="L1233" i="6" s="1"/>
  <c r="G1190" i="6"/>
  <c r="L1190" i="6" s="1"/>
  <c r="G1185" i="6"/>
  <c r="L1185" i="6" s="1"/>
  <c r="G1162" i="6"/>
  <c r="L1162" i="6" s="1"/>
  <c r="G1145" i="6"/>
  <c r="L1145" i="6" s="1"/>
  <c r="G1113" i="6"/>
  <c r="L1113" i="6" s="1"/>
  <c r="G1081" i="6"/>
  <c r="L1081" i="6" s="1"/>
  <c r="G1065" i="6"/>
  <c r="G1033" i="6"/>
  <c r="L1033" i="6" s="1"/>
  <c r="G1001" i="6"/>
  <c r="L1001" i="6" s="1"/>
  <c r="G969" i="6"/>
  <c r="L969" i="6" s="1"/>
  <c r="G937" i="6"/>
  <c r="L937" i="6" s="1"/>
  <c r="G905" i="6"/>
  <c r="L905" i="6" s="1"/>
  <c r="G889" i="6"/>
  <c r="L889" i="6" s="1"/>
  <c r="G825" i="6"/>
  <c r="L825" i="6" s="1"/>
  <c r="G793" i="6"/>
  <c r="L793" i="6" s="1"/>
  <c r="G1135" i="6"/>
  <c r="L1135" i="6" s="1"/>
  <c r="G1111" i="6"/>
  <c r="L1111" i="6" s="1"/>
  <c r="G927" i="6"/>
  <c r="L927" i="6" s="1"/>
  <c r="G673" i="6"/>
  <c r="L673" i="6" s="1"/>
  <c r="G455" i="6"/>
  <c r="L455" i="6" s="1"/>
  <c r="G663" i="6"/>
  <c r="L663" i="6" s="1"/>
  <c r="G425" i="6"/>
  <c r="L425" i="6" s="1"/>
  <c r="G652" i="6"/>
  <c r="L652" i="6" s="1"/>
  <c r="G401" i="6"/>
  <c r="L401" i="6" s="1"/>
  <c r="G440" i="6"/>
  <c r="L440" i="6" s="1"/>
  <c r="G1140" i="6"/>
  <c r="L1140" i="6" s="1"/>
  <c r="G370" i="6"/>
  <c r="L370" i="6" s="1"/>
  <c r="G407" i="6"/>
  <c r="L407" i="6" s="1"/>
  <c r="G1070" i="6"/>
  <c r="L1070" i="6" s="1"/>
  <c r="G363" i="6"/>
  <c r="L363" i="6" s="1"/>
  <c r="G540" i="6"/>
  <c r="G354" i="6"/>
  <c r="L354" i="6" s="1"/>
  <c r="G610" i="6"/>
  <c r="L610" i="6" s="1"/>
  <c r="G1054" i="6"/>
  <c r="L1054" i="6" s="1"/>
  <c r="G349" i="6"/>
  <c r="L349" i="6" s="1"/>
  <c r="G474" i="6"/>
  <c r="L474" i="6" s="1"/>
  <c r="G651" i="6"/>
  <c r="L651" i="6" s="1"/>
  <c r="G687" i="6"/>
  <c r="L687" i="6" s="1"/>
  <c r="G329" i="6"/>
  <c r="L329" i="6" s="1"/>
  <c r="G330" i="6"/>
  <c r="G1030" i="6"/>
  <c r="L1030" i="6" s="1"/>
  <c r="G313" i="6"/>
  <c r="L313" i="6" s="1"/>
  <c r="G579" i="6"/>
  <c r="L579" i="6" s="1"/>
  <c r="G296" i="6"/>
  <c r="L296" i="6" s="1"/>
  <c r="G996" i="6"/>
  <c r="L996" i="6" s="1"/>
  <c r="G291" i="6"/>
  <c r="L291" i="6" s="1"/>
  <c r="G469" i="6"/>
  <c r="L469" i="6" s="1"/>
  <c r="G470" i="6"/>
  <c r="L470" i="6" s="1"/>
  <c r="G604" i="6"/>
  <c r="L604" i="6" s="1"/>
  <c r="G279" i="6"/>
  <c r="L279" i="6" s="1"/>
  <c r="G578" i="6"/>
  <c r="L578" i="6" s="1"/>
  <c r="G509" i="6"/>
  <c r="L509" i="6" s="1"/>
  <c r="G541" i="6"/>
  <c r="L541" i="6" s="1"/>
  <c r="G276" i="6"/>
  <c r="L276" i="6" s="1"/>
  <c r="G632" i="6"/>
  <c r="G976" i="6"/>
  <c r="L976" i="6" s="1"/>
  <c r="G255" i="6"/>
  <c r="L255" i="6" s="1"/>
  <c r="G525" i="6"/>
  <c r="L525" i="6" s="1"/>
  <c r="G450" i="6"/>
  <c r="L450" i="6" s="1"/>
  <c r="G1150" i="6"/>
  <c r="L1150" i="6" s="1"/>
  <c r="G424" i="6"/>
  <c r="L424" i="6" s="1"/>
  <c r="G1124" i="6"/>
  <c r="L1124" i="6" s="1"/>
  <c r="G235" i="6"/>
  <c r="G282" i="6"/>
  <c r="L282" i="6" s="1"/>
  <c r="G546" i="6"/>
  <c r="L546" i="6" s="1"/>
  <c r="G586" i="6"/>
  <c r="L586" i="6" s="1"/>
  <c r="G638" i="6"/>
  <c r="L638" i="6" s="1"/>
  <c r="G982" i="6"/>
  <c r="G699" i="6"/>
  <c r="L699" i="6" s="1"/>
  <c r="G223" i="6"/>
  <c r="L223" i="6" s="1"/>
  <c r="G402" i="6"/>
  <c r="L402" i="6" s="1"/>
  <c r="G1102" i="6"/>
  <c r="G612" i="6"/>
  <c r="L612" i="6" s="1"/>
  <c r="G271" i="6"/>
  <c r="L271" i="6" s="1"/>
  <c r="G327" i="6"/>
  <c r="L327" i="6" s="1"/>
  <c r="G214" i="6"/>
  <c r="L214" i="6" s="1"/>
  <c r="G357" i="6"/>
  <c r="L357" i="6" s="1"/>
  <c r="G493" i="6"/>
  <c r="L493" i="6" s="1"/>
  <c r="G272" i="6"/>
  <c r="L272" i="6" s="1"/>
  <c r="G439" i="6"/>
  <c r="G914" i="6"/>
  <c r="L914" i="6" s="1"/>
  <c r="G488" i="6"/>
  <c r="L488" i="6" s="1"/>
  <c r="G570" i="6"/>
  <c r="G972" i="6"/>
  <c r="L972" i="6" s="1"/>
  <c r="G1096" i="6"/>
  <c r="L1096" i="6" s="1"/>
  <c r="G302" i="6"/>
  <c r="L302" i="6" s="1"/>
  <c r="G441" i="6"/>
  <c r="L441" i="6" s="1"/>
  <c r="G454" i="6"/>
  <c r="L454" i="6" s="1"/>
  <c r="G222" i="6"/>
  <c r="L222" i="6" s="1"/>
  <c r="G491" i="6"/>
  <c r="L491" i="6" s="1"/>
  <c r="G535" i="6"/>
  <c r="L535" i="6" s="1"/>
  <c r="G210" i="6"/>
  <c r="L210" i="6" s="1"/>
  <c r="G666" i="6"/>
  <c r="L666" i="6" s="1"/>
  <c r="G910" i="6"/>
  <c r="L910" i="6" s="1"/>
  <c r="G922" i="6"/>
  <c r="L922" i="6" s="1"/>
  <c r="G1002" i="6"/>
  <c r="L1002" i="6" s="1"/>
  <c r="G532" i="6"/>
  <c r="L532" i="6" s="1"/>
  <c r="G206" i="6"/>
  <c r="L206" i="6" s="1"/>
  <c r="G435" i="6"/>
  <c r="L435" i="6" s="1"/>
  <c r="G906" i="6"/>
  <c r="L906" i="6" s="1"/>
  <c r="G1024" i="6"/>
  <c r="L1024" i="6" s="1"/>
  <c r="G188" i="6"/>
  <c r="L188" i="6" s="1"/>
  <c r="G186" i="6"/>
  <c r="L186" i="6" s="1"/>
  <c r="G414" i="6"/>
  <c r="L414" i="6" s="1"/>
  <c r="G886" i="6"/>
  <c r="L886" i="6" s="1"/>
  <c r="G1114" i="6"/>
  <c r="L1114" i="6" s="1"/>
  <c r="G888" i="6"/>
  <c r="G170" i="6"/>
  <c r="L170" i="6" s="1"/>
  <c r="G870" i="6"/>
  <c r="L870" i="6" s="1"/>
  <c r="G695" i="6"/>
  <c r="L695" i="6" s="1"/>
  <c r="G168" i="6"/>
  <c r="G434" i="6"/>
  <c r="L434" i="6" s="1"/>
  <c r="G395" i="6"/>
  <c r="L395" i="6" s="1"/>
  <c r="G483" i="6"/>
  <c r="L483" i="6" s="1"/>
  <c r="G658" i="6"/>
  <c r="L658" i="6" s="1"/>
  <c r="G1134" i="6"/>
  <c r="L1134" i="6" s="1"/>
  <c r="G655" i="6"/>
  <c r="L655" i="6" s="1"/>
  <c r="G868" i="6"/>
  <c r="L868" i="6" s="1"/>
  <c r="G155" i="6"/>
  <c r="L155" i="6" s="1"/>
  <c r="G411" i="6"/>
  <c r="L411" i="6" s="1"/>
  <c r="G461" i="6"/>
  <c r="L461" i="6" s="1"/>
  <c r="G146" i="6"/>
  <c r="L146" i="6" s="1"/>
  <c r="G846" i="6"/>
  <c r="L846" i="6" s="1"/>
  <c r="G628" i="6"/>
  <c r="L628" i="6" s="1"/>
  <c r="G668" i="6"/>
  <c r="L668" i="6" s="1"/>
  <c r="G140" i="6"/>
  <c r="L140" i="6" s="1"/>
  <c r="G399" i="6"/>
  <c r="L399" i="6" s="1"/>
  <c r="G403" i="6"/>
  <c r="L403" i="6" s="1"/>
  <c r="G698" i="6"/>
  <c r="L698" i="6" s="1"/>
  <c r="G840" i="6"/>
  <c r="L840" i="6" s="1"/>
  <c r="G207" i="6"/>
  <c r="L207" i="6" s="1"/>
  <c r="G267" i="6"/>
  <c r="L267" i="6" s="1"/>
  <c r="G137" i="6"/>
  <c r="L137" i="6" s="1"/>
  <c r="G265" i="6"/>
  <c r="L265" i="6" s="1"/>
  <c r="G481" i="6"/>
  <c r="L481" i="6" s="1"/>
  <c r="G501" i="6"/>
  <c r="L501" i="6" s="1"/>
  <c r="G268" i="6"/>
  <c r="L268" i="6" s="1"/>
  <c r="G432" i="6"/>
  <c r="L432" i="6" s="1"/>
  <c r="G404" i="6"/>
  <c r="L404" i="6" s="1"/>
  <c r="G565" i="6"/>
  <c r="L565" i="6" s="1"/>
  <c r="G692" i="6"/>
  <c r="L692" i="6" s="1"/>
  <c r="G968" i="6"/>
  <c r="L968" i="6" s="1"/>
  <c r="G1104" i="6"/>
  <c r="L1104" i="6" s="1"/>
  <c r="G1132" i="6"/>
  <c r="L1132" i="6" s="1"/>
  <c r="G133" i="6"/>
  <c r="L133" i="6" s="1"/>
  <c r="G437" i="6"/>
  <c r="L437" i="6" s="1"/>
  <c r="G529" i="6"/>
  <c r="L529" i="6" s="1"/>
  <c r="G479" i="6"/>
  <c r="L479" i="6" s="1"/>
  <c r="G449" i="6"/>
  <c r="L449" i="6" s="1"/>
  <c r="G830" i="6"/>
  <c r="L830" i="6" s="1"/>
  <c r="G128" i="6"/>
  <c r="L128" i="6" s="1"/>
  <c r="G256" i="6"/>
  <c r="L256" i="6" s="1"/>
  <c r="G346" i="6"/>
  <c r="L346" i="6" s="1"/>
  <c r="G1046" i="6"/>
  <c r="L1046" i="6" s="1"/>
  <c r="G828" i="6"/>
  <c r="L828" i="6" s="1"/>
  <c r="G956" i="6"/>
  <c r="L956" i="6" s="1"/>
  <c r="G124" i="6"/>
  <c r="L124" i="6" s="1"/>
  <c r="G342" i="6"/>
  <c r="G594" i="6"/>
  <c r="L594" i="6" s="1"/>
  <c r="G1042" i="6"/>
  <c r="L1042" i="6" s="1"/>
  <c r="G420" i="6"/>
  <c r="L420" i="6" s="1"/>
  <c r="G824" i="6"/>
  <c r="L824" i="6" s="1"/>
  <c r="G1120" i="6"/>
  <c r="L1120" i="6" s="1"/>
  <c r="G118" i="6"/>
  <c r="L118" i="6" s="1"/>
  <c r="G334" i="6"/>
  <c r="L334" i="6" s="1"/>
  <c r="G341" i="6"/>
  <c r="L341" i="6" s="1"/>
  <c r="G418" i="6"/>
  <c r="L418" i="6" s="1"/>
  <c r="G514" i="6"/>
  <c r="L514" i="6" s="1"/>
  <c r="G523" i="6"/>
  <c r="L523" i="6" s="1"/>
  <c r="G818" i="6"/>
  <c r="L818" i="6" s="1"/>
  <c r="G1034" i="6"/>
  <c r="L1034" i="6" s="1"/>
  <c r="G1118" i="6"/>
  <c r="L1118" i="6" s="1"/>
  <c r="G115" i="6"/>
  <c r="L115" i="6" s="1"/>
  <c r="G191" i="6"/>
  <c r="L191" i="6" s="1"/>
  <c r="G161" i="6"/>
  <c r="L161" i="6" s="1"/>
  <c r="G166" i="6"/>
  <c r="L166" i="6" s="1"/>
  <c r="G336" i="6"/>
  <c r="L336" i="6" s="1"/>
  <c r="G678" i="6"/>
  <c r="L678" i="6" s="1"/>
  <c r="G866" i="6"/>
  <c r="L866" i="6" s="1"/>
  <c r="G1036" i="6"/>
  <c r="L1036" i="6" s="1"/>
  <c r="G335" i="6"/>
  <c r="L335" i="6" s="1"/>
  <c r="G157" i="6"/>
  <c r="L157" i="6" s="1"/>
  <c r="G421" i="6"/>
  <c r="L421" i="6" s="1"/>
  <c r="G110" i="6"/>
  <c r="L110" i="6" s="1"/>
  <c r="G810" i="6"/>
  <c r="L810" i="6" s="1"/>
  <c r="G107" i="6"/>
  <c r="L107" i="6" s="1"/>
  <c r="G317" i="6"/>
  <c r="L317" i="6" s="1"/>
  <c r="G573" i="6"/>
  <c r="L573" i="6" s="1"/>
  <c r="G105" i="6"/>
  <c r="L105" i="6" s="1"/>
  <c r="G285" i="6"/>
  <c r="L285" i="6" s="1"/>
  <c r="G100" i="6"/>
  <c r="L100" i="6" s="1"/>
  <c r="G539" i="6"/>
  <c r="L539" i="6" s="1"/>
  <c r="G800" i="6"/>
  <c r="L800" i="6" s="1"/>
  <c r="G299" i="6"/>
  <c r="L299" i="6" s="1"/>
  <c r="G96" i="6"/>
  <c r="L96" i="6" s="1"/>
  <c r="G172" i="6"/>
  <c r="L172" i="6" s="1"/>
  <c r="G221" i="6"/>
  <c r="L221" i="6" s="1"/>
  <c r="G297" i="6"/>
  <c r="L297" i="6" s="1"/>
  <c r="G453" i="6"/>
  <c r="L453" i="6" s="1"/>
  <c r="G138" i="6"/>
  <c r="L138" i="6" s="1"/>
  <c r="G567" i="6"/>
  <c r="L567" i="6" s="1"/>
  <c r="G654" i="6"/>
  <c r="L654" i="6" s="1"/>
  <c r="G838" i="6"/>
  <c r="L838" i="6" s="1"/>
  <c r="G796" i="6"/>
  <c r="L796" i="6" s="1"/>
  <c r="G872" i="6"/>
  <c r="L872" i="6" s="1"/>
  <c r="G134" i="6"/>
  <c r="L134" i="6" s="1"/>
  <c r="G94" i="6"/>
  <c r="L94" i="6" s="1"/>
  <c r="G431" i="6"/>
  <c r="L431" i="6" s="1"/>
  <c r="G794" i="6"/>
  <c r="L794" i="6" s="1"/>
  <c r="G834" i="6"/>
  <c r="L834" i="6" s="1"/>
  <c r="G92" i="6"/>
  <c r="L92" i="6" s="1"/>
  <c r="G792" i="6"/>
  <c r="L792" i="6" s="1"/>
  <c r="G323" i="6"/>
  <c r="L323" i="6" s="1"/>
  <c r="G176" i="6"/>
  <c r="L176" i="6" s="1"/>
  <c r="G204" i="6"/>
  <c r="L204" i="6" s="1"/>
  <c r="G89" i="6"/>
  <c r="L89" i="6" s="1"/>
  <c r="G321" i="6"/>
  <c r="L321" i="6" s="1"/>
  <c r="G429" i="6"/>
  <c r="L429" i="6" s="1"/>
  <c r="G527" i="6"/>
  <c r="L527" i="6" s="1"/>
  <c r="G876" i="6"/>
  <c r="L876" i="6" s="1"/>
  <c r="G904" i="6"/>
  <c r="L904" i="6" s="1"/>
  <c r="G164" i="6"/>
  <c r="L164" i="6" s="1"/>
  <c r="G81" i="6"/>
  <c r="L81" i="6" s="1"/>
  <c r="G253" i="6"/>
  <c r="L253" i="6" s="1"/>
  <c r="G308" i="6"/>
  <c r="L308" i="6" s="1"/>
  <c r="G679" i="6"/>
  <c r="L679" i="6" s="1"/>
  <c r="G620" i="6"/>
  <c r="L620" i="6" s="1"/>
  <c r="G864" i="6"/>
  <c r="L864" i="6" s="1"/>
  <c r="G1008" i="6"/>
  <c r="L1008" i="6" s="1"/>
  <c r="G79" i="6"/>
  <c r="L79" i="6" s="1"/>
  <c r="G195" i="6"/>
  <c r="L195" i="6" s="1"/>
  <c r="G240" i="6"/>
  <c r="L240" i="6" s="1"/>
  <c r="G165" i="6"/>
  <c r="L165" i="6" s="1"/>
  <c r="G249" i="6"/>
  <c r="L249" i="6" s="1"/>
  <c r="G521" i="6"/>
  <c r="L521" i="6" s="1"/>
  <c r="G779" i="6"/>
  <c r="L779" i="6" s="1"/>
  <c r="G940" i="6"/>
  <c r="L940" i="6" s="1"/>
  <c r="G199" i="6"/>
  <c r="L199" i="6" s="1"/>
  <c r="G307" i="6"/>
  <c r="G76" i="6"/>
  <c r="L76" i="6" s="1"/>
  <c r="G121" i="6"/>
  <c r="L121" i="6" s="1"/>
  <c r="G309" i="6"/>
  <c r="L309" i="6" s="1"/>
  <c r="G417" i="6"/>
  <c r="L417" i="6" s="1"/>
  <c r="G338" i="6"/>
  <c r="L338" i="6" s="1"/>
  <c r="G622" i="6"/>
  <c r="L622" i="6" s="1"/>
  <c r="G1038" i="6"/>
  <c r="G776" i="6"/>
  <c r="L776" i="6" s="1"/>
  <c r="L1334" i="6"/>
  <c r="G187" i="6"/>
  <c r="L187" i="6" s="1"/>
  <c r="G73" i="6"/>
  <c r="L73" i="6" s="1"/>
  <c r="G545" i="6"/>
  <c r="L545" i="6" s="1"/>
  <c r="G359" i="6"/>
  <c r="L359" i="6" s="1"/>
  <c r="G367" i="6"/>
  <c r="L367" i="6" s="1"/>
  <c r="G634" i="6"/>
  <c r="L634" i="6" s="1"/>
  <c r="G587" i="6"/>
  <c r="L587" i="6" s="1"/>
  <c r="G636" i="6"/>
  <c r="L636" i="6" s="1"/>
  <c r="G1112" i="6"/>
  <c r="L1112" i="6" s="1"/>
  <c r="G103" i="6"/>
  <c r="L103" i="6" s="1"/>
  <c r="G227" i="6"/>
  <c r="L227" i="6" s="1"/>
  <c r="G232" i="6"/>
  <c r="L232" i="6" s="1"/>
  <c r="G69" i="6"/>
  <c r="L69" i="6" s="1"/>
  <c r="G932" i="6"/>
  <c r="L932" i="6" s="1"/>
  <c r="G766" i="6"/>
  <c r="G926" i="6"/>
  <c r="L926" i="6" s="1"/>
  <c r="G226" i="6"/>
  <c r="L226" i="6" s="1"/>
  <c r="G1144" i="6"/>
  <c r="G64" i="6"/>
  <c r="L64" i="6" s="1"/>
  <c r="G764" i="6"/>
  <c r="L764" i="6" s="1"/>
  <c r="G231" i="6"/>
  <c r="L231" i="6" s="1"/>
  <c r="G275" i="6"/>
  <c r="L275" i="6" s="1"/>
  <c r="G184" i="6"/>
  <c r="L184" i="6" s="1"/>
  <c r="G280" i="6"/>
  <c r="L280" i="6" s="1"/>
  <c r="G328" i="6"/>
  <c r="L328" i="6" s="1"/>
  <c r="G62" i="6"/>
  <c r="L62" i="6" s="1"/>
  <c r="G762" i="6"/>
  <c r="L762" i="6" s="1"/>
  <c r="G615" i="6"/>
  <c r="L615" i="6" s="1"/>
  <c r="G616" i="6"/>
  <c r="L616" i="6" s="1"/>
  <c r="G884" i="6"/>
  <c r="L884" i="6" s="1"/>
  <c r="G980" i="6"/>
  <c r="L980" i="6" s="1"/>
  <c r="G1028" i="6"/>
  <c r="L1028" i="6" s="1"/>
  <c r="G60" i="6"/>
  <c r="L60" i="6" s="1"/>
  <c r="G149" i="6"/>
  <c r="L149" i="6" s="1"/>
  <c r="G457" i="6"/>
  <c r="L457" i="6" s="1"/>
  <c r="G760" i="6"/>
  <c r="L760" i="6" s="1"/>
  <c r="G55" i="6"/>
  <c r="L55" i="6" s="1"/>
  <c r="G319" i="6"/>
  <c r="L319" i="6" s="1"/>
  <c r="G339" i="6"/>
  <c r="L339" i="6" s="1"/>
  <c r="G84" i="6"/>
  <c r="L84" i="6" s="1"/>
  <c r="G252" i="6"/>
  <c r="L252" i="6" s="1"/>
  <c r="G57" i="6"/>
  <c r="L57" i="6" s="1"/>
  <c r="G286" i="6"/>
  <c r="L286" i="6" s="1"/>
  <c r="G310" i="6"/>
  <c r="L310" i="6" s="1"/>
  <c r="G465" i="6"/>
  <c r="L465" i="6" s="1"/>
  <c r="G497" i="6"/>
  <c r="L497" i="6" s="1"/>
  <c r="G553" i="6"/>
  <c r="L553" i="6" s="1"/>
  <c r="G238" i="6"/>
  <c r="L238" i="6" s="1"/>
  <c r="G938" i="6"/>
  <c r="L938" i="6" s="1"/>
  <c r="G986" i="6"/>
  <c r="L986" i="6" s="1"/>
  <c r="G1010" i="6"/>
  <c r="L1010" i="6" s="1"/>
  <c r="G595" i="6"/>
  <c r="L595" i="6" s="1"/>
  <c r="G683" i="6"/>
  <c r="L683" i="6" s="1"/>
  <c r="G755" i="6"/>
  <c r="L755" i="6" s="1"/>
  <c r="G644" i="6"/>
  <c r="L644" i="6" s="1"/>
  <c r="G648" i="6"/>
  <c r="L648" i="6" s="1"/>
  <c r="G784" i="6"/>
  <c r="L784" i="6" s="1"/>
  <c r="G952" i="6"/>
  <c r="L952" i="6" s="1"/>
  <c r="G143" i="6"/>
  <c r="L143" i="6" s="1"/>
  <c r="G303" i="6"/>
  <c r="L303" i="6" s="1"/>
  <c r="G53" i="6"/>
  <c r="L53" i="6" s="1"/>
  <c r="G397" i="6"/>
  <c r="L397" i="6" s="1"/>
  <c r="G362" i="6"/>
  <c r="L362" i="6" s="1"/>
  <c r="G438" i="6"/>
  <c r="L438" i="6" s="1"/>
  <c r="G568" i="6"/>
  <c r="L568" i="6" s="1"/>
  <c r="G1062" i="6"/>
  <c r="L1062" i="6" s="1"/>
  <c r="G1138" i="6"/>
  <c r="G49" i="6"/>
  <c r="L49" i="6" s="1"/>
  <c r="G141" i="6"/>
  <c r="L141" i="6" s="1"/>
  <c r="G531" i="6"/>
  <c r="L531" i="6" s="1"/>
  <c r="G356" i="6"/>
  <c r="L356" i="6" s="1"/>
  <c r="G1056" i="6"/>
  <c r="L1056" i="6" s="1"/>
  <c r="G47" i="6"/>
  <c r="L47" i="6" s="1"/>
  <c r="G144" i="6"/>
  <c r="L144" i="6" s="1"/>
  <c r="G305" i="6"/>
  <c r="L305" i="6" s="1"/>
  <c r="G304" i="6"/>
  <c r="L304" i="6" s="1"/>
  <c r="G355" i="6"/>
  <c r="L355" i="6" s="1"/>
  <c r="G750" i="6"/>
  <c r="L750" i="6" s="1"/>
  <c r="G569" i="6"/>
  <c r="G611" i="6"/>
  <c r="L611" i="6" s="1"/>
  <c r="G747" i="6"/>
  <c r="L747" i="6" s="1"/>
  <c r="G50" i="6"/>
  <c r="L50" i="6" s="1"/>
  <c r="G844" i="6"/>
  <c r="L844" i="6" s="1"/>
  <c r="G1004" i="6"/>
  <c r="L1004" i="6" s="1"/>
  <c r="G45" i="6"/>
  <c r="L45" i="6" s="1"/>
  <c r="G298" i="6"/>
  <c r="L298" i="6" s="1"/>
  <c r="G352" i="6"/>
  <c r="L352" i="6" s="1"/>
  <c r="G998" i="6"/>
  <c r="L998" i="6" s="1"/>
  <c r="G1052" i="6"/>
  <c r="L1052" i="6" s="1"/>
  <c r="G43" i="6"/>
  <c r="L43" i="6" s="1"/>
  <c r="G173" i="6"/>
  <c r="L173" i="6" s="1"/>
  <c r="G691" i="6"/>
  <c r="L691" i="6" s="1"/>
  <c r="G743" i="6"/>
  <c r="L743" i="6" s="1"/>
  <c r="G41" i="6"/>
  <c r="L41" i="6" s="1"/>
  <c r="G177" i="6"/>
  <c r="L177" i="6" s="1"/>
  <c r="G325" i="6"/>
  <c r="G433" i="6"/>
  <c r="L433" i="6" s="1"/>
  <c r="G39" i="6"/>
  <c r="L39" i="6" s="1"/>
  <c r="G87" i="6"/>
  <c r="L87" i="6" s="1"/>
  <c r="G167" i="6"/>
  <c r="L167" i="6" s="1"/>
  <c r="G289" i="6"/>
  <c r="L289" i="6" s="1"/>
  <c r="G477" i="6"/>
  <c r="L477" i="6" s="1"/>
  <c r="G427" i="6"/>
  <c r="L427" i="6" s="1"/>
  <c r="G739" i="6"/>
  <c r="L739" i="6" s="1"/>
  <c r="G127" i="6"/>
  <c r="L127" i="6" s="1"/>
  <c r="G311" i="6"/>
  <c r="L311" i="6" s="1"/>
  <c r="G36" i="6"/>
  <c r="L36" i="6" s="1"/>
  <c r="G350" i="6"/>
  <c r="G426" i="6"/>
  <c r="L426" i="6" s="1"/>
  <c r="G126" i="6"/>
  <c r="L126" i="6" s="1"/>
  <c r="G387" i="6"/>
  <c r="L387" i="6" s="1"/>
  <c r="G475" i="6"/>
  <c r="L475" i="6" s="1"/>
  <c r="G826" i="6"/>
  <c r="L826" i="6" s="1"/>
  <c r="G1050" i="6"/>
  <c r="L1050" i="6" s="1"/>
  <c r="G1126" i="6"/>
  <c r="L1126" i="6" s="1"/>
  <c r="G736" i="6"/>
  <c r="L736" i="6" s="1"/>
  <c r="L1386" i="6"/>
  <c r="G261" i="6"/>
  <c r="L261" i="6" s="1"/>
  <c r="G686" i="6"/>
  <c r="L686" i="6" s="1"/>
  <c r="G734" i="6"/>
  <c r="L734" i="6" s="1"/>
  <c r="G34" i="6"/>
  <c r="L34" i="6" s="1"/>
  <c r="G196" i="6"/>
  <c r="L196" i="6" s="1"/>
  <c r="G109" i="6"/>
  <c r="L109" i="6" s="1"/>
  <c r="G30" i="6"/>
  <c r="L30" i="6" s="1"/>
  <c r="G642" i="6"/>
  <c r="L642" i="6" s="1"/>
  <c r="G730" i="6"/>
  <c r="L730" i="6" s="1"/>
  <c r="G596" i="6"/>
  <c r="L596" i="6" s="1"/>
  <c r="G676" i="6"/>
  <c r="L676" i="6" s="1"/>
  <c r="G896" i="6"/>
  <c r="L896" i="6" s="1"/>
  <c r="G27" i="6"/>
  <c r="G251" i="6"/>
  <c r="L251" i="6" s="1"/>
  <c r="G244" i="6"/>
  <c r="L244" i="6" s="1"/>
  <c r="G77" i="6"/>
  <c r="L77" i="6" s="1"/>
  <c r="G201" i="6"/>
  <c r="G198" i="6"/>
  <c r="L198" i="6" s="1"/>
  <c r="G377" i="6"/>
  <c r="L377" i="6" s="1"/>
  <c r="G537" i="6"/>
  <c r="L537" i="6" s="1"/>
  <c r="G122" i="6"/>
  <c r="L122" i="6" s="1"/>
  <c r="G288" i="6"/>
  <c r="L288" i="6" s="1"/>
  <c r="G446" i="6"/>
  <c r="L446" i="6" s="1"/>
  <c r="G590" i="6"/>
  <c r="L590" i="6" s="1"/>
  <c r="G822" i="6"/>
  <c r="L822" i="6" s="1"/>
  <c r="G894" i="6"/>
  <c r="L894" i="6" s="1"/>
  <c r="G898" i="6"/>
  <c r="L898" i="6" s="1"/>
  <c r="G942" i="6"/>
  <c r="L942" i="6" s="1"/>
  <c r="G1146" i="6"/>
  <c r="L1146" i="6" s="1"/>
  <c r="G647" i="6"/>
  <c r="G727" i="6"/>
  <c r="L727" i="6" s="1"/>
  <c r="G242" i="6"/>
  <c r="L242" i="6" s="1"/>
  <c r="G588" i="6"/>
  <c r="L588" i="6" s="1"/>
  <c r="G680" i="6"/>
  <c r="L680" i="6" s="1"/>
  <c r="G944" i="6"/>
  <c r="L944" i="6" s="1"/>
  <c r="G988" i="6"/>
  <c r="L988" i="6" s="1"/>
  <c r="G24" i="6"/>
  <c r="L24" i="6" s="1"/>
  <c r="G56" i="6"/>
  <c r="L56" i="6" s="1"/>
  <c r="G180" i="6"/>
  <c r="L180" i="6" s="1"/>
  <c r="G245" i="6"/>
  <c r="L245" i="6" s="1"/>
  <c r="G337" i="6"/>
  <c r="L337" i="6" s="1"/>
  <c r="G274" i="6"/>
  <c r="L274" i="6" s="1"/>
  <c r="G419" i="6"/>
  <c r="L419" i="6" s="1"/>
  <c r="G467" i="6"/>
  <c r="L467" i="6" s="1"/>
  <c r="G974" i="6"/>
  <c r="L974" i="6" s="1"/>
  <c r="G724" i="6"/>
  <c r="L724" i="6" s="1"/>
  <c r="G756" i="6"/>
  <c r="L756" i="6" s="1"/>
  <c r="G880" i="6"/>
  <c r="L880" i="6" s="1"/>
  <c r="G22" i="6"/>
  <c r="L22" i="6" s="1"/>
  <c r="G422" i="6"/>
  <c r="G82" i="6"/>
  <c r="L82" i="6" s="1"/>
  <c r="G722" i="6"/>
  <c r="L722" i="6" s="1"/>
  <c r="G782" i="6"/>
  <c r="L782" i="6" s="1"/>
  <c r="G1122" i="6"/>
  <c r="L1122" i="6" s="1"/>
  <c r="G599" i="6"/>
  <c r="L599" i="6" s="1"/>
  <c r="G219" i="6"/>
  <c r="L219" i="6" s="1"/>
  <c r="G287" i="6"/>
  <c r="L287" i="6" s="1"/>
  <c r="G20" i="6"/>
  <c r="L20" i="6" s="1"/>
  <c r="G517" i="6"/>
  <c r="L517" i="6" s="1"/>
  <c r="G646" i="6"/>
  <c r="L646" i="6" s="1"/>
  <c r="G814" i="6"/>
  <c r="L814" i="6" s="1"/>
  <c r="G114" i="6"/>
  <c r="L114" i="6" s="1"/>
  <c r="G720" i="6"/>
  <c r="L720" i="6" s="1"/>
  <c r="G31" i="6"/>
  <c r="L31" i="6" s="1"/>
  <c r="G119" i="6"/>
  <c r="L119" i="6" s="1"/>
  <c r="G247" i="6"/>
  <c r="G28" i="6"/>
  <c r="L28" i="6" s="1"/>
  <c r="G197" i="6"/>
  <c r="L197" i="6" s="1"/>
  <c r="G217" i="6"/>
  <c r="L217" i="6" s="1"/>
  <c r="G246" i="6"/>
  <c r="L246" i="6" s="1"/>
  <c r="G361" i="6"/>
  <c r="L361" i="6" s="1"/>
  <c r="G250" i="6"/>
  <c r="L250" i="6" s="1"/>
  <c r="G190" i="6"/>
  <c r="L190" i="6" s="1"/>
  <c r="G519" i="6"/>
  <c r="L519" i="6" s="1"/>
  <c r="G18" i="6"/>
  <c r="L18" i="6" s="1"/>
  <c r="G718" i="6"/>
  <c r="L718" i="6" s="1"/>
  <c r="G890" i="6"/>
  <c r="L890" i="6" s="1"/>
  <c r="G946" i="6"/>
  <c r="L946" i="6" s="1"/>
  <c r="G950" i="6"/>
  <c r="L950" i="6" s="1"/>
  <c r="G516" i="6"/>
  <c r="L516" i="6" s="1"/>
  <c r="G731" i="6"/>
  <c r="L731" i="6" s="1"/>
  <c r="G592" i="6"/>
  <c r="G700" i="6"/>
  <c r="L700" i="6" s="1"/>
  <c r="G728" i="6"/>
  <c r="L728" i="6" s="1"/>
  <c r="G15" i="6"/>
  <c r="L15" i="6" s="1"/>
  <c r="G151" i="6"/>
  <c r="L151" i="6" s="1"/>
  <c r="G215" i="6"/>
  <c r="L215" i="6" s="1"/>
  <c r="G283" i="6"/>
  <c r="L283" i="6" s="1"/>
  <c r="G154" i="6"/>
  <c r="L154" i="6" s="1"/>
  <c r="G511" i="6"/>
  <c r="G368" i="6"/>
  <c r="L368" i="6" s="1"/>
  <c r="G512" i="6"/>
  <c r="L512" i="6" s="1"/>
  <c r="G854" i="6"/>
  <c r="L854" i="6" s="1"/>
  <c r="G635" i="6"/>
  <c r="L635" i="6" s="1"/>
  <c r="G715" i="6"/>
  <c r="L715" i="6" s="1"/>
  <c r="G1068" i="6"/>
  <c r="L1068" i="6" s="1"/>
  <c r="G16" i="6"/>
  <c r="L16" i="6" s="1"/>
  <c r="G13" i="6"/>
  <c r="L13" i="6" s="1"/>
  <c r="G716" i="6"/>
  <c r="L716" i="6" s="1"/>
  <c r="G11" i="6"/>
  <c r="L11" i="6" s="1"/>
  <c r="G236" i="6"/>
  <c r="L236" i="6" s="1"/>
  <c r="G711" i="6"/>
  <c r="L711" i="6" s="1"/>
  <c r="G936" i="6"/>
  <c r="L936" i="6" s="1"/>
  <c r="G9" i="6"/>
  <c r="L9" i="6" s="1"/>
  <c r="G410" i="6"/>
  <c r="G1110" i="6"/>
  <c r="L1110" i="6" s="1"/>
  <c r="G6" i="6"/>
  <c r="L6" i="6" s="1"/>
  <c r="G230" i="6"/>
  <c r="L230" i="6" s="1"/>
  <c r="G706" i="6"/>
  <c r="L706" i="6" s="1"/>
  <c r="G930" i="6"/>
  <c r="L930" i="6" s="1"/>
  <c r="G4" i="6"/>
  <c r="L4" i="6" s="1"/>
  <c r="G704" i="6"/>
  <c r="L704" i="6" s="1"/>
  <c r="G1064" i="6"/>
  <c r="L1064" i="6" s="1"/>
  <c r="G1399" i="6"/>
  <c r="L1399" i="6" s="1"/>
  <c r="G1395" i="6"/>
  <c r="L1395" i="6" s="1"/>
  <c r="G1391" i="6"/>
  <c r="L1391" i="6" s="1"/>
  <c r="G1387" i="6"/>
  <c r="L1387" i="6" s="1"/>
  <c r="G1383" i="6"/>
  <c r="L1383" i="6" s="1"/>
  <c r="G1379" i="6"/>
  <c r="L1379" i="6" s="1"/>
  <c r="G1367" i="6"/>
  <c r="L1367" i="6" s="1"/>
  <c r="G1363" i="6"/>
  <c r="L1363" i="6" s="1"/>
  <c r="G1355" i="6"/>
  <c r="L1355" i="6" s="1"/>
  <c r="G1351" i="6"/>
  <c r="L1351" i="6" s="1"/>
  <c r="G1347" i="6"/>
  <c r="L1347" i="6" s="1"/>
  <c r="G1335" i="6"/>
  <c r="L1335" i="6" s="1"/>
  <c r="G1315" i="6"/>
  <c r="L1315" i="6" s="1"/>
  <c r="G1311" i="6"/>
  <c r="L1311" i="6" s="1"/>
  <c r="G1299" i="6"/>
  <c r="L1299" i="6" s="1"/>
  <c r="G1295" i="6"/>
  <c r="L1295" i="6" s="1"/>
  <c r="G1287" i="6"/>
  <c r="L1287" i="6" s="1"/>
  <c r="G1279" i="6"/>
  <c r="L1279" i="6" s="1"/>
  <c r="G1267" i="6"/>
  <c r="L1267" i="6" s="1"/>
  <c r="G1239" i="6"/>
  <c r="L1239" i="6" s="1"/>
  <c r="G1235" i="6"/>
  <c r="L1235" i="6" s="1"/>
  <c r="G1231" i="6"/>
  <c r="G1227" i="6"/>
  <c r="L1227" i="6" s="1"/>
  <c r="G1223" i="6"/>
  <c r="L1223" i="6" s="1"/>
  <c r="G1219" i="6"/>
  <c r="L1219" i="6" s="1"/>
  <c r="G1211" i="6"/>
  <c r="L1211" i="6" s="1"/>
  <c r="G1191" i="6"/>
  <c r="L1191" i="6" s="1"/>
  <c r="G1187" i="6"/>
  <c r="L1187" i="6" s="1"/>
  <c r="G1183" i="6"/>
  <c r="L1183" i="6" s="1"/>
  <c r="G1179" i="6"/>
  <c r="L1179" i="6" s="1"/>
  <c r="G1175" i="6"/>
  <c r="L1175" i="6" s="1"/>
  <c r="G1167" i="6"/>
  <c r="L1167" i="6" s="1"/>
  <c r="G1155" i="6"/>
  <c r="L1155" i="6" s="1"/>
  <c r="G1149" i="6"/>
  <c r="L1149" i="6" s="1"/>
  <c r="G1141" i="6"/>
  <c r="L1141" i="6" s="1"/>
  <c r="G1133" i="6"/>
  <c r="L1133" i="6" s="1"/>
  <c r="G1125" i="6"/>
  <c r="L1125" i="6" s="1"/>
  <c r="G1117" i="6"/>
  <c r="L1117" i="6" s="1"/>
  <c r="G1101" i="6"/>
  <c r="L1101" i="6" s="1"/>
  <c r="G1077" i="6"/>
  <c r="L1077" i="6" s="1"/>
  <c r="G1061" i="6"/>
  <c r="L1061" i="6" s="1"/>
  <c r="G1037" i="6"/>
  <c r="L1037" i="6" s="1"/>
  <c r="G1029" i="6"/>
  <c r="L1029" i="6" s="1"/>
  <c r="G1021" i="6"/>
  <c r="L1021" i="6" s="1"/>
  <c r="G1013" i="6"/>
  <c r="L1013" i="6" s="1"/>
  <c r="G1005" i="6"/>
  <c r="L1005" i="6" s="1"/>
  <c r="G997" i="6"/>
  <c r="L997" i="6" s="1"/>
  <c r="G989" i="6"/>
  <c r="L989" i="6" s="1"/>
  <c r="G965" i="6"/>
  <c r="L965" i="6" s="1"/>
  <c r="G949" i="6"/>
  <c r="G917" i="6"/>
  <c r="L917" i="6" s="1"/>
  <c r="G901" i="6"/>
  <c r="L901" i="6" s="1"/>
  <c r="G877" i="6"/>
  <c r="L877" i="6" s="1"/>
  <c r="G861" i="6"/>
  <c r="L861" i="6" s="1"/>
  <c r="G837" i="6"/>
  <c r="L837" i="6" s="1"/>
  <c r="G821" i="6"/>
  <c r="L821" i="6" s="1"/>
  <c r="G805" i="6"/>
  <c r="L805" i="6" s="1"/>
  <c r="G789" i="6"/>
  <c r="L789" i="6" s="1"/>
  <c r="G781" i="6"/>
  <c r="L781" i="6" s="1"/>
  <c r="G749" i="6"/>
  <c r="L749" i="6" s="1"/>
  <c r="G637" i="6"/>
  <c r="L637" i="6" s="1"/>
  <c r="G621" i="6"/>
  <c r="L621" i="6" s="1"/>
  <c r="G572" i="6"/>
  <c r="L572" i="6" s="1"/>
  <c r="G544" i="6"/>
  <c r="L544" i="6" s="1"/>
  <c r="G508" i="6"/>
  <c r="L508" i="6" s="1"/>
  <c r="G444" i="6"/>
  <c r="L444" i="6" s="1"/>
  <c r="G66" i="6"/>
  <c r="L66" i="6" s="1"/>
  <c r="H667" i="6"/>
  <c r="H536" i="6"/>
  <c r="H1367" i="6"/>
  <c r="H1236" i="6"/>
  <c r="I1313" i="6"/>
  <c r="J1313" i="6" s="1"/>
  <c r="H492" i="6"/>
  <c r="H504" i="6"/>
  <c r="I504" i="6" s="1"/>
  <c r="H1192" i="6"/>
  <c r="I1192" i="6" s="1"/>
  <c r="H1204" i="6"/>
  <c r="H613" i="6"/>
  <c r="H487" i="6"/>
  <c r="I487" i="6" s="1"/>
  <c r="J487" i="6" s="1"/>
  <c r="H1187" i="6"/>
  <c r="H661" i="6"/>
  <c r="H455" i="6"/>
  <c r="H663" i="6"/>
  <c r="H1155" i="6"/>
  <c r="I1155" i="6" s="1"/>
  <c r="H1363" i="6"/>
  <c r="H652" i="6"/>
  <c r="H425" i="6"/>
  <c r="I425" i="6" s="1"/>
  <c r="H1352" i="6"/>
  <c r="I1352" i="6" s="1"/>
  <c r="J1352" i="6" s="1"/>
  <c r="H440" i="6"/>
  <c r="I440" i="6" s="1"/>
  <c r="H401" i="6"/>
  <c r="H1140" i="6"/>
  <c r="H407" i="6"/>
  <c r="H370" i="6"/>
  <c r="H1107" i="6"/>
  <c r="H363" i="6"/>
  <c r="H540" i="6"/>
  <c r="H633" i="6"/>
  <c r="H1063" i="6"/>
  <c r="H1240" i="6"/>
  <c r="H354" i="6"/>
  <c r="H610" i="6"/>
  <c r="H651" i="6"/>
  <c r="H687" i="6"/>
  <c r="H349" i="6"/>
  <c r="H1351" i="6"/>
  <c r="H1387" i="6"/>
  <c r="H474" i="6"/>
  <c r="H329" i="6"/>
  <c r="H330" i="6"/>
  <c r="H313" i="6"/>
  <c r="I313" i="6" s="1"/>
  <c r="H579" i="6"/>
  <c r="H1279" i="6"/>
  <c r="H296" i="6"/>
  <c r="I296" i="6" s="1"/>
  <c r="H609" i="6"/>
  <c r="H996" i="6"/>
  <c r="H291" i="6"/>
  <c r="H604" i="6"/>
  <c r="H469" i="6"/>
  <c r="H991" i="6"/>
  <c r="I991" i="6" s="1"/>
  <c r="H470" i="6"/>
  <c r="H1304" i="6"/>
  <c r="H279" i="6"/>
  <c r="H979" i="6"/>
  <c r="H578" i="6"/>
  <c r="H276" i="6"/>
  <c r="H632" i="6"/>
  <c r="I632" i="6" s="1"/>
  <c r="H976" i="6"/>
  <c r="I976" i="6" s="1"/>
  <c r="J976" i="6" s="1"/>
  <c r="H1332" i="6"/>
  <c r="H509" i="6"/>
  <c r="H541" i="6"/>
  <c r="H255" i="6"/>
  <c r="H424" i="6"/>
  <c r="I424" i="6" s="1"/>
  <c r="H450" i="6"/>
  <c r="H955" i="6"/>
  <c r="H1124" i="6"/>
  <c r="H525" i="6"/>
  <c r="H235" i="6"/>
  <c r="H699" i="6"/>
  <c r="H282" i="6"/>
  <c r="H544" i="6"/>
  <c r="H935" i="6"/>
  <c r="H1399" i="6"/>
  <c r="I1399" i="6" s="1"/>
  <c r="H546" i="6"/>
  <c r="H586" i="6"/>
  <c r="H1244" i="6"/>
  <c r="H223" i="6"/>
  <c r="H923" i="6"/>
  <c r="H612" i="6"/>
  <c r="H402" i="6"/>
  <c r="H1312" i="6"/>
  <c r="H271" i="6"/>
  <c r="H327" i="6"/>
  <c r="H272" i="6"/>
  <c r="H214" i="6"/>
  <c r="H439" i="6"/>
  <c r="H396" i="6"/>
  <c r="H488" i="6"/>
  <c r="H357" i="6"/>
  <c r="H493" i="6"/>
  <c r="H971" i="6"/>
  <c r="H1027" i="6"/>
  <c r="H1139" i="6"/>
  <c r="H570" i="6"/>
  <c r="H914" i="6"/>
  <c r="H972" i="6"/>
  <c r="H1096" i="6"/>
  <c r="H1188" i="6"/>
  <c r="H491" i="6"/>
  <c r="H535" i="6"/>
  <c r="H532" i="6"/>
  <c r="H222" i="6"/>
  <c r="H302" i="6"/>
  <c r="H441" i="6"/>
  <c r="I441" i="6" s="1"/>
  <c r="H210" i="6"/>
  <c r="H1191" i="6"/>
  <c r="H1235" i="6"/>
  <c r="H454" i="6"/>
  <c r="H666" i="6"/>
  <c r="H922" i="6"/>
  <c r="H1232" i="6"/>
  <c r="H324" i="6"/>
  <c r="H435" i="6"/>
  <c r="H528" i="6"/>
  <c r="H206" i="6"/>
  <c r="H1135" i="6"/>
  <c r="H906" i="6"/>
  <c r="H1024" i="6"/>
  <c r="I1024" i="6" s="1"/>
  <c r="H1228" i="6"/>
  <c r="H188" i="6"/>
  <c r="H186" i="6"/>
  <c r="H888" i="6"/>
  <c r="I888" i="6" s="1"/>
  <c r="J888" i="6" s="1"/>
  <c r="H695" i="6"/>
  <c r="H170" i="6"/>
  <c r="H1395" i="6"/>
  <c r="H168" i="6"/>
  <c r="I168" i="6" s="1"/>
  <c r="H395" i="6"/>
  <c r="H483" i="6"/>
  <c r="H655" i="6"/>
  <c r="H868" i="6"/>
  <c r="H434" i="6"/>
  <c r="H1095" i="6"/>
  <c r="H1183" i="6"/>
  <c r="I1183" i="6" s="1"/>
  <c r="H1355" i="6"/>
  <c r="H658" i="6"/>
  <c r="H155" i="6"/>
  <c r="H411" i="6"/>
  <c r="H855" i="6"/>
  <c r="H1111" i="6"/>
  <c r="H508" i="6"/>
  <c r="H628" i="6"/>
  <c r="H668" i="6"/>
  <c r="H461" i="6"/>
  <c r="H146" i="6"/>
  <c r="H1208" i="6"/>
  <c r="H1328" i="6"/>
  <c r="H1368" i="6"/>
  <c r="H140" i="6"/>
  <c r="H399" i="6"/>
  <c r="H403" i="6"/>
  <c r="H840" i="6"/>
  <c r="I840" i="6" s="1"/>
  <c r="J840" i="6" s="1"/>
  <c r="H1099" i="6"/>
  <c r="I1099" i="6" s="1"/>
  <c r="H1103" i="6"/>
  <c r="H698" i="6"/>
  <c r="H207" i="6"/>
  <c r="H267" i="6"/>
  <c r="H268" i="6"/>
  <c r="H137" i="6"/>
  <c r="H265" i="6"/>
  <c r="H907" i="6"/>
  <c r="I907" i="6" s="1"/>
  <c r="H404" i="6"/>
  <c r="H432" i="6"/>
  <c r="H692" i="6"/>
  <c r="H481" i="6"/>
  <c r="H967" i="6"/>
  <c r="H968" i="6"/>
  <c r="H1104" i="6"/>
  <c r="H1132" i="6"/>
  <c r="H1392" i="6"/>
  <c r="H501" i="6"/>
  <c r="H565" i="6"/>
  <c r="H837" i="6"/>
  <c r="H965" i="6"/>
  <c r="H133" i="6"/>
  <c r="H479" i="6"/>
  <c r="H437" i="6"/>
  <c r="H529" i="6"/>
  <c r="H833" i="6"/>
  <c r="H1179" i="6"/>
  <c r="I1179" i="6" s="1"/>
  <c r="J1179" i="6" s="1"/>
  <c r="H128" i="6"/>
  <c r="H256" i="6"/>
  <c r="H828" i="6"/>
  <c r="I828" i="6" s="1"/>
  <c r="J828" i="6" s="1"/>
  <c r="H956" i="6"/>
  <c r="I956" i="6" s="1"/>
  <c r="H346" i="6"/>
  <c r="H124" i="6"/>
  <c r="H420" i="6"/>
  <c r="H824" i="6"/>
  <c r="I824" i="6" s="1"/>
  <c r="J824" i="6" s="1"/>
  <c r="H342" i="6"/>
  <c r="H594" i="6"/>
  <c r="H1120" i="6"/>
  <c r="H118" i="6"/>
  <c r="H523" i="6"/>
  <c r="H341" i="6"/>
  <c r="H334" i="6"/>
  <c r="H418" i="6"/>
  <c r="H1223" i="6"/>
  <c r="H514" i="6"/>
  <c r="H818" i="6"/>
  <c r="H115" i="6"/>
  <c r="H191" i="6"/>
  <c r="H336" i="6"/>
  <c r="H161" i="6"/>
  <c r="H166" i="6"/>
  <c r="H815" i="6"/>
  <c r="H891" i="6"/>
  <c r="H866" i="6"/>
  <c r="H1036" i="6"/>
  <c r="I1036" i="6" s="1"/>
  <c r="J1036" i="6" s="1"/>
  <c r="H861" i="6"/>
  <c r="H335" i="6"/>
  <c r="H157" i="6"/>
  <c r="H110" i="6"/>
  <c r="H421" i="6"/>
  <c r="H857" i="6"/>
  <c r="H1035" i="6"/>
  <c r="H810" i="6"/>
  <c r="H107" i="6"/>
  <c r="H317" i="6"/>
  <c r="H807" i="6"/>
  <c r="H585" i="6"/>
  <c r="I585" i="6" s="1"/>
  <c r="H573" i="6"/>
  <c r="H105" i="6"/>
  <c r="I105" i="6" s="1"/>
  <c r="H285" i="6"/>
  <c r="H805" i="6"/>
  <c r="I805" i="6" s="1"/>
  <c r="J805" i="6" s="1"/>
  <c r="H985" i="6"/>
  <c r="H100" i="6"/>
  <c r="H539" i="6"/>
  <c r="H800" i="6"/>
  <c r="H1239" i="6"/>
  <c r="I1239" i="6" s="1"/>
  <c r="J1239" i="6" s="1"/>
  <c r="H299" i="6"/>
  <c r="H96" i="6"/>
  <c r="H172" i="6"/>
  <c r="H221" i="6"/>
  <c r="H297" i="6"/>
  <c r="H567" i="6"/>
  <c r="H138" i="6"/>
  <c r="H796" i="6"/>
  <c r="I796" i="6" s="1"/>
  <c r="H872" i="6"/>
  <c r="H453" i="6"/>
  <c r="H921" i="6"/>
  <c r="H999" i="6"/>
  <c r="H1267" i="6"/>
  <c r="I1267" i="6" s="1"/>
  <c r="H134" i="6"/>
  <c r="H431" i="6"/>
  <c r="H94" i="6"/>
  <c r="H1131" i="6"/>
  <c r="H794" i="6"/>
  <c r="H834" i="6"/>
  <c r="H92" i="6"/>
  <c r="H792" i="6"/>
  <c r="H323" i="6"/>
  <c r="H176" i="6"/>
  <c r="H204" i="6"/>
  <c r="H89" i="6"/>
  <c r="H321" i="6"/>
  <c r="H527" i="6"/>
  <c r="H876" i="6"/>
  <c r="H904" i="6"/>
  <c r="H429" i="6"/>
  <c r="H601" i="6"/>
  <c r="H1023" i="6"/>
  <c r="H1227" i="6"/>
  <c r="H789" i="6"/>
  <c r="H164" i="6"/>
  <c r="H308" i="6"/>
  <c r="H81" i="6"/>
  <c r="H253" i="6"/>
  <c r="H679" i="6"/>
  <c r="H620" i="6"/>
  <c r="H864" i="6"/>
  <c r="H1379" i="6"/>
  <c r="H1008" i="6"/>
  <c r="H1320" i="6"/>
  <c r="H781" i="6"/>
  <c r="H953" i="6"/>
  <c r="H79" i="6"/>
  <c r="H195" i="6"/>
  <c r="H240" i="6"/>
  <c r="H165" i="6"/>
  <c r="H249" i="6"/>
  <c r="I249" i="6" s="1"/>
  <c r="H779" i="6"/>
  <c r="H895" i="6"/>
  <c r="I895" i="6" s="1"/>
  <c r="H521" i="6"/>
  <c r="H865" i="6"/>
  <c r="H940" i="6"/>
  <c r="H949" i="6"/>
  <c r="H199" i="6"/>
  <c r="H307" i="6"/>
  <c r="H76" i="6"/>
  <c r="H121" i="6"/>
  <c r="I121" i="6" s="1"/>
  <c r="H309" i="6"/>
  <c r="H899" i="6"/>
  <c r="I899" i="6" s="1"/>
  <c r="H338" i="6"/>
  <c r="H776" i="6"/>
  <c r="H417" i="6"/>
  <c r="H1007" i="6"/>
  <c r="H821" i="6"/>
  <c r="H187" i="6"/>
  <c r="H73" i="6"/>
  <c r="H359" i="6"/>
  <c r="H367" i="6"/>
  <c r="H587" i="6"/>
  <c r="H887" i="6"/>
  <c r="H412" i="6"/>
  <c r="H636" i="6"/>
  <c r="H545" i="6"/>
  <c r="H1059" i="6"/>
  <c r="I1059" i="6" s="1"/>
  <c r="H1067" i="6"/>
  <c r="H1287" i="6"/>
  <c r="H634" i="6"/>
  <c r="H1112" i="6"/>
  <c r="H1336" i="6"/>
  <c r="H637" i="6"/>
  <c r="H773" i="6"/>
  <c r="I773" i="6" s="1"/>
  <c r="J773" i="6" s="1"/>
  <c r="H103" i="6"/>
  <c r="H227" i="6"/>
  <c r="H232" i="6"/>
  <c r="I232" i="6" s="1"/>
  <c r="H69" i="6"/>
  <c r="H803" i="6"/>
  <c r="H927" i="6"/>
  <c r="H572" i="6"/>
  <c r="H932" i="6"/>
  <c r="I932" i="6" s="1"/>
  <c r="J932" i="6" s="1"/>
  <c r="H769" i="6"/>
  <c r="H1272" i="6"/>
  <c r="H581" i="6"/>
  <c r="H444" i="6"/>
  <c r="H226" i="6"/>
  <c r="H1144" i="6"/>
  <c r="I1144" i="6" s="1"/>
  <c r="J1144" i="6" s="1"/>
  <c r="H64" i="6"/>
  <c r="H460" i="6"/>
  <c r="H764" i="6"/>
  <c r="I764" i="6" s="1"/>
  <c r="H1160" i="6"/>
  <c r="I1160" i="6" s="1"/>
  <c r="J1160" i="6" s="1"/>
  <c r="H231" i="6"/>
  <c r="H275" i="6"/>
  <c r="H184" i="6"/>
  <c r="I184" i="6" s="1"/>
  <c r="H280" i="6"/>
  <c r="H328" i="6"/>
  <c r="H615" i="6"/>
  <c r="H931" i="6"/>
  <c r="H616" i="6"/>
  <c r="I616" i="6" s="1"/>
  <c r="H884" i="6"/>
  <c r="H62" i="6"/>
  <c r="H975" i="6"/>
  <c r="H1315" i="6"/>
  <c r="H762" i="6"/>
  <c r="H980" i="6"/>
  <c r="H1028" i="6"/>
  <c r="H1316" i="6"/>
  <c r="H60" i="6"/>
  <c r="H149" i="6"/>
  <c r="H760" i="6"/>
  <c r="H457" i="6"/>
  <c r="H849" i="6"/>
  <c r="H55" i="6"/>
  <c r="H319" i="6"/>
  <c r="H339" i="6"/>
  <c r="H84" i="6"/>
  <c r="H252" i="6"/>
  <c r="H57" i="6"/>
  <c r="I57" i="6" s="1"/>
  <c r="H310" i="6"/>
  <c r="H595" i="6"/>
  <c r="H683" i="6"/>
  <c r="H755" i="6"/>
  <c r="H644" i="6"/>
  <c r="H648" i="6"/>
  <c r="H784" i="6"/>
  <c r="H238" i="6"/>
  <c r="H286" i="6"/>
  <c r="H465" i="6"/>
  <c r="H497" i="6"/>
  <c r="H553" i="6"/>
  <c r="I553" i="6" s="1"/>
  <c r="H1019" i="6"/>
  <c r="H1039" i="6"/>
  <c r="H1295" i="6"/>
  <c r="H1383" i="6"/>
  <c r="H952" i="6"/>
  <c r="H1344" i="6"/>
  <c r="H1348" i="6"/>
  <c r="H757" i="6"/>
  <c r="H143" i="6"/>
  <c r="H303" i="6"/>
  <c r="H53" i="6"/>
  <c r="H843" i="6"/>
  <c r="H568" i="6"/>
  <c r="I568" i="6" s="1"/>
  <c r="H397" i="6"/>
  <c r="H753" i="6"/>
  <c r="H1003" i="6"/>
  <c r="H438" i="6"/>
  <c r="H1268" i="6"/>
  <c r="H362" i="6"/>
  <c r="H49" i="6"/>
  <c r="H141" i="6"/>
  <c r="H531" i="6"/>
  <c r="H356" i="6"/>
  <c r="H841" i="6"/>
  <c r="H1231" i="6"/>
  <c r="I1231" i="6" s="1"/>
  <c r="J1231" i="6" s="1"/>
  <c r="H1056" i="6"/>
  <c r="H749" i="6"/>
  <c r="H47" i="6"/>
  <c r="H144" i="6"/>
  <c r="H304" i="6"/>
  <c r="H305" i="6"/>
  <c r="H355" i="6"/>
  <c r="H611" i="6"/>
  <c r="H747" i="6"/>
  <c r="H844" i="6"/>
  <c r="I844" i="6" s="1"/>
  <c r="J844" i="6" s="1"/>
  <c r="H569" i="6"/>
  <c r="I569" i="6" s="1"/>
  <c r="H665" i="6"/>
  <c r="H1055" i="6"/>
  <c r="H1311" i="6"/>
  <c r="H1004" i="6"/>
  <c r="H50" i="6"/>
  <c r="H45" i="6"/>
  <c r="H298" i="6"/>
  <c r="H352" i="6"/>
  <c r="H745" i="6"/>
  <c r="I745" i="6" s="1"/>
  <c r="J745" i="6" s="1"/>
  <c r="H1052" i="6"/>
  <c r="H43" i="6"/>
  <c r="H173" i="6"/>
  <c r="H691" i="6"/>
  <c r="H743" i="6"/>
  <c r="H873" i="6"/>
  <c r="H1391" i="6"/>
  <c r="H693" i="6"/>
  <c r="H41" i="6"/>
  <c r="I41" i="6" s="1"/>
  <c r="H177" i="6"/>
  <c r="H325" i="6"/>
  <c r="H433" i="6"/>
  <c r="H741" i="6"/>
  <c r="H877" i="6"/>
  <c r="I877" i="6" s="1"/>
  <c r="H39" i="6"/>
  <c r="I39" i="6" s="1"/>
  <c r="H87" i="6"/>
  <c r="H167" i="6"/>
  <c r="H289" i="6"/>
  <c r="H427" i="6"/>
  <c r="H739" i="6"/>
  <c r="H787" i="6"/>
  <c r="I787" i="6" s="1"/>
  <c r="H867" i="6"/>
  <c r="I867" i="6" s="1"/>
  <c r="J867" i="6" s="1"/>
  <c r="H477" i="6"/>
  <c r="H1127" i="6"/>
  <c r="H989" i="6"/>
  <c r="H127" i="6"/>
  <c r="H311" i="6"/>
  <c r="H36" i="6"/>
  <c r="H387" i="6"/>
  <c r="H475" i="6"/>
  <c r="H827" i="6"/>
  <c r="H476" i="6"/>
  <c r="H736" i="6"/>
  <c r="H126" i="6"/>
  <c r="H1011" i="6"/>
  <c r="H1087" i="6"/>
  <c r="H1175" i="6"/>
  <c r="H826" i="6"/>
  <c r="H1176" i="6"/>
  <c r="H426" i="6"/>
  <c r="H261" i="6"/>
  <c r="H34" i="6"/>
  <c r="H961" i="6"/>
  <c r="H196" i="6"/>
  <c r="H109" i="6"/>
  <c r="H596" i="6"/>
  <c r="H676" i="6"/>
  <c r="H896" i="6"/>
  <c r="H30" i="6"/>
  <c r="H641" i="6"/>
  <c r="H673" i="6"/>
  <c r="H809" i="6"/>
  <c r="H642" i="6"/>
  <c r="H730" i="6"/>
  <c r="H1296" i="6"/>
  <c r="H1376" i="6"/>
  <c r="H27" i="6"/>
  <c r="H251" i="6"/>
  <c r="H244" i="6"/>
  <c r="H288" i="6"/>
  <c r="H77" i="6"/>
  <c r="H201" i="6"/>
  <c r="H198" i="6"/>
  <c r="H647" i="6"/>
  <c r="H727" i="6"/>
  <c r="H122" i="6"/>
  <c r="H588" i="6"/>
  <c r="H680" i="6"/>
  <c r="I680" i="6" s="1"/>
  <c r="H377" i="6"/>
  <c r="H537" i="6"/>
  <c r="H777" i="6"/>
  <c r="H951" i="6"/>
  <c r="H1347" i="6"/>
  <c r="H898" i="6"/>
  <c r="H944" i="6"/>
  <c r="H988" i="6"/>
  <c r="H1288" i="6"/>
  <c r="H1380" i="6"/>
  <c r="H242" i="6"/>
  <c r="H677" i="6"/>
  <c r="H901" i="6"/>
  <c r="H24" i="6"/>
  <c r="H56" i="6"/>
  <c r="I56" i="6" s="1"/>
  <c r="H180" i="6"/>
  <c r="H245" i="6"/>
  <c r="H337" i="6"/>
  <c r="H419" i="6"/>
  <c r="H467" i="6"/>
  <c r="H724" i="6"/>
  <c r="H756" i="6"/>
  <c r="H880" i="6"/>
  <c r="H274" i="6"/>
  <c r="H1119" i="6"/>
  <c r="H1167" i="6"/>
  <c r="H945" i="6"/>
  <c r="H22" i="6"/>
  <c r="H599" i="6"/>
  <c r="H82" i="6"/>
  <c r="H1299" i="6"/>
  <c r="H422" i="6"/>
  <c r="H722" i="6"/>
  <c r="H219" i="6"/>
  <c r="H287" i="6"/>
  <c r="H20" i="6"/>
  <c r="H919" i="6"/>
  <c r="H720" i="6"/>
  <c r="H987" i="6"/>
  <c r="H114" i="6"/>
  <c r="H517" i="6"/>
  <c r="H31" i="6"/>
  <c r="H119" i="6"/>
  <c r="H247" i="6"/>
  <c r="H28" i="6"/>
  <c r="H197" i="6"/>
  <c r="H217" i="6"/>
  <c r="H246" i="6"/>
  <c r="H519" i="6"/>
  <c r="I519" i="6" s="1"/>
  <c r="H731" i="6"/>
  <c r="H819" i="6"/>
  <c r="H250" i="6"/>
  <c r="H516" i="6"/>
  <c r="H592" i="6"/>
  <c r="H700" i="6"/>
  <c r="H728" i="6"/>
  <c r="H190" i="6"/>
  <c r="H361" i="6"/>
  <c r="I361" i="6" s="1"/>
  <c r="H18" i="6"/>
  <c r="H897" i="6"/>
  <c r="H947" i="6"/>
  <c r="H1219" i="6"/>
  <c r="H890" i="6"/>
  <c r="H1216" i="6"/>
  <c r="H1292" i="6"/>
  <c r="H1400" i="6"/>
  <c r="H597" i="6"/>
  <c r="H621" i="6"/>
  <c r="H645" i="6"/>
  <c r="H917" i="6"/>
  <c r="H15" i="6"/>
  <c r="H151" i="6"/>
  <c r="I151" i="6" s="1"/>
  <c r="H215" i="6"/>
  <c r="H283" i="6"/>
  <c r="H511" i="6"/>
  <c r="H635" i="6"/>
  <c r="H715" i="6"/>
  <c r="H851" i="6"/>
  <c r="H915" i="6"/>
  <c r="I915" i="6" s="1"/>
  <c r="J915" i="6" s="1"/>
  <c r="H154" i="6"/>
  <c r="H368" i="6"/>
  <c r="H512" i="6"/>
  <c r="H983" i="6"/>
  <c r="H1211" i="6"/>
  <c r="H1335" i="6"/>
  <c r="I1335" i="6" s="1"/>
  <c r="H1068" i="6"/>
  <c r="I1068" i="6" s="1"/>
  <c r="H1212" i="6"/>
  <c r="H16" i="6"/>
  <c r="H13" i="6"/>
  <c r="H716" i="6"/>
  <c r="H713" i="6"/>
  <c r="I713" i="6" s="1"/>
  <c r="J713" i="6" s="1"/>
  <c r="H11" i="6"/>
  <c r="H236" i="6"/>
  <c r="H711" i="6"/>
  <c r="H936" i="6"/>
  <c r="H9" i="6"/>
  <c r="H410" i="6"/>
  <c r="H709" i="6"/>
  <c r="H6" i="6"/>
  <c r="I6" i="6" s="1"/>
  <c r="H230" i="6"/>
  <c r="H706" i="6"/>
  <c r="H930" i="6"/>
  <c r="H4" i="6"/>
  <c r="H364" i="6"/>
  <c r="H704" i="6"/>
  <c r="H1064" i="6"/>
  <c r="H1398" i="6"/>
  <c r="I1398" i="6" s="1"/>
  <c r="H1390" i="6"/>
  <c r="I1390" i="6" s="1"/>
  <c r="H1374" i="6"/>
  <c r="H1366" i="6"/>
  <c r="H1358" i="6"/>
  <c r="H1350" i="6"/>
  <c r="I1350" i="6" s="1"/>
  <c r="J1350" i="6" s="1"/>
  <c r="H1342" i="6"/>
  <c r="H1334" i="6"/>
  <c r="I1334" i="6" s="1"/>
  <c r="J1334" i="6" s="1"/>
  <c r="H1318" i="6"/>
  <c r="H1310" i="6"/>
  <c r="H1294" i="6"/>
  <c r="H1286" i="6"/>
  <c r="H1278" i="6"/>
  <c r="H1270" i="6"/>
  <c r="H1246" i="6"/>
  <c r="H1238" i="6"/>
  <c r="H1222" i="6"/>
  <c r="H1214" i="6"/>
  <c r="H1206" i="6"/>
  <c r="H1198" i="6"/>
  <c r="H1190" i="6"/>
  <c r="H1182" i="6"/>
  <c r="H1174" i="6"/>
  <c r="H1158" i="6"/>
  <c r="H1150" i="6"/>
  <c r="I1150" i="6" s="1"/>
  <c r="J1150" i="6" s="1"/>
  <c r="H1142" i="6"/>
  <c r="H1134" i="6"/>
  <c r="H1126" i="6"/>
  <c r="H1118" i="6"/>
  <c r="I1118" i="6" s="1"/>
  <c r="J1118" i="6" s="1"/>
  <c r="H1110" i="6"/>
  <c r="I1110" i="6" s="1"/>
  <c r="J1110" i="6" s="1"/>
  <c r="H1102" i="6"/>
  <c r="H1094" i="6"/>
  <c r="H1086" i="6"/>
  <c r="H1070" i="6"/>
  <c r="I1070" i="6" s="1"/>
  <c r="J1070" i="6" s="1"/>
  <c r="H1062" i="6"/>
  <c r="H1054" i="6"/>
  <c r="H1046" i="6"/>
  <c r="H1038" i="6"/>
  <c r="H1030" i="6"/>
  <c r="I1030" i="6" s="1"/>
  <c r="J1030" i="6" s="1"/>
  <c r="H1006" i="6"/>
  <c r="H998" i="6"/>
  <c r="H986" i="6"/>
  <c r="H938" i="6"/>
  <c r="H910" i="6"/>
  <c r="H878" i="6"/>
  <c r="I878" i="6" s="1"/>
  <c r="J878" i="6" s="1"/>
  <c r="H846" i="6"/>
  <c r="I846" i="6" s="1"/>
  <c r="J846" i="6" s="1"/>
  <c r="H814" i="6"/>
  <c r="H782" i="6"/>
  <c r="H750" i="6"/>
  <c r="H718" i="6"/>
  <c r="H686" i="6"/>
  <c r="H654" i="6"/>
  <c r="H622" i="6"/>
  <c r="H590" i="6"/>
  <c r="H558" i="6"/>
  <c r="H526" i="6"/>
  <c r="H430" i="6"/>
  <c r="H194" i="6"/>
  <c r="Q1389" i="6"/>
  <c r="H1373" i="6"/>
  <c r="H1365" i="6"/>
  <c r="H1341" i="6"/>
  <c r="H1333" i="6"/>
  <c r="I1333" i="6" s="1"/>
  <c r="J1333" i="6" s="1"/>
  <c r="H1317" i="6"/>
  <c r="H1309" i="6"/>
  <c r="H1301" i="6"/>
  <c r="H1285" i="6"/>
  <c r="I1285" i="6" s="1"/>
  <c r="J1285" i="6" s="1"/>
  <c r="H1269" i="6"/>
  <c r="H1261" i="6"/>
  <c r="H1253" i="6"/>
  <c r="H1245" i="6"/>
  <c r="H1237" i="6"/>
  <c r="I1237" i="6" s="1"/>
  <c r="J1237" i="6" s="1"/>
  <c r="H1229" i="6"/>
  <c r="H1221" i="6"/>
  <c r="H1197" i="6"/>
  <c r="H1181" i="6"/>
  <c r="H1165" i="6"/>
  <c r="H1157" i="6"/>
  <c r="H1149" i="6"/>
  <c r="H1141" i="6"/>
  <c r="H1133" i="6"/>
  <c r="H1125" i="6"/>
  <c r="H1117" i="6"/>
  <c r="H1109" i="6"/>
  <c r="H1101" i="6"/>
  <c r="H1093" i="6"/>
  <c r="H1077" i="6"/>
  <c r="H1061" i="6"/>
  <c r="H1037" i="6"/>
  <c r="H1029" i="6"/>
  <c r="I1029" i="6" s="1"/>
  <c r="H1021" i="6"/>
  <c r="H1013" i="6"/>
  <c r="H1005" i="6"/>
  <c r="I1005" i="6" s="1"/>
  <c r="H997" i="6"/>
  <c r="H982" i="6"/>
  <c r="H950" i="6"/>
  <c r="H902" i="6"/>
  <c r="H870" i="6"/>
  <c r="I870" i="6" s="1"/>
  <c r="J870" i="6" s="1"/>
  <c r="H838" i="6"/>
  <c r="H678" i="6"/>
  <c r="H646" i="6"/>
  <c r="H414" i="6"/>
  <c r="H350" i="6"/>
  <c r="H130" i="6"/>
  <c r="H104" i="6"/>
  <c r="I104" i="6" s="1"/>
  <c r="H182" i="6"/>
  <c r="H443" i="6"/>
  <c r="H580" i="6"/>
  <c r="H804" i="6"/>
  <c r="H174" i="6"/>
  <c r="H1143" i="6"/>
  <c r="H874" i="6"/>
  <c r="H882" i="6"/>
  <c r="H1280" i="6"/>
  <c r="I1280" i="6" s="1"/>
  <c r="H600" i="6"/>
  <c r="H1300" i="6"/>
  <c r="H685" i="6"/>
  <c r="H495" i="6"/>
  <c r="H697" i="6"/>
  <c r="H1195" i="6"/>
  <c r="I1277" i="6"/>
  <c r="J1277" i="6" s="1"/>
  <c r="H577" i="6"/>
  <c r="H490" i="6"/>
  <c r="H456" i="6"/>
  <c r="H625" i="6"/>
  <c r="H1156" i="6"/>
  <c r="H405" i="6"/>
  <c r="H629" i="6"/>
  <c r="H464" i="6"/>
  <c r="H1164" i="6"/>
  <c r="H489" i="6"/>
  <c r="I489" i="6" s="1"/>
  <c r="H358" i="6"/>
  <c r="H351" i="6"/>
  <c r="H1051" i="6"/>
  <c r="H562" i="6"/>
  <c r="H332" i="6"/>
  <c r="H543" i="6"/>
  <c r="H547" i="6"/>
  <c r="H369" i="6"/>
  <c r="H409" i="6"/>
  <c r="H1243" i="6"/>
  <c r="H1247" i="6"/>
  <c r="H1032" i="6"/>
  <c r="H320" i="6"/>
  <c r="H499" i="6"/>
  <c r="H1199" i="6"/>
  <c r="I1199" i="6" s="1"/>
  <c r="J1199" i="6" s="1"/>
  <c r="H1020" i="6"/>
  <c r="H301" i="6"/>
  <c r="H533" i="6"/>
  <c r="H294" i="6"/>
  <c r="H344" i="6"/>
  <c r="H388" i="6"/>
  <c r="H1044" i="6"/>
  <c r="H1088" i="6"/>
  <c r="H281" i="6"/>
  <c r="H669" i="6"/>
  <c r="H981" i="6"/>
  <c r="H277" i="6"/>
  <c r="H314" i="6"/>
  <c r="H406" i="6"/>
  <c r="H977" i="6"/>
  <c r="I977" i="6" s="1"/>
  <c r="H263" i="6"/>
  <c r="H963" i="6"/>
  <c r="I963" i="6" s="1"/>
  <c r="J963" i="6" s="1"/>
  <c r="H653" i="6"/>
  <c r="H471" i="6"/>
  <c r="H254" i="6"/>
  <c r="H1171" i="6"/>
  <c r="H228" i="6"/>
  <c r="H928" i="6"/>
  <c r="H220" i="6"/>
  <c r="H920" i="6"/>
  <c r="I920" i="6" s="1"/>
  <c r="J920" i="6" s="1"/>
  <c r="H385" i="6"/>
  <c r="H211" i="6"/>
  <c r="H911" i="6"/>
  <c r="I911" i="6" s="1"/>
  <c r="J911" i="6" s="1"/>
  <c r="K911" i="6" s="1"/>
  <c r="H209" i="6"/>
  <c r="H480" i="6"/>
  <c r="H1180" i="6"/>
  <c r="H909" i="6"/>
  <c r="I909" i="6" s="1"/>
  <c r="H203" i="6"/>
  <c r="H903" i="6"/>
  <c r="H689" i="6"/>
  <c r="H185" i="6"/>
  <c r="I185" i="6" s="1"/>
  <c r="H639" i="6"/>
  <c r="H1339" i="6"/>
  <c r="H885" i="6"/>
  <c r="I885" i="6" s="1"/>
  <c r="H169" i="6"/>
  <c r="I169" i="6" s="1"/>
  <c r="H869" i="6"/>
  <c r="H156" i="6"/>
  <c r="H856" i="6"/>
  <c r="H333" i="6"/>
  <c r="H152" i="6"/>
  <c r="H852" i="6"/>
  <c r="H318" i="6"/>
  <c r="H145" i="6"/>
  <c r="H660" i="6"/>
  <c r="H1360" i="6"/>
  <c r="I1360" i="6" s="1"/>
  <c r="J1360" i="6" s="1"/>
  <c r="H845" i="6"/>
  <c r="H139" i="6"/>
  <c r="H273" i="6"/>
  <c r="H839" i="6"/>
  <c r="H973" i="6"/>
  <c r="H136" i="6"/>
  <c r="I136" i="6" s="1"/>
  <c r="H608" i="6"/>
  <c r="H836" i="6"/>
  <c r="H485" i="6"/>
  <c r="H1308" i="6"/>
  <c r="H132" i="6"/>
  <c r="H603" i="6"/>
  <c r="H684" i="6"/>
  <c r="H832" i="6"/>
  <c r="I832" i="6" s="1"/>
  <c r="H1303" i="6"/>
  <c r="I1303" i="6" s="1"/>
  <c r="H1384" i="6"/>
  <c r="I1384" i="6" s="1"/>
  <c r="H605" i="6"/>
  <c r="H129" i="6"/>
  <c r="H428" i="6"/>
  <c r="H649" i="6"/>
  <c r="H1128" i="6"/>
  <c r="H829" i="6"/>
  <c r="H125" i="6"/>
  <c r="H181" i="6"/>
  <c r="H257" i="6"/>
  <c r="H348" i="6"/>
  <c r="H560" i="6"/>
  <c r="H386" i="6"/>
  <c r="H825" i="6"/>
  <c r="H881" i="6"/>
  <c r="H650" i="6"/>
  <c r="H1048" i="6"/>
  <c r="H1260" i="6"/>
  <c r="H957" i="6"/>
  <c r="I1293" i="6"/>
  <c r="J1293" i="6" s="1"/>
  <c r="H163" i="6"/>
  <c r="H120" i="6"/>
  <c r="I120" i="6" s="1"/>
  <c r="H863" i="6"/>
  <c r="H820" i="6"/>
  <c r="H158" i="6"/>
  <c r="H593" i="6"/>
  <c r="H858" i="6"/>
  <c r="H123" i="6"/>
  <c r="H159" i="6"/>
  <c r="H117" i="6"/>
  <c r="H623" i="6"/>
  <c r="H823" i="6"/>
  <c r="H859" i="6"/>
  <c r="H817" i="6"/>
  <c r="H1323" i="6"/>
  <c r="H498" i="6"/>
  <c r="H111" i="6"/>
  <c r="H160" i="6"/>
  <c r="H192" i="6"/>
  <c r="H340" i="6"/>
  <c r="H811" i="6"/>
  <c r="H860" i="6"/>
  <c r="H892" i="6"/>
  <c r="H554" i="6"/>
  <c r="H1040" i="6"/>
  <c r="I1040" i="6" s="1"/>
  <c r="H589" i="6"/>
  <c r="H108" i="6"/>
  <c r="H189" i="6"/>
  <c r="H808" i="6"/>
  <c r="I808" i="6" s="1"/>
  <c r="J808" i="6" s="1"/>
  <c r="H889" i="6"/>
  <c r="H583" i="6"/>
  <c r="H619" i="6"/>
  <c r="H106" i="6"/>
  <c r="H360" i="6"/>
  <c r="I360" i="6" s="1"/>
  <c r="H584" i="6"/>
  <c r="I584" i="6" s="1"/>
  <c r="H1283" i="6"/>
  <c r="H1319" i="6"/>
  <c r="H1060" i="6"/>
  <c r="H1284" i="6"/>
  <c r="H458" i="6"/>
  <c r="H183" i="6"/>
  <c r="H148" i="6"/>
  <c r="H102" i="6"/>
  <c r="H507" i="6"/>
  <c r="H883" i="6"/>
  <c r="H848" i="6"/>
  <c r="H1207" i="6"/>
  <c r="H802" i="6"/>
  <c r="H99" i="6"/>
  <c r="H799" i="6"/>
  <c r="I799" i="6" s="1"/>
  <c r="J799" i="6" s="1"/>
  <c r="H95" i="6"/>
  <c r="H795" i="6"/>
  <c r="I795" i="6" s="1"/>
  <c r="H353" i="6"/>
  <c r="H482" i="6"/>
  <c r="H93" i="6"/>
  <c r="H97" i="6"/>
  <c r="H793" i="6"/>
  <c r="I793" i="6" s="1"/>
  <c r="J793" i="6" s="1"/>
  <c r="H797" i="6"/>
  <c r="H135" i="6"/>
  <c r="H391" i="6"/>
  <c r="H451" i="6"/>
  <c r="H835" i="6"/>
  <c r="I835" i="6" s="1"/>
  <c r="J835" i="6" s="1"/>
  <c r="H90" i="6"/>
  <c r="H266" i="6"/>
  <c r="H576" i="6"/>
  <c r="H624" i="6"/>
  <c r="H393" i="6"/>
  <c r="I393" i="6" s="1"/>
  <c r="H1091" i="6"/>
  <c r="I1091" i="6" s="1"/>
  <c r="H1151" i="6"/>
  <c r="H486" i="6"/>
  <c r="H1276" i="6"/>
  <c r="H1324" i="6"/>
  <c r="H83" i="6"/>
  <c r="H243" i="6"/>
  <c r="H193" i="6"/>
  <c r="H783" i="6"/>
  <c r="H548" i="6"/>
  <c r="H943" i="6"/>
  <c r="I943" i="6" s="1"/>
  <c r="J943" i="6" s="1"/>
  <c r="H1248" i="6"/>
  <c r="H893" i="6"/>
  <c r="H80" i="6"/>
  <c r="H116" i="6"/>
  <c r="H113" i="6"/>
  <c r="H202" i="6"/>
  <c r="H372" i="6"/>
  <c r="H780" i="6"/>
  <c r="H816" i="6"/>
  <c r="H1072" i="6"/>
  <c r="H813" i="6"/>
  <c r="H239" i="6"/>
  <c r="I239" i="6" s="1"/>
  <c r="H248" i="6"/>
  <c r="I248" i="6" s="1"/>
  <c r="H423" i="6"/>
  <c r="H78" i="6"/>
  <c r="H939" i="6"/>
  <c r="H1123" i="6"/>
  <c r="H778" i="6"/>
  <c r="H948" i="6"/>
  <c r="I948" i="6" s="1"/>
  <c r="J948" i="6" s="1"/>
  <c r="H75" i="6"/>
  <c r="H463" i="6"/>
  <c r="H775" i="6"/>
  <c r="H234" i="6"/>
  <c r="H413" i="6"/>
  <c r="H1163" i="6"/>
  <c r="H71" i="6"/>
  <c r="H771" i="6"/>
  <c r="I771" i="6" s="1"/>
  <c r="J771" i="6" s="1"/>
  <c r="H74" i="6"/>
  <c r="I74" i="6" s="1"/>
  <c r="H67" i="6"/>
  <c r="H627" i="6"/>
  <c r="H767" i="6"/>
  <c r="I767" i="6" s="1"/>
  <c r="J767" i="6" s="1"/>
  <c r="H1327" i="6"/>
  <c r="H65" i="6"/>
  <c r="H225" i="6"/>
  <c r="H496" i="6"/>
  <c r="H1196" i="6"/>
  <c r="H765" i="6"/>
  <c r="I765" i="6" s="1"/>
  <c r="J765" i="6" s="1"/>
  <c r="H925" i="6"/>
  <c r="I925" i="6" s="1"/>
  <c r="H63" i="6"/>
  <c r="H315" i="6"/>
  <c r="H101" i="6"/>
  <c r="H150" i="6"/>
  <c r="H278" i="6"/>
  <c r="H763" i="6"/>
  <c r="I763" i="6" s="1"/>
  <c r="H505" i="6"/>
  <c r="H801" i="6"/>
  <c r="H1015" i="6"/>
  <c r="H850" i="6"/>
  <c r="H68" i="6"/>
  <c r="H316" i="6"/>
  <c r="H61" i="6"/>
  <c r="H768" i="6"/>
  <c r="H365" i="6"/>
  <c r="H445" i="6"/>
  <c r="H761" i="6"/>
  <c r="H538" i="6"/>
  <c r="H1016" i="6"/>
  <c r="H259" i="6"/>
  <c r="H295" i="6"/>
  <c r="H292" i="6"/>
  <c r="H85" i="6"/>
  <c r="H205" i="6"/>
  <c r="H262" i="6"/>
  <c r="H347" i="6"/>
  <c r="H58" i="6"/>
  <c r="H472" i="6"/>
  <c r="H524" i="6"/>
  <c r="H785" i="6"/>
  <c r="I785" i="6" s="1"/>
  <c r="H905" i="6"/>
  <c r="H959" i="6"/>
  <c r="H995" i="6"/>
  <c r="H1047" i="6"/>
  <c r="H602" i="6"/>
  <c r="H992" i="6"/>
  <c r="H1172" i="6"/>
  <c r="H1224" i="6"/>
  <c r="I1224" i="6" s="1"/>
  <c r="H213" i="6"/>
  <c r="H54" i="6"/>
  <c r="I54" i="6" s="1"/>
  <c r="H503" i="6"/>
  <c r="H571" i="6"/>
  <c r="H913" i="6"/>
  <c r="H1203" i="6"/>
  <c r="I1203" i="6" s="1"/>
  <c r="J1203" i="6" s="1"/>
  <c r="H1271" i="6"/>
  <c r="H754" i="6"/>
  <c r="H51" i="6"/>
  <c r="H212" i="6"/>
  <c r="H224" i="6"/>
  <c r="H751" i="6"/>
  <c r="H400" i="6"/>
  <c r="H912" i="6"/>
  <c r="H924" i="6"/>
  <c r="H142" i="6"/>
  <c r="H270" i="6"/>
  <c r="H842" i="6"/>
  <c r="I842" i="6" s="1"/>
  <c r="J842" i="6" s="1"/>
  <c r="H1100" i="6"/>
  <c r="I1100" i="6" s="1"/>
  <c r="H48" i="6"/>
  <c r="H52" i="6"/>
  <c r="H664" i="6"/>
  <c r="H748" i="6"/>
  <c r="H752" i="6"/>
  <c r="H98" i="6"/>
  <c r="H626" i="6"/>
  <c r="H1364" i="6"/>
  <c r="H59" i="6"/>
  <c r="H91" i="6"/>
  <c r="H264" i="6"/>
  <c r="H326" i="6"/>
  <c r="H759" i="6"/>
  <c r="I759" i="6" s="1"/>
  <c r="J759" i="6" s="1"/>
  <c r="H791" i="6"/>
  <c r="I791" i="6" s="1"/>
  <c r="H564" i="6"/>
  <c r="H46" i="6"/>
  <c r="H530" i="6"/>
  <c r="H690" i="6"/>
  <c r="H746" i="6"/>
  <c r="I746" i="6" s="1"/>
  <c r="H964" i="6"/>
  <c r="I964" i="6" s="1"/>
  <c r="J964" i="6" s="1"/>
  <c r="H1264" i="6"/>
  <c r="H44" i="6"/>
  <c r="H208" i="6"/>
  <c r="H269" i="6"/>
  <c r="H575" i="6"/>
  <c r="H659" i="6"/>
  <c r="H392" i="6"/>
  <c r="H452" i="6"/>
  <c r="H696" i="6"/>
  <c r="H744" i="6"/>
  <c r="H908" i="6"/>
  <c r="I908" i="6" s="1"/>
  <c r="J908" i="6" s="1"/>
  <c r="H1275" i="6"/>
  <c r="H1359" i="6"/>
  <c r="H390" i="6"/>
  <c r="H1092" i="6"/>
  <c r="H1152" i="6"/>
  <c r="I1152" i="6" s="1"/>
  <c r="H1396" i="6"/>
  <c r="H969" i="6"/>
  <c r="H563" i="6"/>
  <c r="H42" i="6"/>
  <c r="H436" i="6"/>
  <c r="H484" i="6"/>
  <c r="H1263" i="6"/>
  <c r="H1136" i="6"/>
  <c r="H1184" i="6"/>
  <c r="H171" i="6"/>
  <c r="H40" i="6"/>
  <c r="I40" i="6" s="1"/>
  <c r="H300" i="6"/>
  <c r="H871" i="6"/>
  <c r="H656" i="6"/>
  <c r="H740" i="6"/>
  <c r="H657" i="6"/>
  <c r="H1000" i="6"/>
  <c r="H1356" i="6"/>
  <c r="H394" i="6"/>
  <c r="H88" i="6"/>
  <c r="H260" i="6"/>
  <c r="H38" i="6"/>
  <c r="H688" i="6"/>
  <c r="H788" i="6"/>
  <c r="I788" i="6" s="1"/>
  <c r="J788" i="6" s="1"/>
  <c r="H473" i="6"/>
  <c r="H290" i="6"/>
  <c r="H738" i="6"/>
  <c r="H960" i="6"/>
  <c r="H1388" i="6"/>
  <c r="H35" i="6"/>
  <c r="H37" i="6"/>
  <c r="H607" i="6"/>
  <c r="H735" i="6"/>
  <c r="H500" i="6"/>
  <c r="H737" i="6"/>
  <c r="H1307" i="6"/>
  <c r="H1200" i="6"/>
  <c r="H131" i="6"/>
  <c r="H312" i="6"/>
  <c r="I312" i="6" s="1"/>
  <c r="H33" i="6"/>
  <c r="H293" i="6"/>
  <c r="H86" i="6"/>
  <c r="H559" i="6"/>
  <c r="H831" i="6"/>
  <c r="I831" i="6" s="1"/>
  <c r="H345" i="6"/>
  <c r="H561" i="6"/>
  <c r="H1259" i="6"/>
  <c r="H786" i="6"/>
  <c r="H1012" i="6"/>
  <c r="H733" i="6"/>
  <c r="H993" i="6"/>
  <c r="H112" i="6"/>
  <c r="H29" i="6"/>
  <c r="H459" i="6"/>
  <c r="H643" i="6"/>
  <c r="H812" i="6"/>
  <c r="H729" i="6"/>
  <c r="I729" i="6" s="1"/>
  <c r="H1159" i="6"/>
  <c r="H1343" i="6"/>
  <c r="H162" i="6"/>
  <c r="H682" i="6"/>
  <c r="H25" i="6"/>
  <c r="H241" i="6"/>
  <c r="H415" i="6"/>
  <c r="H555" i="6"/>
  <c r="H376" i="6"/>
  <c r="I376" i="6" s="1"/>
  <c r="H466" i="6"/>
  <c r="H1115" i="6"/>
  <c r="H1255" i="6"/>
  <c r="H1076" i="6"/>
  <c r="H725" i="6"/>
  <c r="H941" i="6"/>
  <c r="H23" i="6"/>
  <c r="H175" i="6"/>
  <c r="H383" i="6"/>
  <c r="I383" i="6" s="1"/>
  <c r="H447" i="6"/>
  <c r="H515" i="6"/>
  <c r="H551" i="6"/>
  <c r="H675" i="6"/>
  <c r="H723" i="6"/>
  <c r="H875" i="6"/>
  <c r="H218" i="6"/>
  <c r="H384" i="6"/>
  <c r="H416" i="6"/>
  <c r="H552" i="6"/>
  <c r="I552" i="6" s="1"/>
  <c r="H556" i="6"/>
  <c r="H640" i="6"/>
  <c r="H381" i="6"/>
  <c r="H681" i="6"/>
  <c r="I681" i="6" s="1"/>
  <c r="H1083" i="6"/>
  <c r="H1147" i="6"/>
  <c r="I1147" i="6" s="1"/>
  <c r="H1215" i="6"/>
  <c r="H1251" i="6"/>
  <c r="H1375" i="6"/>
  <c r="H674" i="6"/>
  <c r="H1084" i="6"/>
  <c r="I1084" i="6" s="1"/>
  <c r="H1116" i="6"/>
  <c r="H1252" i="6"/>
  <c r="H1256" i="6"/>
  <c r="H1340" i="6"/>
  <c r="H549" i="6"/>
  <c r="H32" i="6"/>
  <c r="H216" i="6"/>
  <c r="H21" i="6"/>
  <c r="H343" i="6"/>
  <c r="H375" i="6"/>
  <c r="H379" i="6"/>
  <c r="H591" i="6"/>
  <c r="H380" i="6"/>
  <c r="H448" i="6"/>
  <c r="H468" i="6"/>
  <c r="H672" i="6"/>
  <c r="H732" i="6"/>
  <c r="H916" i="6"/>
  <c r="H373" i="6"/>
  <c r="H721" i="6"/>
  <c r="H1043" i="6"/>
  <c r="H1075" i="6"/>
  <c r="H1079" i="6"/>
  <c r="H1291" i="6"/>
  <c r="H374" i="6"/>
  <c r="H522" i="6"/>
  <c r="H1080" i="6"/>
  <c r="H1148" i="6"/>
  <c r="H1168" i="6"/>
  <c r="H1372" i="6"/>
  <c r="H378" i="6"/>
  <c r="H19" i="6"/>
  <c r="H179" i="6"/>
  <c r="H200" i="6"/>
  <c r="H719" i="6"/>
  <c r="H879" i="6"/>
  <c r="H26" i="6"/>
  <c r="H520" i="6"/>
  <c r="H900" i="6"/>
  <c r="I900" i="6" s="1"/>
  <c r="J900" i="6" s="1"/>
  <c r="H1220" i="6"/>
  <c r="H557" i="6"/>
  <c r="H17" i="6"/>
  <c r="H717" i="6"/>
  <c r="I717" i="6" s="1"/>
  <c r="J717" i="6" s="1"/>
  <c r="H237" i="6"/>
  <c r="H671" i="6"/>
  <c r="H14" i="6"/>
  <c r="H1371" i="6"/>
  <c r="H714" i="6"/>
  <c r="I714" i="6" s="1"/>
  <c r="H937" i="6"/>
  <c r="H12" i="6"/>
  <c r="H70" i="6"/>
  <c r="H712" i="6"/>
  <c r="H513" i="6"/>
  <c r="H770" i="6"/>
  <c r="H178" i="6"/>
  <c r="H331" i="6"/>
  <c r="H72" i="6"/>
  <c r="I72" i="6" s="1"/>
  <c r="H284" i="6"/>
  <c r="H153" i="6"/>
  <c r="H233" i="6"/>
  <c r="H10" i="6"/>
  <c r="H408" i="6"/>
  <c r="H772" i="6"/>
  <c r="H1031" i="6"/>
  <c r="H618" i="6"/>
  <c r="H984" i="6"/>
  <c r="H1108" i="6"/>
  <c r="I1108" i="6" s="1"/>
  <c r="J1108" i="6" s="1"/>
  <c r="H306" i="6"/>
  <c r="H853" i="6"/>
  <c r="H933" i="6"/>
  <c r="I933" i="6" s="1"/>
  <c r="H8" i="6"/>
  <c r="I8" i="6" s="1"/>
  <c r="H371" i="6"/>
  <c r="H708" i="6"/>
  <c r="H1071" i="6"/>
  <c r="H5" i="6"/>
  <c r="H631" i="6"/>
  <c r="H705" i="6"/>
  <c r="I705" i="6" s="1"/>
  <c r="J705" i="6" s="1"/>
  <c r="H1331" i="6"/>
  <c r="H3" i="6"/>
  <c r="I3" i="6" s="1"/>
  <c r="H7" i="6"/>
  <c r="H147" i="6"/>
  <c r="H229" i="6"/>
  <c r="H703" i="6"/>
  <c r="H707" i="6"/>
  <c r="I707" i="6" s="1"/>
  <c r="J707" i="6" s="1"/>
  <c r="H847" i="6"/>
  <c r="H617" i="6"/>
  <c r="H929" i="6"/>
  <c r="H506" i="6"/>
  <c r="H442" i="6"/>
  <c r="H1394" i="6"/>
  <c r="H1386" i="6"/>
  <c r="H1378" i="6"/>
  <c r="H1370" i="6"/>
  <c r="H1362" i="6"/>
  <c r="H1354" i="6"/>
  <c r="H1346" i="6"/>
  <c r="I1346" i="6" s="1"/>
  <c r="H1338" i="6"/>
  <c r="I1338" i="6" s="1"/>
  <c r="H1330" i="6"/>
  <c r="I1330" i="6" s="1"/>
  <c r="H1322" i="6"/>
  <c r="H1314" i="6"/>
  <c r="I1314" i="6" s="1"/>
  <c r="H1306" i="6"/>
  <c r="I1306" i="6" s="1"/>
  <c r="J1306" i="6" s="1"/>
  <c r="H1298" i="6"/>
  <c r="I1298" i="6" s="1"/>
  <c r="H1290" i="6"/>
  <c r="H1282" i="6"/>
  <c r="H1274" i="6"/>
  <c r="H1266" i="6"/>
  <c r="I1266" i="6" s="1"/>
  <c r="H1258" i="6"/>
  <c r="H1250" i="6"/>
  <c r="H1242" i="6"/>
  <c r="H1234" i="6"/>
  <c r="H1226" i="6"/>
  <c r="H1218" i="6"/>
  <c r="I1218" i="6" s="1"/>
  <c r="J1218" i="6" s="1"/>
  <c r="K1218" i="6" s="1"/>
  <c r="H1210" i="6"/>
  <c r="H1202" i="6"/>
  <c r="I1202" i="6" s="1"/>
  <c r="J1202" i="6" s="1"/>
  <c r="H1194" i="6"/>
  <c r="H1186" i="6"/>
  <c r="H1178" i="6"/>
  <c r="H1170" i="6"/>
  <c r="H1162" i="6"/>
  <c r="H1154" i="6"/>
  <c r="H1146" i="6"/>
  <c r="H1138" i="6"/>
  <c r="H1130" i="6"/>
  <c r="I1130" i="6" s="1"/>
  <c r="J1130" i="6" s="1"/>
  <c r="H1122" i="6"/>
  <c r="I1122" i="6" s="1"/>
  <c r="J1122" i="6" s="1"/>
  <c r="H1114" i="6"/>
  <c r="H1106" i="6"/>
  <c r="I1106" i="6" s="1"/>
  <c r="J1106" i="6" s="1"/>
  <c r="H1098" i="6"/>
  <c r="H1090" i="6"/>
  <c r="H1082" i="6"/>
  <c r="H1074" i="6"/>
  <c r="H1066" i="6"/>
  <c r="H1058" i="6"/>
  <c r="I1058" i="6" s="1"/>
  <c r="J1058" i="6" s="1"/>
  <c r="H1050" i="6"/>
  <c r="H1042" i="6"/>
  <c r="I1042" i="6" s="1"/>
  <c r="J1042" i="6" s="1"/>
  <c r="H1034" i="6"/>
  <c r="H1026" i="6"/>
  <c r="H1018" i="6"/>
  <c r="I1018" i="6" s="1"/>
  <c r="J1018" i="6" s="1"/>
  <c r="H1010" i="6"/>
  <c r="H1002" i="6"/>
  <c r="H994" i="6"/>
  <c r="H978" i="6"/>
  <c r="H962" i="6"/>
  <c r="H946" i="6"/>
  <c r="H926" i="6"/>
  <c r="H894" i="6"/>
  <c r="H862" i="6"/>
  <c r="I862" i="6" s="1"/>
  <c r="J862" i="6" s="1"/>
  <c r="H830" i="6"/>
  <c r="I830" i="6" s="1"/>
  <c r="J830" i="6" s="1"/>
  <c r="H798" i="6"/>
  <c r="H766" i="6"/>
  <c r="H734" i="6"/>
  <c r="H702" i="6"/>
  <c r="H670" i="6"/>
  <c r="H638" i="6"/>
  <c r="H606" i="6"/>
  <c r="H574" i="6"/>
  <c r="H542" i="6"/>
  <c r="H510" i="6"/>
  <c r="H462" i="6"/>
  <c r="H398" i="6"/>
  <c r="H322" i="6"/>
  <c r="H66" i="6"/>
  <c r="I1369" i="6"/>
  <c r="J1369" i="6" s="1"/>
  <c r="I1385" i="6"/>
  <c r="J1385" i="6" s="1"/>
  <c r="I1329" i="6"/>
  <c r="J1329" i="6" s="1"/>
  <c r="K1329" i="6" s="1"/>
  <c r="I886" i="6"/>
  <c r="I1121" i="6"/>
  <c r="I1302" i="6"/>
  <c r="J1302" i="6" s="1"/>
  <c r="I1326" i="6"/>
  <c r="J1326" i="6" s="1"/>
  <c r="I936" i="6"/>
  <c r="J936" i="6" s="1"/>
  <c r="I1025" i="6"/>
  <c r="J1025" i="6" s="1"/>
  <c r="Q1393" i="6"/>
  <c r="P1393" i="6"/>
  <c r="P449" i="6"/>
  <c r="O449" i="6"/>
  <c r="P385" i="6"/>
  <c r="O385" i="6"/>
  <c r="P1053" i="6"/>
  <c r="P1265" i="6"/>
  <c r="P1293" i="6"/>
  <c r="O1149" i="6"/>
  <c r="O1229" i="6"/>
  <c r="P1229" i="6"/>
  <c r="P1117" i="6"/>
  <c r="O1117" i="6"/>
  <c r="O1005" i="6"/>
  <c r="P1005" i="6"/>
  <c r="P1021" i="6"/>
  <c r="Q1069" i="6"/>
  <c r="Q1309" i="6"/>
  <c r="P1357" i="6"/>
  <c r="Q1225" i="6"/>
  <c r="P1225" i="6"/>
  <c r="P941" i="6"/>
  <c r="O941" i="6"/>
  <c r="P973" i="6"/>
  <c r="Q1037" i="6"/>
  <c r="Q1373" i="6"/>
  <c r="O1293" i="6"/>
  <c r="L1065" i="6"/>
  <c r="L1106" i="6"/>
  <c r="L1131" i="6"/>
  <c r="L849" i="6"/>
  <c r="O1155" i="6"/>
  <c r="L963" i="6"/>
  <c r="L1041" i="6"/>
  <c r="O1147" i="6"/>
  <c r="L1349" i="6"/>
  <c r="P1163" i="6"/>
  <c r="O1163" i="6"/>
  <c r="O1099" i="6"/>
  <c r="P1099" i="6"/>
  <c r="L1182" i="6"/>
  <c r="L1174" i="6"/>
  <c r="O996" i="6"/>
  <c r="O1368" i="6"/>
  <c r="P1380" i="6"/>
  <c r="P1388" i="6"/>
  <c r="O1388" i="6"/>
  <c r="P1340" i="6"/>
  <c r="O1340" i="6"/>
  <c r="P964" i="6"/>
  <c r="Q964" i="6"/>
  <c r="Q1340" i="6"/>
  <c r="P700" i="6"/>
  <c r="O700" i="6"/>
  <c r="P688" i="6"/>
  <c r="O688" i="6"/>
  <c r="P676" i="6"/>
  <c r="O676" i="6"/>
  <c r="P664" i="6"/>
  <c r="O664" i="6"/>
  <c r="P652" i="6"/>
  <c r="O652" i="6"/>
  <c r="P640" i="6"/>
  <c r="O640" i="6"/>
  <c r="Q612" i="6"/>
  <c r="O612" i="6"/>
  <c r="P608" i="6"/>
  <c r="O608" i="6"/>
  <c r="P596" i="6"/>
  <c r="O596" i="6"/>
  <c r="P584" i="6"/>
  <c r="O584" i="6"/>
  <c r="P572" i="6"/>
  <c r="O572" i="6"/>
  <c r="P560" i="6"/>
  <c r="O560" i="6"/>
  <c r="P548" i="6"/>
  <c r="O548" i="6"/>
  <c r="P544" i="6"/>
  <c r="O544" i="6"/>
  <c r="P532" i="6"/>
  <c r="O532" i="6"/>
  <c r="P520" i="6"/>
  <c r="O520" i="6"/>
  <c r="P508" i="6"/>
  <c r="O508" i="6"/>
  <c r="P496" i="6"/>
  <c r="O496" i="6"/>
  <c r="P484" i="6"/>
  <c r="O484" i="6"/>
  <c r="Q460" i="6"/>
  <c r="O460" i="6"/>
  <c r="P448" i="6"/>
  <c r="O448" i="6"/>
  <c r="Q436" i="6"/>
  <c r="O436" i="6"/>
  <c r="Q428" i="6"/>
  <c r="O428" i="6"/>
  <c r="Q420" i="6"/>
  <c r="O420" i="6"/>
  <c r="Q412" i="6"/>
  <c r="O412" i="6"/>
  <c r="P400" i="6"/>
  <c r="O400" i="6"/>
  <c r="Q388" i="6"/>
  <c r="O388" i="6"/>
  <c r="P384" i="6"/>
  <c r="O384" i="6"/>
  <c r="Q372" i="6"/>
  <c r="O372" i="6"/>
  <c r="P360" i="6"/>
  <c r="O360" i="6"/>
  <c r="P332" i="6"/>
  <c r="O332" i="6"/>
  <c r="P320" i="6"/>
  <c r="O320" i="6"/>
  <c r="P296" i="6"/>
  <c r="O296" i="6"/>
  <c r="P260" i="6"/>
  <c r="O260" i="6"/>
  <c r="P232" i="6"/>
  <c r="O232" i="6"/>
  <c r="P220" i="6"/>
  <c r="O220" i="6"/>
  <c r="P208" i="6"/>
  <c r="O208" i="6"/>
  <c r="P196" i="6"/>
  <c r="O196" i="6"/>
  <c r="P184" i="6"/>
  <c r="O184" i="6"/>
  <c r="P172" i="6"/>
  <c r="O172" i="6"/>
  <c r="P164" i="6"/>
  <c r="O164" i="6"/>
  <c r="P156" i="6"/>
  <c r="O156" i="6"/>
  <c r="P144" i="6"/>
  <c r="O144" i="6"/>
  <c r="P132" i="6"/>
  <c r="O132" i="6"/>
  <c r="P120" i="6"/>
  <c r="O120" i="6"/>
  <c r="P108" i="6"/>
  <c r="O108" i="6"/>
  <c r="P100" i="6"/>
  <c r="O100" i="6"/>
  <c r="P92" i="6"/>
  <c r="O92" i="6"/>
  <c r="P80" i="6"/>
  <c r="O80" i="6"/>
  <c r="P68" i="6"/>
  <c r="O68" i="6"/>
  <c r="P56" i="6"/>
  <c r="O56" i="6"/>
  <c r="P44" i="6"/>
  <c r="O44" i="6"/>
  <c r="P32" i="6"/>
  <c r="O32" i="6"/>
  <c r="P20" i="6"/>
  <c r="O20" i="6"/>
  <c r="P8" i="6"/>
  <c r="O8" i="6"/>
  <c r="P710" i="6"/>
  <c r="O710" i="6"/>
  <c r="P746" i="6"/>
  <c r="O746" i="6"/>
  <c r="P794" i="6"/>
  <c r="O794" i="6"/>
  <c r="P810" i="6"/>
  <c r="O810" i="6"/>
  <c r="P818" i="6"/>
  <c r="O818" i="6"/>
  <c r="Q874" i="6"/>
  <c r="O874" i="6"/>
  <c r="Q886" i="6"/>
  <c r="O886" i="6"/>
  <c r="Q890" i="6"/>
  <c r="O890" i="6"/>
  <c r="Q910" i="6"/>
  <c r="O910" i="6"/>
  <c r="Q926" i="6"/>
  <c r="O926" i="6"/>
  <c r="P946" i="6"/>
  <c r="O946" i="6"/>
  <c r="P982" i="6"/>
  <c r="O982" i="6"/>
  <c r="Q1030" i="6"/>
  <c r="O1030" i="6"/>
  <c r="Q1038" i="6"/>
  <c r="O1038" i="6"/>
  <c r="Q1046" i="6"/>
  <c r="O1046" i="6"/>
  <c r="Q1062" i="6"/>
  <c r="O1062" i="6"/>
  <c r="Q1070" i="6"/>
  <c r="O1070" i="6"/>
  <c r="Q1082" i="6"/>
  <c r="O1082" i="6"/>
  <c r="P1098" i="6"/>
  <c r="O1098" i="6"/>
  <c r="P1114" i="6"/>
  <c r="O1114" i="6"/>
  <c r="Q1122" i="6"/>
  <c r="O1122" i="6"/>
  <c r="Q1130" i="6"/>
  <c r="O1130" i="6"/>
  <c r="Q1246" i="6"/>
  <c r="O1246" i="6"/>
  <c r="Q1250" i="6"/>
  <c r="O1250" i="6"/>
  <c r="P1262" i="6"/>
  <c r="O1262" i="6"/>
  <c r="P1298" i="6"/>
  <c r="O1298" i="6"/>
  <c r="Q1310" i="6"/>
  <c r="O1310" i="6"/>
  <c r="Q1318" i="6"/>
  <c r="O1318" i="6"/>
  <c r="Q1330" i="6"/>
  <c r="O1330" i="6"/>
  <c r="P1382" i="6"/>
  <c r="O1382" i="6"/>
  <c r="Q1090" i="6"/>
  <c r="P687" i="6"/>
  <c r="O687" i="6"/>
  <c r="P679" i="6"/>
  <c r="O679" i="6"/>
  <c r="P647" i="6"/>
  <c r="O647" i="6"/>
  <c r="P615" i="6"/>
  <c r="O615" i="6"/>
  <c r="P575" i="6"/>
  <c r="O575" i="6"/>
  <c r="P551" i="6"/>
  <c r="O551" i="6"/>
  <c r="P519" i="6"/>
  <c r="O519" i="6"/>
  <c r="P487" i="6"/>
  <c r="O487" i="6"/>
  <c r="P479" i="6"/>
  <c r="O479" i="6"/>
  <c r="P475" i="6"/>
  <c r="O475" i="6"/>
  <c r="P471" i="6"/>
  <c r="O471" i="6"/>
  <c r="P467" i="6"/>
  <c r="O467" i="6"/>
  <c r="P463" i="6"/>
  <c r="O463" i="6"/>
  <c r="P459" i="6"/>
  <c r="O459" i="6"/>
  <c r="P455" i="6"/>
  <c r="O455" i="6"/>
  <c r="P451" i="6"/>
  <c r="O451" i="6"/>
  <c r="P447" i="6"/>
  <c r="O447" i="6"/>
  <c r="P443" i="6"/>
  <c r="O443" i="6"/>
  <c r="P439" i="6"/>
  <c r="O439" i="6"/>
  <c r="P435" i="6"/>
  <c r="O435" i="6"/>
  <c r="P431" i="6"/>
  <c r="O431" i="6"/>
  <c r="P427" i="6"/>
  <c r="O427" i="6"/>
  <c r="P423" i="6"/>
  <c r="O423" i="6"/>
  <c r="P419" i="6"/>
  <c r="O419" i="6"/>
  <c r="P415" i="6"/>
  <c r="O415" i="6"/>
  <c r="P411" i="6"/>
  <c r="O411" i="6"/>
  <c r="P407" i="6"/>
  <c r="O407" i="6"/>
  <c r="P403" i="6"/>
  <c r="O403" i="6"/>
  <c r="P399" i="6"/>
  <c r="O399" i="6"/>
  <c r="P395" i="6"/>
  <c r="O395" i="6"/>
  <c r="P391" i="6"/>
  <c r="O391" i="6"/>
  <c r="P387" i="6"/>
  <c r="O387" i="6"/>
  <c r="P383" i="6"/>
  <c r="O383" i="6"/>
  <c r="P379" i="6"/>
  <c r="O379" i="6"/>
  <c r="P375" i="6"/>
  <c r="O375" i="6"/>
  <c r="P371" i="6"/>
  <c r="O371" i="6"/>
  <c r="P367" i="6"/>
  <c r="O367" i="6"/>
  <c r="P363" i="6"/>
  <c r="O363" i="6"/>
  <c r="P359" i="6"/>
  <c r="O359" i="6"/>
  <c r="P355" i="6"/>
  <c r="O355" i="6"/>
  <c r="P351" i="6"/>
  <c r="O351" i="6"/>
  <c r="P347" i="6"/>
  <c r="O347" i="6"/>
  <c r="P343" i="6"/>
  <c r="O343" i="6"/>
  <c r="P339" i="6"/>
  <c r="O339" i="6"/>
  <c r="P335" i="6"/>
  <c r="O335" i="6"/>
  <c r="P331" i="6"/>
  <c r="O331" i="6"/>
  <c r="P327" i="6"/>
  <c r="O327" i="6"/>
  <c r="P323" i="6"/>
  <c r="O323" i="6"/>
  <c r="P319" i="6"/>
  <c r="O319" i="6"/>
  <c r="P315" i="6"/>
  <c r="O315" i="6"/>
  <c r="P311" i="6"/>
  <c r="O311" i="6"/>
  <c r="P307" i="6"/>
  <c r="O307" i="6"/>
  <c r="P303" i="6"/>
  <c r="O303" i="6"/>
  <c r="P299" i="6"/>
  <c r="O299" i="6"/>
  <c r="P295" i="6"/>
  <c r="O295" i="6"/>
  <c r="P291" i="6"/>
  <c r="O291" i="6"/>
  <c r="P287" i="6"/>
  <c r="O287" i="6"/>
  <c r="P283" i="6"/>
  <c r="O283" i="6"/>
  <c r="P279" i="6"/>
  <c r="O279" i="6"/>
  <c r="P275" i="6"/>
  <c r="O275" i="6"/>
  <c r="P271" i="6"/>
  <c r="O271" i="6"/>
  <c r="P267" i="6"/>
  <c r="O267" i="6"/>
  <c r="P263" i="6"/>
  <c r="O263" i="6"/>
  <c r="P259" i="6"/>
  <c r="O259" i="6"/>
  <c r="P255" i="6"/>
  <c r="O255" i="6"/>
  <c r="P251" i="6"/>
  <c r="O251" i="6"/>
  <c r="P247" i="6"/>
  <c r="O247" i="6"/>
  <c r="P243" i="6"/>
  <c r="O243" i="6"/>
  <c r="P239" i="6"/>
  <c r="O239" i="6"/>
  <c r="P235" i="6"/>
  <c r="O235" i="6"/>
  <c r="P231" i="6"/>
  <c r="O231" i="6"/>
  <c r="P227" i="6"/>
  <c r="O227" i="6"/>
  <c r="P223" i="6"/>
  <c r="O223" i="6"/>
  <c r="P219" i="6"/>
  <c r="O219" i="6"/>
  <c r="P215" i="6"/>
  <c r="O215" i="6"/>
  <c r="P211" i="6"/>
  <c r="O211" i="6"/>
  <c r="P207" i="6"/>
  <c r="O207" i="6"/>
  <c r="P203" i="6"/>
  <c r="O203" i="6"/>
  <c r="P199" i="6"/>
  <c r="O199" i="6"/>
  <c r="P195" i="6"/>
  <c r="O195" i="6"/>
  <c r="P191" i="6"/>
  <c r="O191" i="6"/>
  <c r="P187" i="6"/>
  <c r="O187" i="6"/>
  <c r="P183" i="6"/>
  <c r="O183" i="6"/>
  <c r="P179" i="6"/>
  <c r="O179" i="6"/>
  <c r="P175" i="6"/>
  <c r="O175" i="6"/>
  <c r="P171" i="6"/>
  <c r="O171" i="6"/>
  <c r="P167" i="6"/>
  <c r="O167" i="6"/>
  <c r="P163" i="6"/>
  <c r="O163" i="6"/>
  <c r="P159" i="6"/>
  <c r="O159" i="6"/>
  <c r="P155" i="6"/>
  <c r="O155" i="6"/>
  <c r="P151" i="6"/>
  <c r="O151" i="6"/>
  <c r="P147" i="6"/>
  <c r="O147" i="6"/>
  <c r="P143" i="6"/>
  <c r="O143" i="6"/>
  <c r="P139" i="6"/>
  <c r="O139" i="6"/>
  <c r="P135" i="6"/>
  <c r="O135" i="6"/>
  <c r="P131" i="6"/>
  <c r="O131" i="6"/>
  <c r="P127" i="6"/>
  <c r="O127" i="6"/>
  <c r="P123" i="6"/>
  <c r="O123" i="6"/>
  <c r="P119" i="6"/>
  <c r="O119" i="6"/>
  <c r="P115" i="6"/>
  <c r="O115" i="6"/>
  <c r="P111" i="6"/>
  <c r="O111" i="6"/>
  <c r="P107" i="6"/>
  <c r="O107" i="6"/>
  <c r="P103" i="6"/>
  <c r="O103" i="6"/>
  <c r="P99" i="6"/>
  <c r="O99" i="6"/>
  <c r="P95" i="6"/>
  <c r="O95" i="6"/>
  <c r="P91" i="6"/>
  <c r="O91" i="6"/>
  <c r="P87" i="6"/>
  <c r="O87" i="6"/>
  <c r="P83" i="6"/>
  <c r="O83" i="6"/>
  <c r="P79" i="6"/>
  <c r="O79" i="6"/>
  <c r="P75" i="6"/>
  <c r="O75" i="6"/>
  <c r="P71" i="6"/>
  <c r="O71" i="6"/>
  <c r="P67" i="6"/>
  <c r="O67" i="6"/>
  <c r="P63" i="6"/>
  <c r="O63" i="6"/>
  <c r="P59" i="6"/>
  <c r="O59" i="6"/>
  <c r="P55" i="6"/>
  <c r="O55" i="6"/>
  <c r="P51" i="6"/>
  <c r="O51" i="6"/>
  <c r="P47" i="6"/>
  <c r="O47" i="6"/>
  <c r="P43" i="6"/>
  <c r="O43" i="6"/>
  <c r="P39" i="6"/>
  <c r="O39" i="6"/>
  <c r="P35" i="6"/>
  <c r="O35" i="6"/>
  <c r="P31" i="6"/>
  <c r="O31" i="6"/>
  <c r="P27" i="6"/>
  <c r="O27" i="6"/>
  <c r="P23" i="6"/>
  <c r="O23" i="6"/>
  <c r="P19" i="6"/>
  <c r="O19" i="6"/>
  <c r="P15" i="6"/>
  <c r="O15" i="6"/>
  <c r="P11" i="6"/>
  <c r="O11" i="6"/>
  <c r="P7" i="6"/>
  <c r="O7" i="6"/>
  <c r="P3" i="6"/>
  <c r="O3" i="6"/>
  <c r="P813" i="6"/>
  <c r="O813" i="6"/>
  <c r="P829" i="6"/>
  <c r="O829" i="6"/>
  <c r="P845" i="6"/>
  <c r="O845" i="6"/>
  <c r="Q853" i="6"/>
  <c r="O853" i="6"/>
  <c r="Q857" i="6"/>
  <c r="O857" i="6"/>
  <c r="P861" i="6"/>
  <c r="O861" i="6"/>
  <c r="Q869" i="6"/>
  <c r="O869" i="6"/>
  <c r="Q873" i="6"/>
  <c r="O873" i="6"/>
  <c r="P877" i="6"/>
  <c r="O877" i="6"/>
  <c r="P893" i="6"/>
  <c r="O893" i="6"/>
  <c r="P909" i="6"/>
  <c r="O909" i="6"/>
  <c r="P925" i="6"/>
  <c r="O925" i="6"/>
  <c r="Q1392" i="6"/>
  <c r="Q1361" i="6"/>
  <c r="Q1337" i="6"/>
  <c r="Q1292" i="6"/>
  <c r="Q1260" i="6"/>
  <c r="Q1237" i="6"/>
  <c r="Q1205" i="6"/>
  <c r="Q1176" i="6"/>
  <c r="Q996" i="6"/>
  <c r="Q946" i="6"/>
  <c r="Q810" i="6"/>
  <c r="P1395" i="6"/>
  <c r="P1387" i="6"/>
  <c r="P1379" i="6"/>
  <c r="P1371" i="6"/>
  <c r="P1327" i="6"/>
  <c r="P1284" i="6"/>
  <c r="P1268" i="6"/>
  <c r="P1260" i="6"/>
  <c r="P1252" i="6"/>
  <c r="P1216" i="6"/>
  <c r="P1208" i="6"/>
  <c r="P1200" i="6"/>
  <c r="P1192" i="6"/>
  <c r="P1184" i="6"/>
  <c r="P1176" i="6"/>
  <c r="P1143" i="6"/>
  <c r="P1095" i="6"/>
  <c r="P1051" i="6"/>
  <c r="O1401" i="6"/>
  <c r="O1385" i="6"/>
  <c r="O1369" i="6"/>
  <c r="O1353" i="6"/>
  <c r="O1337" i="6"/>
  <c r="O1321" i="6"/>
  <c r="O1289" i="6"/>
  <c r="O1257" i="6"/>
  <c r="O1241" i="6"/>
  <c r="O1225" i="6"/>
  <c r="O1209" i="6"/>
  <c r="O1129" i="6"/>
  <c r="O1113" i="6"/>
  <c r="O1081" i="6"/>
  <c r="O1065" i="6"/>
  <c r="O1049" i="6"/>
  <c r="O1033" i="6"/>
  <c r="O1017" i="6"/>
  <c r="O1001" i="6"/>
  <c r="O433" i="6"/>
  <c r="O369" i="6"/>
  <c r="O194" i="6"/>
  <c r="P696" i="6"/>
  <c r="O696" i="6"/>
  <c r="P684" i="6"/>
  <c r="O684" i="6"/>
  <c r="P672" i="6"/>
  <c r="O672" i="6"/>
  <c r="P660" i="6"/>
  <c r="O660" i="6"/>
  <c r="P648" i="6"/>
  <c r="O648" i="6"/>
  <c r="P636" i="6"/>
  <c r="O636" i="6"/>
  <c r="Q628" i="6"/>
  <c r="O628" i="6"/>
  <c r="P620" i="6"/>
  <c r="O620" i="6"/>
  <c r="P604" i="6"/>
  <c r="O604" i="6"/>
  <c r="P592" i="6"/>
  <c r="O592" i="6"/>
  <c r="Q580" i="6"/>
  <c r="O580" i="6"/>
  <c r="P568" i="6"/>
  <c r="O568" i="6"/>
  <c r="P556" i="6"/>
  <c r="O556" i="6"/>
  <c r="P540" i="6"/>
  <c r="O540" i="6"/>
  <c r="P528" i="6"/>
  <c r="O528" i="6"/>
  <c r="P516" i="6"/>
  <c r="O516" i="6"/>
  <c r="P504" i="6"/>
  <c r="O504" i="6"/>
  <c r="P488" i="6"/>
  <c r="O488" i="6"/>
  <c r="Q476" i="6"/>
  <c r="O476" i="6"/>
  <c r="Q468" i="6"/>
  <c r="O468" i="6"/>
  <c r="P456" i="6"/>
  <c r="O456" i="6"/>
  <c r="Q444" i="6"/>
  <c r="O444" i="6"/>
  <c r="P432" i="6"/>
  <c r="O432" i="6"/>
  <c r="P416" i="6"/>
  <c r="O416" i="6"/>
  <c r="Q404" i="6"/>
  <c r="O404" i="6"/>
  <c r="P392" i="6"/>
  <c r="O392" i="6"/>
  <c r="P376" i="6"/>
  <c r="O376" i="6"/>
  <c r="Q364" i="6"/>
  <c r="O364" i="6"/>
  <c r="P352" i="6"/>
  <c r="O352" i="6"/>
  <c r="Q348" i="6"/>
  <c r="O348" i="6"/>
  <c r="P336" i="6"/>
  <c r="O336" i="6"/>
  <c r="P328" i="6"/>
  <c r="O328" i="6"/>
  <c r="P316" i="6"/>
  <c r="O316" i="6"/>
  <c r="P304" i="6"/>
  <c r="O304" i="6"/>
  <c r="P292" i="6"/>
  <c r="O292" i="6"/>
  <c r="P284" i="6"/>
  <c r="O284" i="6"/>
  <c r="P272" i="6"/>
  <c r="O272" i="6"/>
  <c r="P264" i="6"/>
  <c r="O264" i="6"/>
  <c r="P252" i="6"/>
  <c r="O252" i="6"/>
  <c r="P240" i="6"/>
  <c r="O240" i="6"/>
  <c r="P228" i="6"/>
  <c r="O228" i="6"/>
  <c r="P216" i="6"/>
  <c r="O216" i="6"/>
  <c r="P204" i="6"/>
  <c r="O204" i="6"/>
  <c r="P192" i="6"/>
  <c r="O192" i="6"/>
  <c r="P180" i="6"/>
  <c r="O180" i="6"/>
  <c r="P168" i="6"/>
  <c r="O168" i="6"/>
  <c r="P152" i="6"/>
  <c r="O152" i="6"/>
  <c r="P136" i="6"/>
  <c r="O136" i="6"/>
  <c r="P124" i="6"/>
  <c r="O124" i="6"/>
  <c r="P112" i="6"/>
  <c r="O112" i="6"/>
  <c r="P96" i="6"/>
  <c r="O96" i="6"/>
  <c r="P84" i="6"/>
  <c r="O84" i="6"/>
  <c r="P76" i="6"/>
  <c r="O76" i="6"/>
  <c r="P64" i="6"/>
  <c r="O64" i="6"/>
  <c r="P52" i="6"/>
  <c r="O52" i="6"/>
  <c r="P40" i="6"/>
  <c r="O40" i="6"/>
  <c r="P28" i="6"/>
  <c r="O28" i="6"/>
  <c r="P16" i="6"/>
  <c r="O16" i="6"/>
  <c r="P758" i="6"/>
  <c r="O758" i="6"/>
  <c r="P770" i="6"/>
  <c r="O770" i="6"/>
  <c r="P834" i="6"/>
  <c r="O834" i="6"/>
  <c r="P842" i="6"/>
  <c r="O842" i="6"/>
  <c r="P850" i="6"/>
  <c r="O850" i="6"/>
  <c r="P858" i="6"/>
  <c r="O858" i="6"/>
  <c r="P866" i="6"/>
  <c r="O866" i="6"/>
  <c r="P882" i="6"/>
  <c r="O882" i="6"/>
  <c r="Q894" i="6"/>
  <c r="O894" i="6"/>
  <c r="Q902" i="6"/>
  <c r="O902" i="6"/>
  <c r="Q918" i="6"/>
  <c r="O918" i="6"/>
  <c r="Q934" i="6"/>
  <c r="O934" i="6"/>
  <c r="Q942" i="6"/>
  <c r="O942" i="6"/>
  <c r="P974" i="6"/>
  <c r="O974" i="6"/>
  <c r="P1018" i="6"/>
  <c r="O1018" i="6"/>
  <c r="Q1026" i="6"/>
  <c r="O1026" i="6"/>
  <c r="Q1034" i="6"/>
  <c r="O1034" i="6"/>
  <c r="P1042" i="6"/>
  <c r="O1042" i="6"/>
  <c r="Q1054" i="6"/>
  <c r="O1054" i="6"/>
  <c r="Q1078" i="6"/>
  <c r="O1078" i="6"/>
  <c r="Q1106" i="6"/>
  <c r="O1106" i="6"/>
  <c r="P1138" i="6"/>
  <c r="O1138" i="6"/>
  <c r="P1162" i="6"/>
  <c r="O1162" i="6"/>
  <c r="P1206" i="6"/>
  <c r="O1206" i="6"/>
  <c r="Q1242" i="6"/>
  <c r="O1242" i="6"/>
  <c r="Q1294" i="6"/>
  <c r="O1294" i="6"/>
  <c r="Q1326" i="6"/>
  <c r="O1326" i="6"/>
  <c r="Q1334" i="6"/>
  <c r="O1334" i="6"/>
  <c r="P1378" i="6"/>
  <c r="O1378" i="6"/>
  <c r="Q1138" i="6"/>
  <c r="Q818" i="6"/>
  <c r="Q770" i="6"/>
  <c r="P690" i="6"/>
  <c r="O690" i="6"/>
  <c r="P678" i="6"/>
  <c r="O678" i="6"/>
  <c r="P670" i="6"/>
  <c r="O670" i="6"/>
  <c r="P658" i="6"/>
  <c r="O658" i="6"/>
  <c r="P638" i="6"/>
  <c r="O638" i="6"/>
  <c r="P626" i="6"/>
  <c r="O626" i="6"/>
  <c r="P606" i="6"/>
  <c r="O606" i="6"/>
  <c r="P594" i="6"/>
  <c r="O594" i="6"/>
  <c r="P574" i="6"/>
  <c r="O574" i="6"/>
  <c r="P570" i="6"/>
  <c r="O570" i="6"/>
  <c r="P562" i="6"/>
  <c r="O562" i="6"/>
  <c r="P558" i="6"/>
  <c r="O558" i="6"/>
  <c r="P530" i="6"/>
  <c r="O530" i="6"/>
  <c r="P510" i="6"/>
  <c r="O510" i="6"/>
  <c r="P478" i="6"/>
  <c r="O478" i="6"/>
  <c r="P474" i="6"/>
  <c r="O474" i="6"/>
  <c r="P470" i="6"/>
  <c r="O470" i="6"/>
  <c r="P466" i="6"/>
  <c r="O466" i="6"/>
  <c r="P462" i="6"/>
  <c r="O462" i="6"/>
  <c r="P458" i="6"/>
  <c r="O458" i="6"/>
  <c r="P454" i="6"/>
  <c r="O454" i="6"/>
  <c r="P450" i="6"/>
  <c r="O450" i="6"/>
  <c r="P446" i="6"/>
  <c r="O446" i="6"/>
  <c r="P442" i="6"/>
  <c r="O442" i="6"/>
  <c r="P438" i="6"/>
  <c r="O438" i="6"/>
  <c r="P434" i="6"/>
  <c r="O434" i="6"/>
  <c r="P430" i="6"/>
  <c r="O430" i="6"/>
  <c r="P426" i="6"/>
  <c r="O426" i="6"/>
  <c r="P422" i="6"/>
  <c r="O422" i="6"/>
  <c r="P418" i="6"/>
  <c r="O418" i="6"/>
  <c r="P414" i="6"/>
  <c r="O414" i="6"/>
  <c r="P410" i="6"/>
  <c r="O410" i="6"/>
  <c r="P406" i="6"/>
  <c r="O406" i="6"/>
  <c r="P402" i="6"/>
  <c r="O402" i="6"/>
  <c r="P398" i="6"/>
  <c r="O398" i="6"/>
  <c r="P394" i="6"/>
  <c r="O394" i="6"/>
  <c r="P390" i="6"/>
  <c r="O390" i="6"/>
  <c r="P386" i="6"/>
  <c r="O386" i="6"/>
  <c r="P382" i="6"/>
  <c r="O382" i="6"/>
  <c r="P378" i="6"/>
  <c r="O378" i="6"/>
  <c r="P374" i="6"/>
  <c r="O374" i="6"/>
  <c r="P370" i="6"/>
  <c r="O370" i="6"/>
  <c r="P366" i="6"/>
  <c r="O366" i="6"/>
  <c r="P362" i="6"/>
  <c r="O362" i="6"/>
  <c r="P358" i="6"/>
  <c r="O358" i="6"/>
  <c r="P354" i="6"/>
  <c r="O354" i="6"/>
  <c r="P350" i="6"/>
  <c r="O350" i="6"/>
  <c r="P346" i="6"/>
  <c r="O346" i="6"/>
  <c r="P342" i="6"/>
  <c r="O342" i="6"/>
  <c r="Q338" i="6"/>
  <c r="O338" i="6"/>
  <c r="P330" i="6"/>
  <c r="O330" i="6"/>
  <c r="P326" i="6"/>
  <c r="O326" i="6"/>
  <c r="P310" i="6"/>
  <c r="O310" i="6"/>
  <c r="Q306" i="6"/>
  <c r="O306" i="6"/>
  <c r="P298" i="6"/>
  <c r="O298" i="6"/>
  <c r="P294" i="6"/>
  <c r="O294" i="6"/>
  <c r="Q290" i="6"/>
  <c r="O290" i="6"/>
  <c r="P282" i="6"/>
  <c r="O282" i="6"/>
  <c r="P278" i="6"/>
  <c r="O278" i="6"/>
  <c r="Q274" i="6"/>
  <c r="O274" i="6"/>
  <c r="P266" i="6"/>
  <c r="O266" i="6"/>
  <c r="P262" i="6"/>
  <c r="O262" i="6"/>
  <c r="P250" i="6"/>
  <c r="O250" i="6"/>
  <c r="P246" i="6"/>
  <c r="O246" i="6"/>
  <c r="Q242" i="6"/>
  <c r="O242" i="6"/>
  <c r="P234" i="6"/>
  <c r="O234" i="6"/>
  <c r="P230" i="6"/>
  <c r="O230" i="6"/>
  <c r="Q226" i="6"/>
  <c r="O226" i="6"/>
  <c r="P218" i="6"/>
  <c r="O218" i="6"/>
  <c r="P214" i="6"/>
  <c r="O214" i="6"/>
  <c r="Q210" i="6"/>
  <c r="O210" i="6"/>
  <c r="P206" i="6"/>
  <c r="O206" i="6"/>
  <c r="P198" i="6"/>
  <c r="O198" i="6"/>
  <c r="P190" i="6"/>
  <c r="O190" i="6"/>
  <c r="P182" i="6"/>
  <c r="O182" i="6"/>
  <c r="Q178" i="6"/>
  <c r="O178" i="6"/>
  <c r="P174" i="6"/>
  <c r="O174" i="6"/>
  <c r="P166" i="6"/>
  <c r="O166" i="6"/>
  <c r="P162" i="6"/>
  <c r="O162" i="6"/>
  <c r="P158" i="6"/>
  <c r="O158" i="6"/>
  <c r="P150" i="6"/>
  <c r="O150" i="6"/>
  <c r="Q146" i="6"/>
  <c r="O146" i="6"/>
  <c r="P142" i="6"/>
  <c r="O142" i="6"/>
  <c r="P134" i="6"/>
  <c r="O134" i="6"/>
  <c r="P126" i="6"/>
  <c r="O126" i="6"/>
  <c r="P118" i="6"/>
  <c r="O118" i="6"/>
  <c r="Q114" i="6"/>
  <c r="O114" i="6"/>
  <c r="P110" i="6"/>
  <c r="O110" i="6"/>
  <c r="P102" i="6"/>
  <c r="O102" i="6"/>
  <c r="Q98" i="6"/>
  <c r="O98" i="6"/>
  <c r="P94" i="6"/>
  <c r="O94" i="6"/>
  <c r="P86" i="6"/>
  <c r="O86" i="6"/>
  <c r="Q82" i="6"/>
  <c r="O82" i="6"/>
  <c r="P78" i="6"/>
  <c r="O78" i="6"/>
  <c r="P70" i="6"/>
  <c r="O70" i="6"/>
  <c r="P62" i="6"/>
  <c r="O62" i="6"/>
  <c r="P54" i="6"/>
  <c r="O54" i="6"/>
  <c r="Q50" i="6"/>
  <c r="O50" i="6"/>
  <c r="P46" i="6"/>
  <c r="O46" i="6"/>
  <c r="P38" i="6"/>
  <c r="O38" i="6"/>
  <c r="P34" i="6"/>
  <c r="O34" i="6"/>
  <c r="P30" i="6"/>
  <c r="O30" i="6"/>
  <c r="P22" i="6"/>
  <c r="O22" i="6"/>
  <c r="Q18" i="6"/>
  <c r="O18" i="6"/>
  <c r="P14" i="6"/>
  <c r="O14" i="6"/>
  <c r="P6" i="6"/>
  <c r="O6" i="6"/>
  <c r="Q708" i="6"/>
  <c r="O708" i="6"/>
  <c r="Q716" i="6"/>
  <c r="O716" i="6"/>
  <c r="Q724" i="6"/>
  <c r="O724" i="6"/>
  <c r="Q732" i="6"/>
  <c r="O732" i="6"/>
  <c r="P732" i="6"/>
  <c r="Q736" i="6"/>
  <c r="O736" i="6"/>
  <c r="O740" i="6"/>
  <c r="P740" i="6"/>
  <c r="Q744" i="6"/>
  <c r="O744" i="6"/>
  <c r="O748" i="6"/>
  <c r="P748" i="6"/>
  <c r="Q752" i="6"/>
  <c r="O752" i="6"/>
  <c r="Q756" i="6"/>
  <c r="O756" i="6"/>
  <c r="P756" i="6"/>
  <c r="Q760" i="6"/>
  <c r="O760" i="6"/>
  <c r="Q764" i="6"/>
  <c r="O764" i="6"/>
  <c r="P764" i="6"/>
  <c r="Q768" i="6"/>
  <c r="O768" i="6"/>
  <c r="O772" i="6"/>
  <c r="P772" i="6"/>
  <c r="Q776" i="6"/>
  <c r="O776" i="6"/>
  <c r="O780" i="6"/>
  <c r="P780" i="6"/>
  <c r="Q784" i="6"/>
  <c r="O784" i="6"/>
  <c r="O788" i="6"/>
  <c r="P788" i="6"/>
  <c r="Q792" i="6"/>
  <c r="O792" i="6"/>
  <c r="Q796" i="6"/>
  <c r="O796" i="6"/>
  <c r="P796" i="6"/>
  <c r="Q800" i="6"/>
  <c r="O800" i="6"/>
  <c r="Q804" i="6"/>
  <c r="O804" i="6"/>
  <c r="Q808" i="6"/>
  <c r="O808" i="6"/>
  <c r="O812" i="6"/>
  <c r="P812" i="6"/>
  <c r="Q820" i="6"/>
  <c r="O820" i="6"/>
  <c r="Q828" i="6"/>
  <c r="O828" i="6"/>
  <c r="P836" i="6"/>
  <c r="O836" i="6"/>
  <c r="Q844" i="6"/>
  <c r="O844" i="6"/>
  <c r="Q852" i="6"/>
  <c r="O852" i="6"/>
  <c r="Q856" i="6"/>
  <c r="O856" i="6"/>
  <c r="Q860" i="6"/>
  <c r="O860" i="6"/>
  <c r="P864" i="6"/>
  <c r="O864" i="6"/>
  <c r="P868" i="6"/>
  <c r="O868" i="6"/>
  <c r="Q872" i="6"/>
  <c r="O872" i="6"/>
  <c r="Q876" i="6"/>
  <c r="O876" i="6"/>
  <c r="Q880" i="6"/>
  <c r="O880" i="6"/>
  <c r="O884" i="6"/>
  <c r="P884" i="6"/>
  <c r="P888" i="6"/>
  <c r="O888" i="6"/>
  <c r="Q892" i="6"/>
  <c r="O892" i="6"/>
  <c r="P892" i="6"/>
  <c r="Q896" i="6"/>
  <c r="O896" i="6"/>
  <c r="Q900" i="6"/>
  <c r="O900" i="6"/>
  <c r="P900" i="6"/>
  <c r="Q904" i="6"/>
  <c r="O904" i="6"/>
  <c r="Q908" i="6"/>
  <c r="O908" i="6"/>
  <c r="Q912" i="6"/>
  <c r="O912" i="6"/>
  <c r="Q916" i="6"/>
  <c r="O916" i="6"/>
  <c r="P916" i="6"/>
  <c r="Q920" i="6"/>
  <c r="O920" i="6"/>
  <c r="Q924" i="6"/>
  <c r="O924" i="6"/>
  <c r="P924" i="6"/>
  <c r="Q928" i="6"/>
  <c r="O928" i="6"/>
  <c r="Q932" i="6"/>
  <c r="O932" i="6"/>
  <c r="P932" i="6"/>
  <c r="Q936" i="6"/>
  <c r="O936" i="6"/>
  <c r="Q940" i="6"/>
  <c r="O940" i="6"/>
  <c r="Q944" i="6"/>
  <c r="O944" i="6"/>
  <c r="Q948" i="6"/>
  <c r="O948" i="6"/>
  <c r="Q952" i="6"/>
  <c r="O952" i="6"/>
  <c r="Q956" i="6"/>
  <c r="O956" i="6"/>
  <c r="Q960" i="6"/>
  <c r="O960" i="6"/>
  <c r="Q968" i="6"/>
  <c r="O968" i="6"/>
  <c r="Q976" i="6"/>
  <c r="O976" i="6"/>
  <c r="Q980" i="6"/>
  <c r="O980" i="6"/>
  <c r="Q984" i="6"/>
  <c r="O984" i="6"/>
  <c r="Q988" i="6"/>
  <c r="O988" i="6"/>
  <c r="Q992" i="6"/>
  <c r="O992" i="6"/>
  <c r="Q1000" i="6"/>
  <c r="O1000" i="6"/>
  <c r="Q1004" i="6"/>
  <c r="O1004" i="6"/>
  <c r="Q1008" i="6"/>
  <c r="O1008" i="6"/>
  <c r="Q1016" i="6"/>
  <c r="O1016" i="6"/>
  <c r="Q1020" i="6"/>
  <c r="O1020" i="6"/>
  <c r="Q1024" i="6"/>
  <c r="O1024" i="6"/>
  <c r="Q1028" i="6"/>
  <c r="O1028" i="6"/>
  <c r="Q1032" i="6"/>
  <c r="O1032" i="6"/>
  <c r="Q1036" i="6"/>
  <c r="O1036" i="6"/>
  <c r="Q1040" i="6"/>
  <c r="O1040" i="6"/>
  <c r="Q1048" i="6"/>
  <c r="O1048" i="6"/>
  <c r="Q1056" i="6"/>
  <c r="O1056" i="6"/>
  <c r="Q1072" i="6"/>
  <c r="O1072" i="6"/>
  <c r="Q1076" i="6"/>
  <c r="O1076" i="6"/>
  <c r="Q1080" i="6"/>
  <c r="O1080" i="6"/>
  <c r="P1084" i="6"/>
  <c r="O1084" i="6"/>
  <c r="Q1088" i="6"/>
  <c r="O1088" i="6"/>
  <c r="P1112" i="6"/>
  <c r="O1112" i="6"/>
  <c r="Q1120" i="6"/>
  <c r="O1120" i="6"/>
  <c r="Q1124" i="6"/>
  <c r="O1124" i="6"/>
  <c r="Q1128" i="6"/>
  <c r="O1128" i="6"/>
  <c r="P1132" i="6"/>
  <c r="O1132" i="6"/>
  <c r="P1144" i="6"/>
  <c r="O1144" i="6"/>
  <c r="Q1152" i="6"/>
  <c r="O1152" i="6"/>
  <c r="Q1160" i="6"/>
  <c r="O1160" i="6"/>
  <c r="Q1168" i="6"/>
  <c r="O1168" i="6"/>
  <c r="Q1172" i="6"/>
  <c r="O1172" i="6"/>
  <c r="Q1204" i="6"/>
  <c r="O1204" i="6"/>
  <c r="Q1212" i="6"/>
  <c r="O1212" i="6"/>
  <c r="Q1220" i="6"/>
  <c r="O1220" i="6"/>
  <c r="Q1224" i="6"/>
  <c r="O1224" i="6"/>
  <c r="Q1236" i="6"/>
  <c r="O1236" i="6"/>
  <c r="Q1240" i="6"/>
  <c r="O1240" i="6"/>
  <c r="P1248" i="6"/>
  <c r="O1248" i="6"/>
  <c r="Q1264" i="6"/>
  <c r="O1264" i="6"/>
  <c r="Q1276" i="6"/>
  <c r="O1276" i="6"/>
  <c r="Q1288" i="6"/>
  <c r="O1288" i="6"/>
  <c r="Q1296" i="6"/>
  <c r="O1296" i="6"/>
  <c r="P1304" i="6"/>
  <c r="O1304" i="6"/>
  <c r="P1308" i="6"/>
  <c r="O1308" i="6"/>
  <c r="Q1312" i="6"/>
  <c r="O1312" i="6"/>
  <c r="Q1320" i="6"/>
  <c r="O1320" i="6"/>
  <c r="P1328" i="6"/>
  <c r="O1328" i="6"/>
  <c r="Q1332" i="6"/>
  <c r="O1332" i="6"/>
  <c r="Q1336" i="6"/>
  <c r="O1336" i="6"/>
  <c r="Q1344" i="6"/>
  <c r="O1344" i="6"/>
  <c r="Q1352" i="6"/>
  <c r="O1352" i="6"/>
  <c r="Q1356" i="6"/>
  <c r="O1356" i="6"/>
  <c r="Q1372" i="6"/>
  <c r="O1372" i="6"/>
  <c r="Q1396" i="6"/>
  <c r="O1396" i="6"/>
  <c r="Q1401" i="6"/>
  <c r="Q1384" i="6"/>
  <c r="Q1349" i="6"/>
  <c r="Q1313" i="6"/>
  <c r="Q1280" i="6"/>
  <c r="Q1257" i="6"/>
  <c r="Q1233" i="6"/>
  <c r="Q1200" i="6"/>
  <c r="Q1173" i="6"/>
  <c r="Q1114" i="6"/>
  <c r="Q1042" i="6"/>
  <c r="Q858" i="6"/>
  <c r="Q788" i="6"/>
  <c r="P1400" i="6"/>
  <c r="P1392" i="6"/>
  <c r="P1384" i="6"/>
  <c r="P1376" i="6"/>
  <c r="P1368" i="6"/>
  <c r="P1360" i="6"/>
  <c r="P1352" i="6"/>
  <c r="P1344" i="6"/>
  <c r="P1336" i="6"/>
  <c r="P1323" i="6"/>
  <c r="P1267" i="6"/>
  <c r="P1259" i="6"/>
  <c r="P1235" i="6"/>
  <c r="P1224" i="6"/>
  <c r="P1151" i="6"/>
  <c r="P1107" i="6"/>
  <c r="P1091" i="6"/>
  <c r="P1043" i="6"/>
  <c r="P1016" i="6"/>
  <c r="P1004" i="6"/>
  <c r="P992" i="6"/>
  <c r="P984" i="6"/>
  <c r="P976" i="6"/>
  <c r="P968" i="6"/>
  <c r="P960" i="6"/>
  <c r="P952" i="6"/>
  <c r="P940" i="6"/>
  <c r="P899" i="6"/>
  <c r="O1397" i="6"/>
  <c r="O1381" i="6"/>
  <c r="O1365" i="6"/>
  <c r="O1317" i="6"/>
  <c r="O1301" i="6"/>
  <c r="O1237" i="6"/>
  <c r="O1205" i="6"/>
  <c r="O1173" i="6"/>
  <c r="O1109" i="6"/>
  <c r="O1077" i="6"/>
  <c r="O1061" i="6"/>
  <c r="O1045" i="6"/>
  <c r="O1029" i="6"/>
  <c r="O1013" i="6"/>
  <c r="O997" i="6"/>
  <c r="O865" i="6"/>
  <c r="O481" i="6"/>
  <c r="O417" i="6"/>
  <c r="O353" i="6"/>
  <c r="O130" i="6"/>
  <c r="Q692" i="6"/>
  <c r="O692" i="6"/>
  <c r="P680" i="6"/>
  <c r="O680" i="6"/>
  <c r="P668" i="6"/>
  <c r="O668" i="6"/>
  <c r="P656" i="6"/>
  <c r="O656" i="6"/>
  <c r="Q644" i="6"/>
  <c r="O644" i="6"/>
  <c r="P632" i="6"/>
  <c r="O632" i="6"/>
  <c r="P624" i="6"/>
  <c r="O624" i="6"/>
  <c r="P616" i="6"/>
  <c r="O616" i="6"/>
  <c r="P600" i="6"/>
  <c r="O600" i="6"/>
  <c r="P588" i="6"/>
  <c r="O588" i="6"/>
  <c r="P576" i="6"/>
  <c r="O576" i="6"/>
  <c r="P564" i="6"/>
  <c r="O564" i="6"/>
  <c r="P552" i="6"/>
  <c r="O552" i="6"/>
  <c r="P536" i="6"/>
  <c r="O536" i="6"/>
  <c r="P524" i="6"/>
  <c r="O524" i="6"/>
  <c r="P512" i="6"/>
  <c r="O512" i="6"/>
  <c r="P500" i="6"/>
  <c r="O500" i="6"/>
  <c r="P492" i="6"/>
  <c r="O492" i="6"/>
  <c r="P480" i="6"/>
  <c r="O480" i="6"/>
  <c r="P464" i="6"/>
  <c r="O464" i="6"/>
  <c r="Q452" i="6"/>
  <c r="O452" i="6"/>
  <c r="P440" i="6"/>
  <c r="O440" i="6"/>
  <c r="P424" i="6"/>
  <c r="O424" i="6"/>
  <c r="Q396" i="6"/>
  <c r="O396" i="6"/>
  <c r="Q380" i="6"/>
  <c r="O380" i="6"/>
  <c r="P368" i="6"/>
  <c r="O368" i="6"/>
  <c r="Q356" i="6"/>
  <c r="O356" i="6"/>
  <c r="P324" i="6"/>
  <c r="O324" i="6"/>
  <c r="P312" i="6"/>
  <c r="O312" i="6"/>
  <c r="P300" i="6"/>
  <c r="O300" i="6"/>
  <c r="P288" i="6"/>
  <c r="O288" i="6"/>
  <c r="P280" i="6"/>
  <c r="O280" i="6"/>
  <c r="P268" i="6"/>
  <c r="O268" i="6"/>
  <c r="P256" i="6"/>
  <c r="O256" i="6"/>
  <c r="P248" i="6"/>
  <c r="O248" i="6"/>
  <c r="P236" i="6"/>
  <c r="O236" i="6"/>
  <c r="P224" i="6"/>
  <c r="O224" i="6"/>
  <c r="P212" i="6"/>
  <c r="O212" i="6"/>
  <c r="P200" i="6"/>
  <c r="O200" i="6"/>
  <c r="P188" i="6"/>
  <c r="O188" i="6"/>
  <c r="P176" i="6"/>
  <c r="O176" i="6"/>
  <c r="P160" i="6"/>
  <c r="O160" i="6"/>
  <c r="P148" i="6"/>
  <c r="O148" i="6"/>
  <c r="P140" i="6"/>
  <c r="O140" i="6"/>
  <c r="P128" i="6"/>
  <c r="O128" i="6"/>
  <c r="P116" i="6"/>
  <c r="O116" i="6"/>
  <c r="P104" i="6"/>
  <c r="O104" i="6"/>
  <c r="P88" i="6"/>
  <c r="O88" i="6"/>
  <c r="P72" i="6"/>
  <c r="O72" i="6"/>
  <c r="P60" i="6"/>
  <c r="O60" i="6"/>
  <c r="P48" i="6"/>
  <c r="O48" i="6"/>
  <c r="P36" i="6"/>
  <c r="O36" i="6"/>
  <c r="P24" i="6"/>
  <c r="O24" i="6"/>
  <c r="P12" i="6"/>
  <c r="O12" i="6"/>
  <c r="P4" i="6"/>
  <c r="O4" i="6"/>
  <c r="Q854" i="6"/>
  <c r="O854" i="6"/>
  <c r="Q862" i="6"/>
  <c r="O862" i="6"/>
  <c r="Q870" i="6"/>
  <c r="O870" i="6"/>
  <c r="Q878" i="6"/>
  <c r="O878" i="6"/>
  <c r="Q898" i="6"/>
  <c r="O898" i="6"/>
  <c r="P906" i="6"/>
  <c r="O906" i="6"/>
  <c r="P914" i="6"/>
  <c r="O914" i="6"/>
  <c r="Q922" i="6"/>
  <c r="O922" i="6"/>
  <c r="P930" i="6"/>
  <c r="O930" i="6"/>
  <c r="P938" i="6"/>
  <c r="O938" i="6"/>
  <c r="P994" i="6"/>
  <c r="O994" i="6"/>
  <c r="Q1022" i="6"/>
  <c r="O1022" i="6"/>
  <c r="Q1050" i="6"/>
  <c r="O1050" i="6"/>
  <c r="Q1058" i="6"/>
  <c r="O1058" i="6"/>
  <c r="Q1066" i="6"/>
  <c r="O1066" i="6"/>
  <c r="Q1074" i="6"/>
  <c r="O1074" i="6"/>
  <c r="P1086" i="6"/>
  <c r="O1086" i="6"/>
  <c r="Q1094" i="6"/>
  <c r="O1094" i="6"/>
  <c r="Q1102" i="6"/>
  <c r="O1102" i="6"/>
  <c r="Q1110" i="6"/>
  <c r="O1110" i="6"/>
  <c r="P1134" i="6"/>
  <c r="O1134" i="6"/>
  <c r="Q1142" i="6"/>
  <c r="O1142" i="6"/>
  <c r="P1154" i="6"/>
  <c r="O1154" i="6"/>
  <c r="Q1302" i="6"/>
  <c r="O1302" i="6"/>
  <c r="Q1306" i="6"/>
  <c r="O1306" i="6"/>
  <c r="Q1314" i="6"/>
  <c r="O1314" i="6"/>
  <c r="Q1322" i="6"/>
  <c r="O1322" i="6"/>
  <c r="P589" i="6"/>
  <c r="O589" i="6"/>
  <c r="P477" i="6"/>
  <c r="O477" i="6"/>
  <c r="P473" i="6"/>
  <c r="O473" i="6"/>
  <c r="P469" i="6"/>
  <c r="O469" i="6"/>
  <c r="P461" i="6"/>
  <c r="O461" i="6"/>
  <c r="P457" i="6"/>
  <c r="O457" i="6"/>
  <c r="P453" i="6"/>
  <c r="O453" i="6"/>
  <c r="P445" i="6"/>
  <c r="O445" i="6"/>
  <c r="P441" i="6"/>
  <c r="O441" i="6"/>
  <c r="P437" i="6"/>
  <c r="O437" i="6"/>
  <c r="P429" i="6"/>
  <c r="O429" i="6"/>
  <c r="P425" i="6"/>
  <c r="O425" i="6"/>
  <c r="P421" i="6"/>
  <c r="O421" i="6"/>
  <c r="P413" i="6"/>
  <c r="O413" i="6"/>
  <c r="P409" i="6"/>
  <c r="O409" i="6"/>
  <c r="P405" i="6"/>
  <c r="O405" i="6"/>
  <c r="P397" i="6"/>
  <c r="O397" i="6"/>
  <c r="P393" i="6"/>
  <c r="O393" i="6"/>
  <c r="P389" i="6"/>
  <c r="O389" i="6"/>
  <c r="P381" i="6"/>
  <c r="O381" i="6"/>
  <c r="P377" i="6"/>
  <c r="O377" i="6"/>
  <c r="P373" i="6"/>
  <c r="O373" i="6"/>
  <c r="P365" i="6"/>
  <c r="O365" i="6"/>
  <c r="P361" i="6"/>
  <c r="O361" i="6"/>
  <c r="P357" i="6"/>
  <c r="O357" i="6"/>
  <c r="P349" i="6"/>
  <c r="O349" i="6"/>
  <c r="P345" i="6"/>
  <c r="O345" i="6"/>
  <c r="P341" i="6"/>
  <c r="O341" i="6"/>
  <c r="P337" i="6"/>
  <c r="O337" i="6"/>
  <c r="P325" i="6"/>
  <c r="O325" i="6"/>
  <c r="P321" i="6"/>
  <c r="O321" i="6"/>
  <c r="P309" i="6"/>
  <c r="O309" i="6"/>
  <c r="P305" i="6"/>
  <c r="O305" i="6"/>
  <c r="P293" i="6"/>
  <c r="O293" i="6"/>
  <c r="P289" i="6"/>
  <c r="O289" i="6"/>
  <c r="P277" i="6"/>
  <c r="O277" i="6"/>
  <c r="P273" i="6"/>
  <c r="O273" i="6"/>
  <c r="P261" i="6"/>
  <c r="O261" i="6"/>
  <c r="P257" i="6"/>
  <c r="O257" i="6"/>
  <c r="P253" i="6"/>
  <c r="O253" i="6"/>
  <c r="P245" i="6"/>
  <c r="O245" i="6"/>
  <c r="P241" i="6"/>
  <c r="O241" i="6"/>
  <c r="Q233" i="6"/>
  <c r="O233" i="6"/>
  <c r="P229" i="6"/>
  <c r="O229" i="6"/>
  <c r="P225" i="6"/>
  <c r="O225" i="6"/>
  <c r="Q217" i="6"/>
  <c r="O217" i="6"/>
  <c r="P213" i="6"/>
  <c r="O213" i="6"/>
  <c r="Q209" i="6"/>
  <c r="O209" i="6"/>
  <c r="P205" i="6"/>
  <c r="O205" i="6"/>
  <c r="Q201" i="6"/>
  <c r="O201" i="6"/>
  <c r="P197" i="6"/>
  <c r="O197" i="6"/>
  <c r="Q193" i="6"/>
  <c r="O193" i="6"/>
  <c r="P189" i="6"/>
  <c r="O189" i="6"/>
  <c r="Q185" i="6"/>
  <c r="O185" i="6"/>
  <c r="P181" i="6"/>
  <c r="O181" i="6"/>
  <c r="Q177" i="6"/>
  <c r="O177" i="6"/>
  <c r="P173" i="6"/>
  <c r="O173" i="6"/>
  <c r="Q169" i="6"/>
  <c r="O169" i="6"/>
  <c r="P165" i="6"/>
  <c r="O165" i="6"/>
  <c r="Q161" i="6"/>
  <c r="O161" i="6"/>
  <c r="P157" i="6"/>
  <c r="O157" i="6"/>
  <c r="Q153" i="6"/>
  <c r="O153" i="6"/>
  <c r="P149" i="6"/>
  <c r="O149" i="6"/>
  <c r="Q145" i="6"/>
  <c r="O145" i="6"/>
  <c r="P141" i="6"/>
  <c r="O141" i="6"/>
  <c r="Q137" i="6"/>
  <c r="O137" i="6"/>
  <c r="P133" i="6"/>
  <c r="O133" i="6"/>
  <c r="Q129" i="6"/>
  <c r="O129" i="6"/>
  <c r="P125" i="6"/>
  <c r="O125" i="6"/>
  <c r="Q121" i="6"/>
  <c r="O121" i="6"/>
  <c r="P117" i="6"/>
  <c r="O117" i="6"/>
  <c r="Q113" i="6"/>
  <c r="O113" i="6"/>
  <c r="P109" i="6"/>
  <c r="O109" i="6"/>
  <c r="Q105" i="6"/>
  <c r="O105" i="6"/>
  <c r="P101" i="6"/>
  <c r="O101" i="6"/>
  <c r="Q97" i="6"/>
  <c r="O97" i="6"/>
  <c r="P93" i="6"/>
  <c r="O93" i="6"/>
  <c r="Q89" i="6"/>
  <c r="O89" i="6"/>
  <c r="P85" i="6"/>
  <c r="O85" i="6"/>
  <c r="Q81" i="6"/>
  <c r="O81" i="6"/>
  <c r="P77" i="6"/>
  <c r="O77" i="6"/>
  <c r="Q73" i="6"/>
  <c r="O73" i="6"/>
  <c r="P69" i="6"/>
  <c r="O69" i="6"/>
  <c r="Q65" i="6"/>
  <c r="O65" i="6"/>
  <c r="P61" i="6"/>
  <c r="O61" i="6"/>
  <c r="Q57" i="6"/>
  <c r="O57" i="6"/>
  <c r="P53" i="6"/>
  <c r="O53" i="6"/>
  <c r="Q49" i="6"/>
  <c r="O49" i="6"/>
  <c r="P45" i="6"/>
  <c r="O45" i="6"/>
  <c r="Q41" i="6"/>
  <c r="O41" i="6"/>
  <c r="P37" i="6"/>
  <c r="O37" i="6"/>
  <c r="Q33" i="6"/>
  <c r="O33" i="6"/>
  <c r="P29" i="6"/>
  <c r="O29" i="6"/>
  <c r="Q25" i="6"/>
  <c r="O25" i="6"/>
  <c r="P21" i="6"/>
  <c r="O21" i="6"/>
  <c r="Q17" i="6"/>
  <c r="O17" i="6"/>
  <c r="P13" i="6"/>
  <c r="O13" i="6"/>
  <c r="Q9" i="6"/>
  <c r="O9" i="6"/>
  <c r="P5" i="6"/>
  <c r="O5" i="6"/>
  <c r="Q703" i="6"/>
  <c r="O703" i="6"/>
  <c r="Q707" i="6"/>
  <c r="O707" i="6"/>
  <c r="P707" i="6"/>
  <c r="Q711" i="6"/>
  <c r="O711" i="6"/>
  <c r="O715" i="6"/>
  <c r="P715" i="6"/>
  <c r="Q719" i="6"/>
  <c r="O719" i="6"/>
  <c r="Q723" i="6"/>
  <c r="O723" i="6"/>
  <c r="P723" i="6"/>
  <c r="Q727" i="6"/>
  <c r="O727" i="6"/>
  <c r="Q731" i="6"/>
  <c r="O731" i="6"/>
  <c r="Q735" i="6"/>
  <c r="O735" i="6"/>
  <c r="Q739" i="6"/>
  <c r="O739" i="6"/>
  <c r="P739" i="6"/>
  <c r="Q743" i="6"/>
  <c r="O743" i="6"/>
  <c r="Q747" i="6"/>
  <c r="O747" i="6"/>
  <c r="Q751" i="6"/>
  <c r="O751" i="6"/>
  <c r="Q755" i="6"/>
  <c r="O755" i="6"/>
  <c r="P755" i="6"/>
  <c r="Q759" i="6"/>
  <c r="O759" i="6"/>
  <c r="Q763" i="6"/>
  <c r="O763" i="6"/>
  <c r="Q767" i="6"/>
  <c r="O767" i="6"/>
  <c r="Q771" i="6"/>
  <c r="O771" i="6"/>
  <c r="P771" i="6"/>
  <c r="Q775" i="6"/>
  <c r="O775" i="6"/>
  <c r="Q779" i="6"/>
  <c r="O779" i="6"/>
  <c r="Q783" i="6"/>
  <c r="O783" i="6"/>
  <c r="P815" i="6"/>
  <c r="O815" i="6"/>
  <c r="P831" i="6"/>
  <c r="O831" i="6"/>
  <c r="Q883" i="6"/>
  <c r="O883" i="6"/>
  <c r="P883" i="6"/>
  <c r="Q887" i="6"/>
  <c r="O887" i="6"/>
  <c r="Q891" i="6"/>
  <c r="O891" i="6"/>
  <c r="P891" i="6"/>
  <c r="Q895" i="6"/>
  <c r="O895" i="6"/>
  <c r="P895" i="6"/>
  <c r="Q903" i="6"/>
  <c r="O903" i="6"/>
  <c r="P903" i="6"/>
  <c r="Q907" i="6"/>
  <c r="O907" i="6"/>
  <c r="P907" i="6"/>
  <c r="Q911" i="6"/>
  <c r="O911" i="6"/>
  <c r="P911" i="6"/>
  <c r="Q915" i="6"/>
  <c r="O915" i="6"/>
  <c r="P915" i="6"/>
  <c r="Q919" i="6"/>
  <c r="O919" i="6"/>
  <c r="Q923" i="6"/>
  <c r="O923" i="6"/>
  <c r="P923" i="6"/>
  <c r="Q927" i="6"/>
  <c r="O927" i="6"/>
  <c r="P927" i="6"/>
  <c r="Q931" i="6"/>
  <c r="O931" i="6"/>
  <c r="Q935" i="6"/>
  <c r="P935" i="6"/>
  <c r="O935" i="6"/>
  <c r="O939" i="6"/>
  <c r="P939" i="6"/>
  <c r="Q943" i="6"/>
  <c r="P943" i="6"/>
  <c r="O943" i="6"/>
  <c r="Q947" i="6"/>
  <c r="O947" i="6"/>
  <c r="Q951" i="6"/>
  <c r="O951" i="6"/>
  <c r="Q955" i="6"/>
  <c r="O955" i="6"/>
  <c r="Q959" i="6"/>
  <c r="O959" i="6"/>
  <c r="Q963" i="6"/>
  <c r="O963" i="6"/>
  <c r="Q967" i="6"/>
  <c r="O967" i="6"/>
  <c r="Q971" i="6"/>
  <c r="O971" i="6"/>
  <c r="Q975" i="6"/>
  <c r="O975" i="6"/>
  <c r="Q979" i="6"/>
  <c r="O979" i="6"/>
  <c r="Q987" i="6"/>
  <c r="O987" i="6"/>
  <c r="Q991" i="6"/>
  <c r="O991" i="6"/>
  <c r="Q995" i="6"/>
  <c r="O995" i="6"/>
  <c r="Q1011" i="6"/>
  <c r="O1011" i="6"/>
  <c r="Q1015" i="6"/>
  <c r="O1015" i="6"/>
  <c r="Q1019" i="6"/>
  <c r="O1019" i="6"/>
  <c r="Q1023" i="6"/>
  <c r="O1023" i="6"/>
  <c r="Q1027" i="6"/>
  <c r="O1027" i="6"/>
  <c r="Q1031" i="6"/>
  <c r="O1031" i="6"/>
  <c r="Q1035" i="6"/>
  <c r="O1035" i="6"/>
  <c r="Q1039" i="6"/>
  <c r="O1039" i="6"/>
  <c r="Q1047" i="6"/>
  <c r="O1047" i="6"/>
  <c r="Q1055" i="6"/>
  <c r="O1055" i="6"/>
  <c r="Q1059" i="6"/>
  <c r="O1059" i="6"/>
  <c r="P1063" i="6"/>
  <c r="O1063" i="6"/>
  <c r="Q1067" i="6"/>
  <c r="O1067" i="6"/>
  <c r="P1071" i="6"/>
  <c r="O1071" i="6"/>
  <c r="Q1075" i="6"/>
  <c r="O1075" i="6"/>
  <c r="Q1079" i="6"/>
  <c r="O1079" i="6"/>
  <c r="Q1083" i="6"/>
  <c r="O1083" i="6"/>
  <c r="Q1111" i="6"/>
  <c r="O1111" i="6"/>
  <c r="Q1115" i="6"/>
  <c r="O1115" i="6"/>
  <c r="Q1119" i="6"/>
  <c r="O1119" i="6"/>
  <c r="Q1123" i="6"/>
  <c r="O1123" i="6"/>
  <c r="Q1127" i="6"/>
  <c r="O1127" i="6"/>
  <c r="Q1131" i="6"/>
  <c r="O1131" i="6"/>
  <c r="Q1139" i="6"/>
  <c r="O1139" i="6"/>
  <c r="Q1159" i="6"/>
  <c r="O1159" i="6"/>
  <c r="Q1167" i="6"/>
  <c r="O1167" i="6"/>
  <c r="Q1171" i="6"/>
  <c r="O1171" i="6"/>
  <c r="Q1175" i="6"/>
  <c r="O1175" i="6"/>
  <c r="Q1179" i="6"/>
  <c r="O1179" i="6"/>
  <c r="Q1183" i="6"/>
  <c r="O1183" i="6"/>
  <c r="Q1187" i="6"/>
  <c r="O1187" i="6"/>
  <c r="Q1191" i="6"/>
  <c r="O1191" i="6"/>
  <c r="Q1195" i="6"/>
  <c r="O1195" i="6"/>
  <c r="Q1199" i="6"/>
  <c r="O1199" i="6"/>
  <c r="Q1203" i="6"/>
  <c r="O1203" i="6"/>
  <c r="Q1207" i="6"/>
  <c r="O1207" i="6"/>
  <c r="Q1211" i="6"/>
  <c r="O1211" i="6"/>
  <c r="Q1215" i="6"/>
  <c r="O1215" i="6"/>
  <c r="Q1219" i="6"/>
  <c r="O1219" i="6"/>
  <c r="Q1223" i="6"/>
  <c r="O1223" i="6"/>
  <c r="Q1227" i="6"/>
  <c r="O1227" i="6"/>
  <c r="Q1231" i="6"/>
  <c r="O1231" i="6"/>
  <c r="Q1239" i="6"/>
  <c r="O1239" i="6"/>
  <c r="Q1243" i="6"/>
  <c r="O1243" i="6"/>
  <c r="Q1247" i="6"/>
  <c r="O1247" i="6"/>
  <c r="Q1251" i="6"/>
  <c r="O1251" i="6"/>
  <c r="Q1255" i="6"/>
  <c r="O1255" i="6"/>
  <c r="Q1263" i="6"/>
  <c r="O1263" i="6"/>
  <c r="Q1271" i="6"/>
  <c r="O1271" i="6"/>
  <c r="Q1275" i="6"/>
  <c r="O1275" i="6"/>
  <c r="Q1279" i="6"/>
  <c r="O1279" i="6"/>
  <c r="Q1283" i="6"/>
  <c r="O1283" i="6"/>
  <c r="Q1287" i="6"/>
  <c r="O1287" i="6"/>
  <c r="Q1291" i="6"/>
  <c r="O1291" i="6"/>
  <c r="Q1295" i="6"/>
  <c r="O1295" i="6"/>
  <c r="Q1299" i="6"/>
  <c r="O1299" i="6"/>
  <c r="Q1303" i="6"/>
  <c r="O1303" i="6"/>
  <c r="Q1307" i="6"/>
  <c r="O1307" i="6"/>
  <c r="Q1311" i="6"/>
  <c r="O1311" i="6"/>
  <c r="Q1315" i="6"/>
  <c r="O1315" i="6"/>
  <c r="Q1331" i="6"/>
  <c r="O1331" i="6"/>
  <c r="Q1339" i="6"/>
  <c r="O1339" i="6"/>
  <c r="Q1347" i="6"/>
  <c r="O1347" i="6"/>
  <c r="Q1355" i="6"/>
  <c r="O1355" i="6"/>
  <c r="Q1359" i="6"/>
  <c r="O1359" i="6"/>
  <c r="Q1363" i="6"/>
  <c r="O1363" i="6"/>
  <c r="Q1367" i="6"/>
  <c r="O1367" i="6"/>
  <c r="Q1375" i="6"/>
  <c r="O1375" i="6"/>
  <c r="Q1391" i="6"/>
  <c r="O1391" i="6"/>
  <c r="Q1399" i="6"/>
  <c r="O1399" i="6"/>
  <c r="Q1400" i="6"/>
  <c r="Q1377" i="6"/>
  <c r="Q1348" i="6"/>
  <c r="Q1301" i="6"/>
  <c r="Q1272" i="6"/>
  <c r="Q1252" i="6"/>
  <c r="Q1228" i="6"/>
  <c r="Q1196" i="6"/>
  <c r="Q1156" i="6"/>
  <c r="Q1108" i="6"/>
  <c r="Q1018" i="6"/>
  <c r="Q972" i="6"/>
  <c r="Q914" i="6"/>
  <c r="Q834" i="6"/>
  <c r="Q772" i="6"/>
  <c r="P1399" i="6"/>
  <c r="P1391" i="6"/>
  <c r="P1383" i="6"/>
  <c r="P1375" i="6"/>
  <c r="P1367" i="6"/>
  <c r="P1359" i="6"/>
  <c r="P1351" i="6"/>
  <c r="P1343" i="6"/>
  <c r="P1335" i="6"/>
  <c r="P1319" i="6"/>
  <c r="P1303" i="6"/>
  <c r="P1288" i="6"/>
  <c r="P1280" i="6"/>
  <c r="P1272" i="6"/>
  <c r="P1264" i="6"/>
  <c r="P1256" i="6"/>
  <c r="P1247" i="6"/>
  <c r="P1232" i="6"/>
  <c r="P1220" i="6"/>
  <c r="P1212" i="6"/>
  <c r="P1204" i="6"/>
  <c r="P1196" i="6"/>
  <c r="P1188" i="6"/>
  <c r="P1180" i="6"/>
  <c r="P1172" i="6"/>
  <c r="P1164" i="6"/>
  <c r="P1156" i="6"/>
  <c r="P1148" i="6"/>
  <c r="P1135" i="6"/>
  <c r="P1119" i="6"/>
  <c r="P1103" i="6"/>
  <c r="P1087" i="6"/>
  <c r="P1067" i="6"/>
  <c r="P1035" i="6"/>
  <c r="P1012" i="6"/>
  <c r="P1000" i="6"/>
  <c r="P991" i="6"/>
  <c r="P983" i="6"/>
  <c r="P975" i="6"/>
  <c r="P967" i="6"/>
  <c r="P959" i="6"/>
  <c r="P951" i="6"/>
  <c r="P931" i="6"/>
  <c r="P887" i="6"/>
  <c r="P747" i="6"/>
  <c r="O1393" i="6"/>
  <c r="O1377" i="6"/>
  <c r="O1361" i="6"/>
  <c r="O1345" i="6"/>
  <c r="O1313" i="6"/>
  <c r="O1297" i="6"/>
  <c r="O1281" i="6"/>
  <c r="O1265" i="6"/>
  <c r="O1233" i="6"/>
  <c r="O1185" i="6"/>
  <c r="O1121" i="6"/>
  <c r="O1105" i="6"/>
  <c r="O1073" i="6"/>
  <c r="O1057" i="6"/>
  <c r="O1041" i="6"/>
  <c r="O1025" i="6"/>
  <c r="O1009" i="6"/>
  <c r="O465" i="6"/>
  <c r="O401" i="6"/>
  <c r="O322" i="6"/>
  <c r="O66" i="6"/>
  <c r="Q340" i="6"/>
  <c r="P340" i="6"/>
  <c r="Q787" i="6"/>
  <c r="P787" i="6"/>
  <c r="Q791" i="6"/>
  <c r="P791" i="6"/>
  <c r="Q795" i="6"/>
  <c r="P795" i="6"/>
  <c r="Q799" i="6"/>
  <c r="P799" i="6"/>
  <c r="Q803" i="6"/>
  <c r="P803" i="6"/>
  <c r="Q807" i="6"/>
  <c r="P807" i="6"/>
  <c r="Q811" i="6"/>
  <c r="P811" i="6"/>
  <c r="Q816" i="6"/>
  <c r="P816" i="6"/>
  <c r="Q824" i="6"/>
  <c r="P824" i="6"/>
  <c r="Q832" i="6"/>
  <c r="P832" i="6"/>
  <c r="Q840" i="6"/>
  <c r="P840" i="6"/>
  <c r="P848" i="6"/>
  <c r="Q881" i="6"/>
  <c r="P881" i="6"/>
  <c r="Q885" i="6"/>
  <c r="P885" i="6"/>
  <c r="Q889" i="6"/>
  <c r="P889" i="6"/>
  <c r="Q897" i="6"/>
  <c r="P897" i="6"/>
  <c r="Q901" i="6"/>
  <c r="P901" i="6"/>
  <c r="Q905" i="6"/>
  <c r="P905" i="6"/>
  <c r="Q913" i="6"/>
  <c r="P913" i="6"/>
  <c r="Q917" i="6"/>
  <c r="P917" i="6"/>
  <c r="Q921" i="6"/>
  <c r="P921" i="6"/>
  <c r="Q929" i="6"/>
  <c r="P929" i="6"/>
  <c r="Q933" i="6"/>
  <c r="P933" i="6"/>
  <c r="Q937" i="6"/>
  <c r="P937" i="6"/>
  <c r="Q945" i="6"/>
  <c r="P945" i="6"/>
  <c r="Q949" i="6"/>
  <c r="P949" i="6"/>
  <c r="Q953" i="6"/>
  <c r="P953" i="6"/>
  <c r="Q957" i="6"/>
  <c r="P957" i="6"/>
  <c r="Q961" i="6"/>
  <c r="P961" i="6"/>
  <c r="Q965" i="6"/>
  <c r="P965" i="6"/>
  <c r="Q969" i="6"/>
  <c r="P969" i="6"/>
  <c r="Q977" i="6"/>
  <c r="P977" i="6"/>
  <c r="Q981" i="6"/>
  <c r="P981" i="6"/>
  <c r="Q985" i="6"/>
  <c r="P985" i="6"/>
  <c r="Q993" i="6"/>
  <c r="P993" i="6"/>
  <c r="Q998" i="6"/>
  <c r="P998" i="6"/>
  <c r="Q1002" i="6"/>
  <c r="P1002" i="6"/>
  <c r="Q1006" i="6"/>
  <c r="P1006" i="6"/>
  <c r="P1010" i="6"/>
  <c r="Q1010" i="6"/>
  <c r="Q1014" i="6"/>
  <c r="P1014" i="6"/>
  <c r="Q1245" i="6"/>
  <c r="P1245" i="6"/>
  <c r="Q1249" i="6"/>
  <c r="P1249" i="6"/>
  <c r="Q1254" i="6"/>
  <c r="P1254" i="6"/>
  <c r="Q1258" i="6"/>
  <c r="P1258" i="6"/>
  <c r="Q1266" i="6"/>
  <c r="P1266" i="6"/>
  <c r="Q1270" i="6"/>
  <c r="P1270" i="6"/>
  <c r="Q1274" i="6"/>
  <c r="P1274" i="6"/>
  <c r="Q1278" i="6"/>
  <c r="P1278" i="6"/>
  <c r="Q1282" i="6"/>
  <c r="P1282" i="6"/>
  <c r="Q1286" i="6"/>
  <c r="P1286" i="6"/>
  <c r="Q1290" i="6"/>
  <c r="P1290" i="6"/>
  <c r="Q596" i="6"/>
  <c r="P872" i="6"/>
  <c r="P856" i="6"/>
  <c r="P828" i="6"/>
  <c r="P724" i="6"/>
  <c r="P708" i="6"/>
  <c r="P460" i="6"/>
  <c r="P428" i="6"/>
  <c r="P396" i="6"/>
  <c r="P364" i="6"/>
  <c r="P322" i="6"/>
  <c r="P258" i="6"/>
  <c r="P194" i="6"/>
  <c r="P130" i="6"/>
  <c r="Q699" i="6"/>
  <c r="P699" i="6"/>
  <c r="Q695" i="6"/>
  <c r="P695" i="6"/>
  <c r="Q691" i="6"/>
  <c r="P691" i="6"/>
  <c r="Q683" i="6"/>
  <c r="P683" i="6"/>
  <c r="Q675" i="6"/>
  <c r="P675" i="6"/>
  <c r="Q671" i="6"/>
  <c r="P671" i="6"/>
  <c r="Q667" i="6"/>
  <c r="P667" i="6"/>
  <c r="Q663" i="6"/>
  <c r="P663" i="6"/>
  <c r="Q659" i="6"/>
  <c r="P659" i="6"/>
  <c r="Q655" i="6"/>
  <c r="P655" i="6"/>
  <c r="Q651" i="6"/>
  <c r="P651" i="6"/>
  <c r="Q643" i="6"/>
  <c r="P643" i="6"/>
  <c r="Q639" i="6"/>
  <c r="P639" i="6"/>
  <c r="Q635" i="6"/>
  <c r="P635" i="6"/>
  <c r="Q631" i="6"/>
  <c r="P631" i="6"/>
  <c r="Q627" i="6"/>
  <c r="P627" i="6"/>
  <c r="Q623" i="6"/>
  <c r="P623" i="6"/>
  <c r="Q619" i="6"/>
  <c r="P619" i="6"/>
  <c r="Q611" i="6"/>
  <c r="P611" i="6"/>
  <c r="Q607" i="6"/>
  <c r="P607" i="6"/>
  <c r="Q603" i="6"/>
  <c r="P603" i="6"/>
  <c r="Q599" i="6"/>
  <c r="P599" i="6"/>
  <c r="Q595" i="6"/>
  <c r="P595" i="6"/>
  <c r="Q591" i="6"/>
  <c r="P591" i="6"/>
  <c r="Q587" i="6"/>
  <c r="P587" i="6"/>
  <c r="Q583" i="6"/>
  <c r="P583" i="6"/>
  <c r="Q579" i="6"/>
  <c r="P579" i="6"/>
  <c r="Q571" i="6"/>
  <c r="P571" i="6"/>
  <c r="Q567" i="6"/>
  <c r="P567" i="6"/>
  <c r="Q563" i="6"/>
  <c r="P563" i="6"/>
  <c r="Q559" i="6"/>
  <c r="P559" i="6"/>
  <c r="Q555" i="6"/>
  <c r="P555" i="6"/>
  <c r="Q547" i="6"/>
  <c r="P547" i="6"/>
  <c r="Q543" i="6"/>
  <c r="P543" i="6"/>
  <c r="Q539" i="6"/>
  <c r="P539" i="6"/>
  <c r="Q535" i="6"/>
  <c r="P535" i="6"/>
  <c r="Q531" i="6"/>
  <c r="P531" i="6"/>
  <c r="Q527" i="6"/>
  <c r="P527" i="6"/>
  <c r="Q523" i="6"/>
  <c r="P523" i="6"/>
  <c r="Q515" i="6"/>
  <c r="P515" i="6"/>
  <c r="Q511" i="6"/>
  <c r="P511" i="6"/>
  <c r="Q507" i="6"/>
  <c r="P507" i="6"/>
  <c r="Q503" i="6"/>
  <c r="P503" i="6"/>
  <c r="Q499" i="6"/>
  <c r="P499" i="6"/>
  <c r="Q495" i="6"/>
  <c r="P495" i="6"/>
  <c r="Q491" i="6"/>
  <c r="P491" i="6"/>
  <c r="Q483" i="6"/>
  <c r="P483" i="6"/>
  <c r="Q705" i="6"/>
  <c r="P705" i="6"/>
  <c r="Q709" i="6"/>
  <c r="P709" i="6"/>
  <c r="Q713" i="6"/>
  <c r="P713" i="6"/>
  <c r="Q717" i="6"/>
  <c r="P717" i="6"/>
  <c r="Q721" i="6"/>
  <c r="P721" i="6"/>
  <c r="Q725" i="6"/>
  <c r="P725" i="6"/>
  <c r="Q729" i="6"/>
  <c r="P729" i="6"/>
  <c r="Q734" i="6"/>
  <c r="P734" i="6"/>
  <c r="Q738" i="6"/>
  <c r="P738" i="6"/>
  <c r="Q742" i="6"/>
  <c r="P742" i="6"/>
  <c r="Q750" i="6"/>
  <c r="P750" i="6"/>
  <c r="P754" i="6"/>
  <c r="P762" i="6"/>
  <c r="Q762" i="6"/>
  <c r="Q766" i="6"/>
  <c r="P766" i="6"/>
  <c r="Q774" i="6"/>
  <c r="P774" i="6"/>
  <c r="P778" i="6"/>
  <c r="Q778" i="6"/>
  <c r="Q782" i="6"/>
  <c r="P782" i="6"/>
  <c r="P786" i="6"/>
  <c r="Q786" i="6"/>
  <c r="Q790" i="6"/>
  <c r="P790" i="6"/>
  <c r="Q798" i="6"/>
  <c r="P798" i="6"/>
  <c r="P802" i="6"/>
  <c r="Q802" i="6"/>
  <c r="Q806" i="6"/>
  <c r="P806" i="6"/>
  <c r="Q814" i="6"/>
  <c r="P814" i="6"/>
  <c r="Q819" i="6"/>
  <c r="P819" i="6"/>
  <c r="Q823" i="6"/>
  <c r="P823" i="6"/>
  <c r="Q827" i="6"/>
  <c r="P827" i="6"/>
  <c r="Q835" i="6"/>
  <c r="P835" i="6"/>
  <c r="Q839" i="6"/>
  <c r="P839" i="6"/>
  <c r="Q843" i="6"/>
  <c r="P843" i="6"/>
  <c r="Q847" i="6"/>
  <c r="P847" i="6"/>
  <c r="Q851" i="6"/>
  <c r="P851" i="6"/>
  <c r="Q855" i="6"/>
  <c r="P855" i="6"/>
  <c r="Q859" i="6"/>
  <c r="P859" i="6"/>
  <c r="Q863" i="6"/>
  <c r="P863" i="6"/>
  <c r="Q867" i="6"/>
  <c r="P867" i="6"/>
  <c r="Q871" i="6"/>
  <c r="P871" i="6"/>
  <c r="Q875" i="6"/>
  <c r="P875" i="6"/>
  <c r="Q879" i="6"/>
  <c r="P879" i="6"/>
  <c r="Q1244" i="6"/>
  <c r="P1253" i="6"/>
  <c r="Q1253" i="6"/>
  <c r="P1261" i="6"/>
  <c r="Q1261" i="6"/>
  <c r="Q1269" i="6"/>
  <c r="P1269" i="6"/>
  <c r="P1273" i="6"/>
  <c r="Q1273" i="6"/>
  <c r="Q1277" i="6"/>
  <c r="P1277" i="6"/>
  <c r="P1285" i="6"/>
  <c r="Q1285" i="6"/>
  <c r="Q1338" i="6"/>
  <c r="P1338" i="6"/>
  <c r="Q1342" i="6"/>
  <c r="P1342" i="6"/>
  <c r="Q1328" i="6"/>
  <c r="Q1304" i="6"/>
  <c r="Q1281" i="6"/>
  <c r="Q1209" i="6"/>
  <c r="Q1185" i="6"/>
  <c r="Q1162" i="6"/>
  <c r="Q1068" i="6"/>
  <c r="Q868" i="6"/>
  <c r="Q676" i="6"/>
  <c r="P1320" i="6"/>
  <c r="P1312" i="6"/>
  <c r="P1296" i="6"/>
  <c r="P1240" i="6"/>
  <c r="P1136" i="6"/>
  <c r="P1128" i="6"/>
  <c r="P1120" i="6"/>
  <c r="P1104" i="6"/>
  <c r="P1096" i="6"/>
  <c r="P1088" i="6"/>
  <c r="P1080" i="6"/>
  <c r="P1072" i="6"/>
  <c r="P1064" i="6"/>
  <c r="P1056" i="6"/>
  <c r="P1048" i="6"/>
  <c r="P1040" i="6"/>
  <c r="P1032" i="6"/>
  <c r="P1024" i="6"/>
  <c r="P852" i="6"/>
  <c r="P820" i="6"/>
  <c r="P644" i="6"/>
  <c r="P612" i="6"/>
  <c r="P580" i="6"/>
  <c r="P452" i="6"/>
  <c r="P420" i="6"/>
  <c r="P388" i="6"/>
  <c r="P356" i="6"/>
  <c r="P306" i="6"/>
  <c r="P242" i="6"/>
  <c r="P178" i="6"/>
  <c r="P114" i="6"/>
  <c r="P50" i="6"/>
  <c r="Q472" i="6"/>
  <c r="P472" i="6"/>
  <c r="Q276" i="6"/>
  <c r="P276" i="6"/>
  <c r="P698" i="6"/>
  <c r="Q694" i="6"/>
  <c r="P694" i="6"/>
  <c r="Q674" i="6"/>
  <c r="P674" i="6"/>
  <c r="Q654" i="6"/>
  <c r="P654" i="6"/>
  <c r="Q646" i="6"/>
  <c r="P646" i="6"/>
  <c r="Q634" i="6"/>
  <c r="P634" i="6"/>
  <c r="Q630" i="6"/>
  <c r="P630" i="6"/>
  <c r="Q622" i="6"/>
  <c r="P622" i="6"/>
  <c r="Q618" i="6"/>
  <c r="P618" i="6"/>
  <c r="Q614" i="6"/>
  <c r="P614" i="6"/>
  <c r="Q610" i="6"/>
  <c r="P610" i="6"/>
  <c r="Q586" i="6"/>
  <c r="P586" i="6"/>
  <c r="Q578" i="6"/>
  <c r="P578" i="6"/>
  <c r="Q566" i="6"/>
  <c r="P566" i="6"/>
  <c r="Q554" i="6"/>
  <c r="P554" i="6"/>
  <c r="Q550" i="6"/>
  <c r="P550" i="6"/>
  <c r="Q546" i="6"/>
  <c r="P546" i="6"/>
  <c r="Q542" i="6"/>
  <c r="P542" i="6"/>
  <c r="Q538" i="6"/>
  <c r="P538" i="6"/>
  <c r="Q534" i="6"/>
  <c r="P534" i="6"/>
  <c r="Q502" i="6"/>
  <c r="P502" i="6"/>
  <c r="Q334" i="6"/>
  <c r="P334" i="6"/>
  <c r="Q318" i="6"/>
  <c r="P318" i="6"/>
  <c r="Q314" i="6"/>
  <c r="P314" i="6"/>
  <c r="Q270" i="6"/>
  <c r="P270" i="6"/>
  <c r="Q238" i="6"/>
  <c r="P238" i="6"/>
  <c r="Q222" i="6"/>
  <c r="P222" i="6"/>
  <c r="Q186" i="6"/>
  <c r="P186" i="6"/>
  <c r="Q704" i="6"/>
  <c r="P704" i="6"/>
  <c r="Q741" i="6"/>
  <c r="P741" i="6"/>
  <c r="Q749" i="6"/>
  <c r="P749" i="6"/>
  <c r="Q757" i="6"/>
  <c r="P757" i="6"/>
  <c r="Q761" i="6"/>
  <c r="P761" i="6"/>
  <c r="Q765" i="6"/>
  <c r="P765" i="6"/>
  <c r="Q769" i="6"/>
  <c r="P769" i="6"/>
  <c r="Q773" i="6"/>
  <c r="P773" i="6"/>
  <c r="Q777" i="6"/>
  <c r="P777" i="6"/>
  <c r="Q781" i="6"/>
  <c r="P781" i="6"/>
  <c r="Q1052" i="6"/>
  <c r="Q1085" i="6"/>
  <c r="P1085" i="6"/>
  <c r="Q1089" i="6"/>
  <c r="P1089" i="6"/>
  <c r="Q1093" i="6"/>
  <c r="P1093" i="6"/>
  <c r="Q1097" i="6"/>
  <c r="P1097" i="6"/>
  <c r="Q1101" i="6"/>
  <c r="P1101" i="6"/>
  <c r="Q1125" i="6"/>
  <c r="P1125" i="6"/>
  <c r="Q1133" i="6"/>
  <c r="P1133" i="6"/>
  <c r="Q1137" i="6"/>
  <c r="P1137" i="6"/>
  <c r="Q1141" i="6"/>
  <c r="P1141" i="6"/>
  <c r="Q1145" i="6"/>
  <c r="P1145" i="6"/>
  <c r="P1146" i="6"/>
  <c r="Q1146" i="6"/>
  <c r="Q1150" i="6"/>
  <c r="P1150" i="6"/>
  <c r="Q1158" i="6"/>
  <c r="P1158" i="6"/>
  <c r="Q1166" i="6"/>
  <c r="P1166" i="6"/>
  <c r="Q1170" i="6"/>
  <c r="P1170" i="6"/>
  <c r="Q1174" i="6"/>
  <c r="P1174" i="6"/>
  <c r="Q1178" i="6"/>
  <c r="P1178" i="6"/>
  <c r="Q1182" i="6"/>
  <c r="P1182" i="6"/>
  <c r="Q1186" i="6"/>
  <c r="P1186" i="6"/>
  <c r="Q1190" i="6"/>
  <c r="P1190" i="6"/>
  <c r="Q1194" i="6"/>
  <c r="P1194" i="6"/>
  <c r="Q1198" i="6"/>
  <c r="P1198" i="6"/>
  <c r="Q1202" i="6"/>
  <c r="P1202" i="6"/>
  <c r="Q1210" i="6"/>
  <c r="P1210" i="6"/>
  <c r="Q1214" i="6"/>
  <c r="P1214" i="6"/>
  <c r="Q1218" i="6"/>
  <c r="P1218" i="6"/>
  <c r="Q1222" i="6"/>
  <c r="P1222" i="6"/>
  <c r="Q1325" i="6"/>
  <c r="P1325" i="6"/>
  <c r="P1329" i="6"/>
  <c r="Q1329" i="6"/>
  <c r="P1333" i="6"/>
  <c r="P1341" i="6"/>
  <c r="Q1346" i="6"/>
  <c r="P1346" i="6"/>
  <c r="Q1350" i="6"/>
  <c r="P1350" i="6"/>
  <c r="Q1354" i="6"/>
  <c r="P1354" i="6"/>
  <c r="Q1358" i="6"/>
  <c r="P1358" i="6"/>
  <c r="P1362" i="6"/>
  <c r="Q1366" i="6"/>
  <c r="P1366" i="6"/>
  <c r="Q1370" i="6"/>
  <c r="P1370" i="6"/>
  <c r="Q1374" i="6"/>
  <c r="P1374" i="6"/>
  <c r="Q1386" i="6"/>
  <c r="P1386" i="6"/>
  <c r="Q1390" i="6"/>
  <c r="P1390" i="6"/>
  <c r="Q1394" i="6"/>
  <c r="P1394" i="6"/>
  <c r="Q1398" i="6"/>
  <c r="P1398" i="6"/>
  <c r="Q1321" i="6"/>
  <c r="Q1060" i="6"/>
  <c r="Q660" i="6"/>
  <c r="P1239" i="6"/>
  <c r="P1231" i="6"/>
  <c r="P1223" i="6"/>
  <c r="P1055" i="6"/>
  <c r="P1047" i="6"/>
  <c r="P1039" i="6"/>
  <c r="P1031" i="6"/>
  <c r="P1023" i="6"/>
  <c r="P1015" i="6"/>
  <c r="P944" i="6"/>
  <c r="P936" i="6"/>
  <c r="P928" i="6"/>
  <c r="P920" i="6"/>
  <c r="P912" i="6"/>
  <c r="P904" i="6"/>
  <c r="P896" i="6"/>
  <c r="P880" i="6"/>
  <c r="P844" i="6"/>
  <c r="P716" i="6"/>
  <c r="P476" i="6"/>
  <c r="P444" i="6"/>
  <c r="P412" i="6"/>
  <c r="P380" i="6"/>
  <c r="P348" i="6"/>
  <c r="P290" i="6"/>
  <c r="P226" i="6"/>
  <c r="P98" i="6"/>
  <c r="Q408" i="6"/>
  <c r="P408" i="6"/>
  <c r="Q344" i="6"/>
  <c r="P344" i="6"/>
  <c r="Q308" i="6"/>
  <c r="P308" i="6"/>
  <c r="Q686" i="6"/>
  <c r="P686" i="6"/>
  <c r="Q682" i="6"/>
  <c r="P682" i="6"/>
  <c r="Q666" i="6"/>
  <c r="P666" i="6"/>
  <c r="Q662" i="6"/>
  <c r="P662" i="6"/>
  <c r="Q650" i="6"/>
  <c r="P650" i="6"/>
  <c r="Q642" i="6"/>
  <c r="P642" i="6"/>
  <c r="Q602" i="6"/>
  <c r="P602" i="6"/>
  <c r="Q598" i="6"/>
  <c r="P598" i="6"/>
  <c r="Q590" i="6"/>
  <c r="P590" i="6"/>
  <c r="Q582" i="6"/>
  <c r="P582" i="6"/>
  <c r="Q526" i="6"/>
  <c r="P526" i="6"/>
  <c r="Q522" i="6"/>
  <c r="P522" i="6"/>
  <c r="Q518" i="6"/>
  <c r="P518" i="6"/>
  <c r="Q514" i="6"/>
  <c r="P514" i="6"/>
  <c r="Q506" i="6"/>
  <c r="P506" i="6"/>
  <c r="Q498" i="6"/>
  <c r="P498" i="6"/>
  <c r="Q494" i="6"/>
  <c r="P494" i="6"/>
  <c r="Q490" i="6"/>
  <c r="P490" i="6"/>
  <c r="Q486" i="6"/>
  <c r="P486" i="6"/>
  <c r="Q482" i="6"/>
  <c r="P482" i="6"/>
  <c r="Q302" i="6"/>
  <c r="P302" i="6"/>
  <c r="Q286" i="6"/>
  <c r="P286" i="6"/>
  <c r="Q254" i="6"/>
  <c r="P254" i="6"/>
  <c r="Q202" i="6"/>
  <c r="P202" i="6"/>
  <c r="Q170" i="6"/>
  <c r="P170" i="6"/>
  <c r="Q154" i="6"/>
  <c r="P154" i="6"/>
  <c r="Q138" i="6"/>
  <c r="P138" i="6"/>
  <c r="Q122" i="6"/>
  <c r="P122" i="6"/>
  <c r="Q106" i="6"/>
  <c r="P106" i="6"/>
  <c r="Q90" i="6"/>
  <c r="P90" i="6"/>
  <c r="Q74" i="6"/>
  <c r="P74" i="6"/>
  <c r="Q58" i="6"/>
  <c r="P58" i="6"/>
  <c r="Q42" i="6"/>
  <c r="P42" i="6"/>
  <c r="Q26" i="6"/>
  <c r="P26" i="6"/>
  <c r="Q10" i="6"/>
  <c r="P10" i="6"/>
  <c r="Q712" i="6"/>
  <c r="P712" i="6"/>
  <c r="Q720" i="6"/>
  <c r="P720" i="6"/>
  <c r="Q728" i="6"/>
  <c r="P728" i="6"/>
  <c r="Q733" i="6"/>
  <c r="P733" i="6"/>
  <c r="Q737" i="6"/>
  <c r="P737" i="6"/>
  <c r="Q745" i="6"/>
  <c r="P745" i="6"/>
  <c r="Q753" i="6"/>
  <c r="P753" i="6"/>
  <c r="Q701" i="6"/>
  <c r="P701" i="6"/>
  <c r="Q697" i="6"/>
  <c r="P697" i="6"/>
  <c r="Q693" i="6"/>
  <c r="P693" i="6"/>
  <c r="Q689" i="6"/>
  <c r="P689" i="6"/>
  <c r="Q685" i="6"/>
  <c r="P685" i="6"/>
  <c r="Q681" i="6"/>
  <c r="P681" i="6"/>
  <c r="Q677" i="6"/>
  <c r="P677" i="6"/>
  <c r="Q673" i="6"/>
  <c r="P673" i="6"/>
  <c r="Q669" i="6"/>
  <c r="P669" i="6"/>
  <c r="Q665" i="6"/>
  <c r="P665" i="6"/>
  <c r="Q661" i="6"/>
  <c r="P661" i="6"/>
  <c r="Q657" i="6"/>
  <c r="P657" i="6"/>
  <c r="Q653" i="6"/>
  <c r="P653" i="6"/>
  <c r="Q649" i="6"/>
  <c r="P649" i="6"/>
  <c r="Q645" i="6"/>
  <c r="P645" i="6"/>
  <c r="Q641" i="6"/>
  <c r="P641" i="6"/>
  <c r="Q637" i="6"/>
  <c r="P637" i="6"/>
  <c r="Q633" i="6"/>
  <c r="P633" i="6"/>
  <c r="Q629" i="6"/>
  <c r="P629" i="6"/>
  <c r="Q625" i="6"/>
  <c r="P625" i="6"/>
  <c r="Q621" i="6"/>
  <c r="P621" i="6"/>
  <c r="Q617" i="6"/>
  <c r="P617" i="6"/>
  <c r="Q613" i="6"/>
  <c r="P613" i="6"/>
  <c r="Q609" i="6"/>
  <c r="P609" i="6"/>
  <c r="Q605" i="6"/>
  <c r="P605" i="6"/>
  <c r="Q601" i="6"/>
  <c r="P601" i="6"/>
  <c r="Q597" i="6"/>
  <c r="P597" i="6"/>
  <c r="Q593" i="6"/>
  <c r="P593" i="6"/>
  <c r="Q585" i="6"/>
  <c r="P585" i="6"/>
  <c r="Q581" i="6"/>
  <c r="P581" i="6"/>
  <c r="Q577" i="6"/>
  <c r="P577" i="6"/>
  <c r="Q573" i="6"/>
  <c r="P573" i="6"/>
  <c r="Q569" i="6"/>
  <c r="P569" i="6"/>
  <c r="Q565" i="6"/>
  <c r="P565" i="6"/>
  <c r="Q561" i="6"/>
  <c r="P561" i="6"/>
  <c r="Q557" i="6"/>
  <c r="P557" i="6"/>
  <c r="Q553" i="6"/>
  <c r="P553" i="6"/>
  <c r="Q549" i="6"/>
  <c r="P549" i="6"/>
  <c r="Q545" i="6"/>
  <c r="P545" i="6"/>
  <c r="Q541" i="6"/>
  <c r="P541" i="6"/>
  <c r="Q537" i="6"/>
  <c r="P537" i="6"/>
  <c r="Q533" i="6"/>
  <c r="P533" i="6"/>
  <c r="Q529" i="6"/>
  <c r="P529" i="6"/>
  <c r="Q525" i="6"/>
  <c r="P525" i="6"/>
  <c r="Q521" i="6"/>
  <c r="P521" i="6"/>
  <c r="Q517" i="6"/>
  <c r="P517" i="6"/>
  <c r="Q513" i="6"/>
  <c r="P513" i="6"/>
  <c r="Q509" i="6"/>
  <c r="P509" i="6"/>
  <c r="Q505" i="6"/>
  <c r="P505" i="6"/>
  <c r="Q501" i="6"/>
  <c r="P501" i="6"/>
  <c r="Q497" i="6"/>
  <c r="P497" i="6"/>
  <c r="Q493" i="6"/>
  <c r="P493" i="6"/>
  <c r="Q489" i="6"/>
  <c r="P489" i="6"/>
  <c r="Q485" i="6"/>
  <c r="P485" i="6"/>
  <c r="Q333" i="6"/>
  <c r="P333" i="6"/>
  <c r="Q329" i="6"/>
  <c r="P329" i="6"/>
  <c r="Q317" i="6"/>
  <c r="P317" i="6"/>
  <c r="Q313" i="6"/>
  <c r="P313" i="6"/>
  <c r="Q301" i="6"/>
  <c r="P301" i="6"/>
  <c r="Q297" i="6"/>
  <c r="P297" i="6"/>
  <c r="Q285" i="6"/>
  <c r="P285" i="6"/>
  <c r="Q281" i="6"/>
  <c r="P281" i="6"/>
  <c r="Q269" i="6"/>
  <c r="P269" i="6"/>
  <c r="Q265" i="6"/>
  <c r="P265" i="6"/>
  <c r="Q249" i="6"/>
  <c r="P249" i="6"/>
  <c r="Q950" i="6"/>
  <c r="P950" i="6"/>
  <c r="Q954" i="6"/>
  <c r="P954" i="6"/>
  <c r="Q958" i="6"/>
  <c r="P958" i="6"/>
  <c r="Q962" i="6"/>
  <c r="P962" i="6"/>
  <c r="Q966" i="6"/>
  <c r="P966" i="6"/>
  <c r="Q970" i="6"/>
  <c r="P970" i="6"/>
  <c r="Q978" i="6"/>
  <c r="P978" i="6"/>
  <c r="P986" i="6"/>
  <c r="Q986" i="6"/>
  <c r="Q990" i="6"/>
  <c r="P990" i="6"/>
  <c r="Q999" i="6"/>
  <c r="P999" i="6"/>
  <c r="Q1003" i="6"/>
  <c r="P1003" i="6"/>
  <c r="Q1007" i="6"/>
  <c r="P1007" i="6"/>
  <c r="Q1092" i="6"/>
  <c r="Q1140" i="6"/>
  <c r="Q1153" i="6"/>
  <c r="P1153" i="6"/>
  <c r="Q1157" i="6"/>
  <c r="P1157" i="6"/>
  <c r="Q1161" i="6"/>
  <c r="P1161" i="6"/>
  <c r="Q1165" i="6"/>
  <c r="P1165" i="6"/>
  <c r="P1169" i="6"/>
  <c r="Q1169" i="6"/>
  <c r="P1177" i="6"/>
  <c r="Q1177" i="6"/>
  <c r="P1181" i="6"/>
  <c r="Q1181" i="6"/>
  <c r="P1189" i="6"/>
  <c r="P1193" i="6"/>
  <c r="Q1193" i="6"/>
  <c r="Q1197" i="6"/>
  <c r="P1197" i="6"/>
  <c r="P1201" i="6"/>
  <c r="Q1201" i="6"/>
  <c r="P1213" i="6"/>
  <c r="Q1213" i="6"/>
  <c r="Q1217" i="6"/>
  <c r="P1217" i="6"/>
  <c r="Q1221" i="6"/>
  <c r="P1221" i="6"/>
  <c r="Q1226" i="6"/>
  <c r="P1226" i="6"/>
  <c r="Q1230" i="6"/>
  <c r="P1230" i="6"/>
  <c r="Q1234" i="6"/>
  <c r="P1234" i="6"/>
  <c r="P1238" i="6"/>
  <c r="Q1316" i="6"/>
  <c r="Q1044" i="6"/>
  <c r="Q836" i="6"/>
  <c r="Q794" i="6"/>
  <c r="Q746" i="6"/>
  <c r="P1332" i="6"/>
  <c r="P1324" i="6"/>
  <c r="P1316" i="6"/>
  <c r="P1300" i="6"/>
  <c r="P1292" i="6"/>
  <c r="P1244" i="6"/>
  <c r="P1140" i="6"/>
  <c r="P1124" i="6"/>
  <c r="P1116" i="6"/>
  <c r="P1108" i="6"/>
  <c r="P1100" i="6"/>
  <c r="P1092" i="6"/>
  <c r="P1076" i="6"/>
  <c r="P1068" i="6"/>
  <c r="P1060" i="6"/>
  <c r="P1052" i="6"/>
  <c r="P1044" i="6"/>
  <c r="P1036" i="6"/>
  <c r="P1028" i="6"/>
  <c r="P1020" i="6"/>
  <c r="P876" i="6"/>
  <c r="P860" i="6"/>
  <c r="P692" i="6"/>
  <c r="P628" i="6"/>
  <c r="P468" i="6"/>
  <c r="P436" i="6"/>
  <c r="P404" i="6"/>
  <c r="P372" i="6"/>
  <c r="P338" i="6"/>
  <c r="P274" i="6"/>
  <c r="P210" i="6"/>
  <c r="P146" i="6"/>
  <c r="P82" i="6"/>
  <c r="P18" i="6"/>
  <c r="P209" i="6"/>
  <c r="P193" i="6"/>
  <c r="P177" i="6"/>
  <c r="P161" i="6"/>
  <c r="P145" i="6"/>
  <c r="P129" i="6"/>
  <c r="P113" i="6"/>
  <c r="P97" i="6"/>
  <c r="P81" i="6"/>
  <c r="P65" i="6"/>
  <c r="P49" i="6"/>
  <c r="P33" i="6"/>
  <c r="P17" i="6"/>
  <c r="Q237" i="6"/>
  <c r="P237" i="6"/>
  <c r="Q221" i="6"/>
  <c r="P221" i="6"/>
  <c r="Q785" i="6"/>
  <c r="P785" i="6"/>
  <c r="Q789" i="6"/>
  <c r="P789" i="6"/>
  <c r="Q793" i="6"/>
  <c r="P793" i="6"/>
  <c r="Q797" i="6"/>
  <c r="P797" i="6"/>
  <c r="Q801" i="6"/>
  <c r="P801" i="6"/>
  <c r="Q805" i="6"/>
  <c r="P805" i="6"/>
  <c r="Q809" i="6"/>
  <c r="P809" i="6"/>
  <c r="Q822" i="6"/>
  <c r="P822" i="6"/>
  <c r="Q826" i="6"/>
  <c r="P826" i="6"/>
  <c r="Q830" i="6"/>
  <c r="P830" i="6"/>
  <c r="Q838" i="6"/>
  <c r="P838" i="6"/>
  <c r="Q846" i="6"/>
  <c r="P846" i="6"/>
  <c r="Q1397" i="6"/>
  <c r="Q1388" i="6"/>
  <c r="Q1376" i="6"/>
  <c r="Q1357" i="6"/>
  <c r="Q1345" i="6"/>
  <c r="Q1297" i="6"/>
  <c r="Q1256" i="6"/>
  <c r="Q1232" i="6"/>
  <c r="Q1098" i="6"/>
  <c r="Q930" i="6"/>
  <c r="Q882" i="6"/>
  <c r="P1334" i="6"/>
  <c r="P1330" i="6"/>
  <c r="P1326" i="6"/>
  <c r="P1322" i="6"/>
  <c r="P1318" i="6"/>
  <c r="P1314" i="6"/>
  <c r="P1310" i="6"/>
  <c r="P1306" i="6"/>
  <c r="P1302" i="6"/>
  <c r="P1294" i="6"/>
  <c r="P1250" i="6"/>
  <c r="P1246" i="6"/>
  <c r="P1242" i="6"/>
  <c r="P1142" i="6"/>
  <c r="P1130" i="6"/>
  <c r="P1126" i="6"/>
  <c r="P1122" i="6"/>
  <c r="P1118" i="6"/>
  <c r="P1110" i="6"/>
  <c r="P1106" i="6"/>
  <c r="P1102" i="6"/>
  <c r="P1094" i="6"/>
  <c r="P1090" i="6"/>
  <c r="P1082" i="6"/>
  <c r="P1078" i="6"/>
  <c r="P1074" i="6"/>
  <c r="P1070" i="6"/>
  <c r="P1066" i="6"/>
  <c r="P1062" i="6"/>
  <c r="P1058" i="6"/>
  <c r="P1054" i="6"/>
  <c r="P1050" i="6"/>
  <c r="P1046" i="6"/>
  <c r="P1038" i="6"/>
  <c r="P1034" i="6"/>
  <c r="P1030" i="6"/>
  <c r="P1026" i="6"/>
  <c r="P1022" i="6"/>
  <c r="P942" i="6"/>
  <c r="P934" i="6"/>
  <c r="P926" i="6"/>
  <c r="P922" i="6"/>
  <c r="P918" i="6"/>
  <c r="P910" i="6"/>
  <c r="P902" i="6"/>
  <c r="P898" i="6"/>
  <c r="P894" i="6"/>
  <c r="P890" i="6"/>
  <c r="P886" i="6"/>
  <c r="P878" i="6"/>
  <c r="P874" i="6"/>
  <c r="P870" i="6"/>
  <c r="P862" i="6"/>
  <c r="P854" i="6"/>
  <c r="P808" i="6"/>
  <c r="P800" i="6"/>
  <c r="P792" i="6"/>
  <c r="P784" i="6"/>
  <c r="P776" i="6"/>
  <c r="P768" i="6"/>
  <c r="P760" i="6"/>
  <c r="P752" i="6"/>
  <c r="P744" i="6"/>
  <c r="P736" i="6"/>
  <c r="Q244" i="6"/>
  <c r="P244" i="6"/>
  <c r="Q702" i="6"/>
  <c r="P702" i="6"/>
  <c r="Q706" i="6"/>
  <c r="P706" i="6"/>
  <c r="Q714" i="6"/>
  <c r="P714" i="6"/>
  <c r="Q718" i="6"/>
  <c r="P718" i="6"/>
  <c r="P722" i="6"/>
  <c r="Q726" i="6"/>
  <c r="P726" i="6"/>
  <c r="Q730" i="6"/>
  <c r="P730" i="6"/>
  <c r="Q817" i="6"/>
  <c r="P817" i="6"/>
  <c r="Q821" i="6"/>
  <c r="P821" i="6"/>
  <c r="Q825" i="6"/>
  <c r="P825" i="6"/>
  <c r="Q833" i="6"/>
  <c r="P833" i="6"/>
  <c r="Q837" i="6"/>
  <c r="P837" i="6"/>
  <c r="Q841" i="6"/>
  <c r="P841" i="6"/>
  <c r="Q849" i="6"/>
  <c r="P849" i="6"/>
  <c r="Q1385" i="6"/>
  <c r="Q1369" i="6"/>
  <c r="Q1353" i="6"/>
  <c r="Q1317" i="6"/>
  <c r="Q1305" i="6"/>
  <c r="Q1284" i="6"/>
  <c r="Q1241" i="6"/>
  <c r="Q1229" i="6"/>
  <c r="Q1192" i="6"/>
  <c r="P1389" i="6"/>
  <c r="P1381" i="6"/>
  <c r="P1373" i="6"/>
  <c r="P1365" i="6"/>
  <c r="P1349" i="6"/>
  <c r="P1309" i="6"/>
  <c r="P1305" i="6"/>
  <c r="P1289" i="6"/>
  <c r="P1077" i="6"/>
  <c r="P1069" i="6"/>
  <c r="P1065" i="6"/>
  <c r="P1061" i="6"/>
  <c r="P1057" i="6"/>
  <c r="P1049" i="6"/>
  <c r="P1041" i="6"/>
  <c r="P1037" i="6"/>
  <c r="P1029" i="6"/>
  <c r="P1025" i="6"/>
  <c r="P1013" i="6"/>
  <c r="P1009" i="6"/>
  <c r="P1001" i="6"/>
  <c r="P997" i="6"/>
  <c r="P873" i="6"/>
  <c r="P869" i="6"/>
  <c r="P865" i="6"/>
  <c r="P857" i="6"/>
  <c r="P853" i="6"/>
  <c r="P783" i="6"/>
  <c r="P775" i="6"/>
  <c r="P767" i="6"/>
  <c r="P759" i="6"/>
  <c r="P751" i="6"/>
  <c r="P743" i="6"/>
  <c r="P735" i="6"/>
  <c r="P727" i="6"/>
  <c r="P719" i="6"/>
  <c r="P711" i="6"/>
  <c r="P703" i="6"/>
  <c r="P233" i="6"/>
  <c r="P217" i="6"/>
  <c r="P201" i="6"/>
  <c r="P185" i="6"/>
  <c r="P169" i="6"/>
  <c r="P153" i="6"/>
  <c r="P137" i="6"/>
  <c r="P121" i="6"/>
  <c r="P105" i="6"/>
  <c r="P89" i="6"/>
  <c r="P73" i="6"/>
  <c r="P57" i="6"/>
  <c r="P41" i="6"/>
  <c r="P25" i="6"/>
  <c r="P9" i="6"/>
  <c r="Q439" i="6"/>
  <c r="Q327" i="6"/>
  <c r="Q311" i="6"/>
  <c r="Q291" i="6"/>
  <c r="Q263" i="6"/>
  <c r="Q247" i="6"/>
  <c r="Q231" i="6"/>
  <c r="Q219" i="6"/>
  <c r="Q203" i="6"/>
  <c r="Q187" i="6"/>
  <c r="Q175" i="6"/>
  <c r="Q163" i="6"/>
  <c r="Q143" i="6"/>
  <c r="Q131" i="6"/>
  <c r="Q115" i="6"/>
  <c r="Q103" i="6"/>
  <c r="Q91" i="6"/>
  <c r="Q79" i="6"/>
  <c r="Q63" i="6"/>
  <c r="Q47" i="6"/>
  <c r="Q31" i="6"/>
  <c r="Q7" i="6"/>
  <c r="Q1149" i="6"/>
  <c r="Q575" i="6"/>
  <c r="Q551" i="6"/>
  <c r="Q487" i="6"/>
  <c r="Q475" i="6"/>
  <c r="Q463" i="6"/>
  <c r="Q455" i="6"/>
  <c r="Q447" i="6"/>
  <c r="Q431" i="6"/>
  <c r="Q427" i="6"/>
  <c r="Q399" i="6"/>
  <c r="Q347" i="6"/>
  <c r="Q335" i="6"/>
  <c r="Q323" i="6"/>
  <c r="Q315" i="6"/>
  <c r="Q303" i="6"/>
  <c r="Q295" i="6"/>
  <c r="Q283" i="6"/>
  <c r="Q275" i="6"/>
  <c r="Q267" i="6"/>
  <c r="Q255" i="6"/>
  <c r="Q243" i="6"/>
  <c r="Q235" i="6"/>
  <c r="Q223" i="6"/>
  <c r="Q215" i="6"/>
  <c r="Q207" i="6"/>
  <c r="Q195" i="6"/>
  <c r="Q183" i="6"/>
  <c r="Q171" i="6"/>
  <c r="Q159" i="6"/>
  <c r="Q151" i="6"/>
  <c r="Q139" i="6"/>
  <c r="Q127" i="6"/>
  <c r="Q119" i="6"/>
  <c r="Q111" i="6"/>
  <c r="Q99" i="6"/>
  <c r="Q83" i="6"/>
  <c r="Q71" i="6"/>
  <c r="Q59" i="6"/>
  <c r="Q51" i="6"/>
  <c r="Q39" i="6"/>
  <c r="Q27" i="6"/>
  <c r="Q710" i="6"/>
  <c r="Q974" i="6"/>
  <c r="Q359" i="6"/>
  <c r="Q678" i="6"/>
  <c r="Q670" i="6"/>
  <c r="Q638" i="6"/>
  <c r="Q606" i="6"/>
  <c r="Q558" i="6"/>
  <c r="Q474" i="6"/>
  <c r="Q466" i="6"/>
  <c r="Q454" i="6"/>
  <c r="Q446" i="6"/>
  <c r="Q438" i="6"/>
  <c r="Q430" i="6"/>
  <c r="Q422" i="6"/>
  <c r="Q414" i="6"/>
  <c r="Q406" i="6"/>
  <c r="Q398" i="6"/>
  <c r="Q390" i="6"/>
  <c r="Q382" i="6"/>
  <c r="Q374" i="6"/>
  <c r="Q366" i="6"/>
  <c r="Q358" i="6"/>
  <c r="Q350" i="6"/>
  <c r="Q342" i="6"/>
  <c r="Q298" i="6"/>
  <c r="Q282" i="6"/>
  <c r="Q266" i="6"/>
  <c r="Q250" i="6"/>
  <c r="Q234" i="6"/>
  <c r="Q218" i="6"/>
  <c r="Q214" i="6"/>
  <c r="Q190" i="6"/>
  <c r="Q174" i="6"/>
  <c r="Q166" i="6"/>
  <c r="Q158" i="6"/>
  <c r="Q142" i="6"/>
  <c r="Q118" i="6"/>
  <c r="Q86" i="6"/>
  <c r="Q66" i="6"/>
  <c r="Q62" i="6"/>
  <c r="Q46" i="6"/>
  <c r="Q38" i="6"/>
  <c r="Q22" i="6"/>
  <c r="Q1021" i="6"/>
  <c r="Q1053" i="6"/>
  <c r="Q1298" i="6"/>
  <c r="Q1360" i="6"/>
  <c r="Q1216" i="6"/>
  <c r="Q754" i="6"/>
  <c r="Q722" i="6"/>
  <c r="Q690" i="6"/>
  <c r="Q658" i="6"/>
  <c r="Q626" i="6"/>
  <c r="Q594" i="6"/>
  <c r="Q343" i="6"/>
  <c r="Q589" i="6"/>
  <c r="Q481" i="6"/>
  <c r="Q477" i="6"/>
  <c r="Q473" i="6"/>
  <c r="Q469" i="6"/>
  <c r="Q465" i="6"/>
  <c r="Q461" i="6"/>
  <c r="Q457" i="6"/>
  <c r="Q453" i="6"/>
  <c r="Q449" i="6"/>
  <c r="Q445" i="6"/>
  <c r="Q441" i="6"/>
  <c r="Q437" i="6"/>
  <c r="Q433" i="6"/>
  <c r="Q429" i="6"/>
  <c r="Q425" i="6"/>
  <c r="Q421" i="6"/>
  <c r="Q417" i="6"/>
  <c r="Q413" i="6"/>
  <c r="Q409" i="6"/>
  <c r="Q405" i="6"/>
  <c r="Q401" i="6"/>
  <c r="Q397" i="6"/>
  <c r="Q393" i="6"/>
  <c r="Q389" i="6"/>
  <c r="Q385" i="6"/>
  <c r="Q381" i="6"/>
  <c r="Q377" i="6"/>
  <c r="Q373" i="6"/>
  <c r="Q369" i="6"/>
  <c r="Q365" i="6"/>
  <c r="Q361" i="6"/>
  <c r="Q357" i="6"/>
  <c r="Q353" i="6"/>
  <c r="Q349" i="6"/>
  <c r="Q345" i="6"/>
  <c r="Q341" i="6"/>
  <c r="Q337" i="6"/>
  <c r="Q325" i="6"/>
  <c r="Q321" i="6"/>
  <c r="Q309" i="6"/>
  <c r="Q305" i="6"/>
  <c r="Q293" i="6"/>
  <c r="Q289" i="6"/>
  <c r="Q277" i="6"/>
  <c r="Q273" i="6"/>
  <c r="Q261" i="6"/>
  <c r="Q257" i="6"/>
  <c r="Q253" i="6"/>
  <c r="Q245" i="6"/>
  <c r="Q241" i="6"/>
  <c r="Q229" i="6"/>
  <c r="Q225" i="6"/>
  <c r="Q213" i="6"/>
  <c r="Q205" i="6"/>
  <c r="Q197" i="6"/>
  <c r="Q189" i="6"/>
  <c r="Q181" i="6"/>
  <c r="Q173" i="6"/>
  <c r="Q165" i="6"/>
  <c r="Q157" i="6"/>
  <c r="Q149" i="6"/>
  <c r="Q141" i="6"/>
  <c r="Q133" i="6"/>
  <c r="Q125" i="6"/>
  <c r="Q117" i="6"/>
  <c r="Q109" i="6"/>
  <c r="Q101" i="6"/>
  <c r="Q93" i="6"/>
  <c r="Q85" i="6"/>
  <c r="Q77" i="6"/>
  <c r="Q69" i="6"/>
  <c r="Q61" i="6"/>
  <c r="Q53" i="6"/>
  <c r="Q45" i="6"/>
  <c r="Q37" i="6"/>
  <c r="Q29" i="6"/>
  <c r="Q21" i="6"/>
  <c r="Q13" i="6"/>
  <c r="Q5" i="6"/>
  <c r="Q831" i="6"/>
  <c r="Q861" i="6"/>
  <c r="Q899" i="6"/>
  <c r="Q1033" i="6"/>
  <c r="Q1043" i="6"/>
  <c r="Q1081" i="6"/>
  <c r="Q1086" i="6"/>
  <c r="Q1087" i="6"/>
  <c r="Q1099" i="6"/>
  <c r="Q1105" i="6"/>
  <c r="Q1121" i="6"/>
  <c r="Q1134" i="6"/>
  <c r="Q1341" i="6"/>
  <c r="Q1333" i="6"/>
  <c r="Q1189" i="6"/>
  <c r="Q1164" i="6"/>
  <c r="Q1148" i="6"/>
  <c r="Q1116" i="6"/>
  <c r="Q1100" i="6"/>
  <c r="Q812" i="6"/>
  <c r="Q780" i="6"/>
  <c r="Q748" i="6"/>
  <c r="Q700" i="6"/>
  <c r="Q684" i="6"/>
  <c r="Q668" i="6"/>
  <c r="Q652" i="6"/>
  <c r="Q636" i="6"/>
  <c r="Q620" i="6"/>
  <c r="Q604" i="6"/>
  <c r="Q588" i="6"/>
  <c r="Q572" i="6"/>
  <c r="Q423" i="6"/>
  <c r="Q258" i="6"/>
  <c r="Q687" i="6"/>
  <c r="Q679" i="6"/>
  <c r="Q647" i="6"/>
  <c r="Q615" i="6"/>
  <c r="Q519" i="6"/>
  <c r="Q467" i="6"/>
  <c r="Q459" i="6"/>
  <c r="Q451" i="6"/>
  <c r="Q443" i="6"/>
  <c r="Q435" i="6"/>
  <c r="Q419" i="6"/>
  <c r="Q415" i="6"/>
  <c r="Q411" i="6"/>
  <c r="Q403" i="6"/>
  <c r="Q395" i="6"/>
  <c r="Q391" i="6"/>
  <c r="Q387" i="6"/>
  <c r="Q383" i="6"/>
  <c r="Q379" i="6"/>
  <c r="Q375" i="6"/>
  <c r="Q371" i="6"/>
  <c r="Q367" i="6"/>
  <c r="Q363" i="6"/>
  <c r="Q355" i="6"/>
  <c r="Q351" i="6"/>
  <c r="Q339" i="6"/>
  <c r="Q331" i="6"/>
  <c r="Q319" i="6"/>
  <c r="Q307" i="6"/>
  <c r="Q299" i="6"/>
  <c r="Q287" i="6"/>
  <c r="Q279" i="6"/>
  <c r="Q271" i="6"/>
  <c r="Q259" i="6"/>
  <c r="Q251" i="6"/>
  <c r="Q239" i="6"/>
  <c r="Q227" i="6"/>
  <c r="Q211" i="6"/>
  <c r="Q199" i="6"/>
  <c r="Q191" i="6"/>
  <c r="Q179" i="6"/>
  <c r="Q167" i="6"/>
  <c r="Q155" i="6"/>
  <c r="Q147" i="6"/>
  <c r="Q135" i="6"/>
  <c r="Q123" i="6"/>
  <c r="Q107" i="6"/>
  <c r="Q95" i="6"/>
  <c r="Q87" i="6"/>
  <c r="Q75" i="6"/>
  <c r="Q67" i="6"/>
  <c r="Q55" i="6"/>
  <c r="Q43" i="6"/>
  <c r="Q35" i="6"/>
  <c r="Q23" i="6"/>
  <c r="Q19" i="6"/>
  <c r="Q15" i="6"/>
  <c r="Q11" i="6"/>
  <c r="Q3" i="6"/>
  <c r="Q982" i="6"/>
  <c r="Q1107" i="6"/>
  <c r="Q1144" i="6"/>
  <c r="Q1262" i="6"/>
  <c r="Q1382" i="6"/>
  <c r="Q1395" i="6"/>
  <c r="Q479" i="6"/>
  <c r="Q574" i="6"/>
  <c r="Q570" i="6"/>
  <c r="Q562" i="6"/>
  <c r="Q530" i="6"/>
  <c r="Q510" i="6"/>
  <c r="Q478" i="6"/>
  <c r="Q470" i="6"/>
  <c r="Q462" i="6"/>
  <c r="Q458" i="6"/>
  <c r="Q450" i="6"/>
  <c r="Q442" i="6"/>
  <c r="Q434" i="6"/>
  <c r="Q426" i="6"/>
  <c r="Q418" i="6"/>
  <c r="Q410" i="6"/>
  <c r="Q402" i="6"/>
  <c r="Q394" i="6"/>
  <c r="Q386" i="6"/>
  <c r="Q378" i="6"/>
  <c r="Q370" i="6"/>
  <c r="Q362" i="6"/>
  <c r="Q354" i="6"/>
  <c r="Q346" i="6"/>
  <c r="Q330" i="6"/>
  <c r="Q326" i="6"/>
  <c r="Q310" i="6"/>
  <c r="Q294" i="6"/>
  <c r="Q278" i="6"/>
  <c r="Q262" i="6"/>
  <c r="Q246" i="6"/>
  <c r="Q230" i="6"/>
  <c r="Q206" i="6"/>
  <c r="Q198" i="6"/>
  <c r="Q182" i="6"/>
  <c r="Q162" i="6"/>
  <c r="Q150" i="6"/>
  <c r="Q134" i="6"/>
  <c r="Q126" i="6"/>
  <c r="Q110" i="6"/>
  <c r="Q102" i="6"/>
  <c r="Q94" i="6"/>
  <c r="Q78" i="6"/>
  <c r="Q70" i="6"/>
  <c r="Q54" i="6"/>
  <c r="Q34" i="6"/>
  <c r="Q30" i="6"/>
  <c r="Q14" i="6"/>
  <c r="Q6" i="6"/>
  <c r="Q845" i="6"/>
  <c r="Q909" i="6"/>
  <c r="Q939" i="6"/>
  <c r="Q989" i="6"/>
  <c r="Q1143" i="6"/>
  <c r="Q1351" i="6"/>
  <c r="Q1208" i="6"/>
  <c r="Q1154" i="6"/>
  <c r="Q866" i="6"/>
  <c r="Q850" i="6"/>
  <c r="Q471" i="6"/>
  <c r="Q696" i="6"/>
  <c r="Q688" i="6"/>
  <c r="Q680" i="6"/>
  <c r="Q672" i="6"/>
  <c r="Q664" i="6"/>
  <c r="Q656" i="6"/>
  <c r="Q648" i="6"/>
  <c r="Q640" i="6"/>
  <c r="Q632" i="6"/>
  <c r="Q624" i="6"/>
  <c r="Q616" i="6"/>
  <c r="Q608" i="6"/>
  <c r="Q600" i="6"/>
  <c r="Q592" i="6"/>
  <c r="Q584" i="6"/>
  <c r="Q576" i="6"/>
  <c r="Q568" i="6"/>
  <c r="Q564" i="6"/>
  <c r="Q560" i="6"/>
  <c r="Q556" i="6"/>
  <c r="Q552" i="6"/>
  <c r="Q548" i="6"/>
  <c r="Q544" i="6"/>
  <c r="Q540" i="6"/>
  <c r="Q536" i="6"/>
  <c r="Q532" i="6"/>
  <c r="Q528" i="6"/>
  <c r="Q524" i="6"/>
  <c r="Q520" i="6"/>
  <c r="Q516" i="6"/>
  <c r="Q512" i="6"/>
  <c r="Q508" i="6"/>
  <c r="Q504" i="6"/>
  <c r="Q500" i="6"/>
  <c r="Q496" i="6"/>
  <c r="Q492" i="6"/>
  <c r="Q488" i="6"/>
  <c r="Q484" i="6"/>
  <c r="Q480" i="6"/>
  <c r="Q464" i="6"/>
  <c r="Q456" i="6"/>
  <c r="Q448" i="6"/>
  <c r="Q440" i="6"/>
  <c r="Q432" i="6"/>
  <c r="Q424" i="6"/>
  <c r="Q416" i="6"/>
  <c r="Q400" i="6"/>
  <c r="Q392" i="6"/>
  <c r="Q384" i="6"/>
  <c r="Q376" i="6"/>
  <c r="Q368" i="6"/>
  <c r="Q360" i="6"/>
  <c r="Q352" i="6"/>
  <c r="Q336" i="6"/>
  <c r="Q332" i="6"/>
  <c r="Q328" i="6"/>
  <c r="Q324" i="6"/>
  <c r="Q320" i="6"/>
  <c r="Q316" i="6"/>
  <c r="Q312" i="6"/>
  <c r="Q304" i="6"/>
  <c r="Q300" i="6"/>
  <c r="Q296" i="6"/>
  <c r="Q292" i="6"/>
  <c r="Q288" i="6"/>
  <c r="Q284" i="6"/>
  <c r="Q280" i="6"/>
  <c r="Q272" i="6"/>
  <c r="Q268" i="6"/>
  <c r="Q264" i="6"/>
  <c r="Q260" i="6"/>
  <c r="Q256" i="6"/>
  <c r="Q252" i="6"/>
  <c r="Q248" i="6"/>
  <c r="Q240" i="6"/>
  <c r="Q236" i="6"/>
  <c r="Q232" i="6"/>
  <c r="Q228" i="6"/>
  <c r="Q224" i="6"/>
  <c r="Q220" i="6"/>
  <c r="Q216" i="6"/>
  <c r="Q212" i="6"/>
  <c r="Q208" i="6"/>
  <c r="Q204" i="6"/>
  <c r="Q200" i="6"/>
  <c r="Q196" i="6"/>
  <c r="Q192" i="6"/>
  <c r="Q188" i="6"/>
  <c r="Q184" i="6"/>
  <c r="Q180" i="6"/>
  <c r="Q176" i="6"/>
  <c r="Q172" i="6"/>
  <c r="Q168" i="6"/>
  <c r="Q164" i="6"/>
  <c r="Q160" i="6"/>
  <c r="Q156" i="6"/>
  <c r="Q152" i="6"/>
  <c r="Q148" i="6"/>
  <c r="Q144" i="6"/>
  <c r="Q140" i="6"/>
  <c r="Q136" i="6"/>
  <c r="Q132" i="6"/>
  <c r="Q128" i="6"/>
  <c r="Q124" i="6"/>
  <c r="Q120" i="6"/>
  <c r="Q116" i="6"/>
  <c r="Q112" i="6"/>
  <c r="Q108" i="6"/>
  <c r="Q104" i="6"/>
  <c r="Q100" i="6"/>
  <c r="Q96" i="6"/>
  <c r="Q92" i="6"/>
  <c r="Q88" i="6"/>
  <c r="Q84" i="6"/>
  <c r="Q80" i="6"/>
  <c r="Q76" i="6"/>
  <c r="Q72" i="6"/>
  <c r="Q68" i="6"/>
  <c r="Q64" i="6"/>
  <c r="Q60" i="6"/>
  <c r="Q56" i="6"/>
  <c r="Q52" i="6"/>
  <c r="Q48" i="6"/>
  <c r="Q44" i="6"/>
  <c r="Q40" i="6"/>
  <c r="Q36" i="6"/>
  <c r="Q32" i="6"/>
  <c r="Q28" i="6"/>
  <c r="Q24" i="6"/>
  <c r="Q20" i="6"/>
  <c r="Q16" i="6"/>
  <c r="Q12" i="6"/>
  <c r="Q8" i="6"/>
  <c r="Q4" i="6"/>
  <c r="Q715" i="6"/>
  <c r="Q815" i="6"/>
  <c r="Q864" i="6"/>
  <c r="Q941" i="6"/>
  <c r="Q983" i="6"/>
  <c r="Q1063" i="6"/>
  <c r="Q1071" i="6"/>
  <c r="Q1112" i="6"/>
  <c r="Q1129" i="6"/>
  <c r="Q1163" i="6"/>
  <c r="Q1206" i="6"/>
  <c r="Q1235" i="6"/>
  <c r="Q1259" i="6"/>
  <c r="Q1267" i="6"/>
  <c r="Q1371" i="6"/>
  <c r="Q1380" i="6"/>
  <c r="Q1364" i="6"/>
  <c r="Q1324" i="6"/>
  <c r="Q1308" i="6"/>
  <c r="Q1300" i="6"/>
  <c r="Q1268" i="6"/>
  <c r="Q1188" i="6"/>
  <c r="Q1180" i="6"/>
  <c r="Q842" i="6"/>
  <c r="Q698" i="6"/>
  <c r="Q407" i="6"/>
  <c r="Q813" i="6"/>
  <c r="Q829" i="6"/>
  <c r="Q893" i="6"/>
  <c r="Q973" i="6"/>
  <c r="Q1005" i="6"/>
  <c r="Q1051" i="6"/>
  <c r="Q1073" i="6"/>
  <c r="Q1091" i="6"/>
  <c r="Q1095" i="6"/>
  <c r="Q1109" i="6"/>
  <c r="Q1147" i="6"/>
  <c r="Q1387" i="6"/>
  <c r="Q1383" i="6"/>
  <c r="Q1379" i="6"/>
  <c r="Q1343" i="6"/>
  <c r="Q1335" i="6"/>
  <c r="Q1327" i="6"/>
  <c r="Q1323" i="6"/>
  <c r="Q1319" i="6"/>
  <c r="Q1136" i="6"/>
  <c r="Q1104" i="6"/>
  <c r="Q1096" i="6"/>
  <c r="Q1064" i="6"/>
  <c r="Q888" i="6"/>
  <c r="Q848" i="6"/>
  <c r="Q877" i="6"/>
  <c r="Q925" i="6"/>
  <c r="Q1017" i="6"/>
  <c r="Q1045" i="6"/>
  <c r="Q1103" i="6"/>
  <c r="Q1113" i="6"/>
  <c r="Q1117" i="6"/>
  <c r="Q1135" i="6"/>
  <c r="Q1151" i="6"/>
  <c r="Q1155" i="6"/>
  <c r="Q1378" i="6"/>
  <c r="Q1362" i="6"/>
  <c r="Q1238" i="6"/>
  <c r="Q1126" i="6"/>
  <c r="Q1118" i="6"/>
  <c r="Q758" i="6"/>
  <c r="L769" i="6"/>
  <c r="L1231" i="6"/>
  <c r="L841" i="6"/>
  <c r="L709" i="6"/>
  <c r="L852" i="6"/>
  <c r="L785" i="6"/>
  <c r="L713" i="6"/>
  <c r="L757" i="6"/>
  <c r="L761" i="6"/>
  <c r="L1049" i="6"/>
  <c r="L729" i="6"/>
  <c r="L753" i="6"/>
  <c r="L725" i="6"/>
  <c r="L745" i="6"/>
  <c r="I904" i="6"/>
  <c r="I1377" i="6"/>
  <c r="J1377" i="6" s="1"/>
  <c r="I1290" i="6"/>
  <c r="L815" i="6"/>
  <c r="I949" i="6"/>
  <c r="L949" i="6"/>
  <c r="L1204" i="6"/>
  <c r="L1107" i="6"/>
  <c r="L1063" i="6"/>
  <c r="L1310" i="6"/>
  <c r="L1309" i="6"/>
  <c r="L1278" i="6"/>
  <c r="L1102" i="6"/>
  <c r="L1139" i="6"/>
  <c r="L971" i="6"/>
  <c r="L1366" i="6"/>
  <c r="L1154" i="6"/>
  <c r="L1232" i="6"/>
  <c r="L888" i="6"/>
  <c r="L1358" i="6"/>
  <c r="L1103" i="6"/>
  <c r="L907" i="6"/>
  <c r="L967" i="6"/>
  <c r="L1294" i="6"/>
  <c r="L1378" i="6"/>
  <c r="L1153" i="6"/>
  <c r="L999" i="6"/>
  <c r="L1023" i="6"/>
  <c r="L865" i="6"/>
  <c r="L1038" i="6"/>
  <c r="L931" i="6"/>
  <c r="L1165" i="6"/>
  <c r="L1039" i="6"/>
  <c r="L1138" i="6"/>
  <c r="L1055" i="6"/>
  <c r="L1025" i="6"/>
  <c r="L1342" i="6"/>
  <c r="L1377" i="6"/>
  <c r="L1290" i="6"/>
  <c r="L951" i="6"/>
  <c r="L945" i="6"/>
  <c r="L1400" i="6"/>
  <c r="L851" i="6"/>
  <c r="L983" i="6"/>
  <c r="L801" i="6"/>
  <c r="L807" i="6"/>
  <c r="L817" i="6"/>
  <c r="L887" i="6"/>
  <c r="L919" i="6"/>
  <c r="L935" i="6"/>
  <c r="L1007" i="6"/>
  <c r="I1389" i="6"/>
  <c r="J1389" i="6" s="1"/>
  <c r="L766" i="6"/>
  <c r="L819" i="6"/>
  <c r="L985" i="6"/>
  <c r="L991" i="6"/>
  <c r="L1195" i="6"/>
  <c r="L1277" i="6"/>
  <c r="L1130" i="6"/>
  <c r="L1370" i="6"/>
  <c r="L883" i="6"/>
  <c r="L1123" i="6"/>
  <c r="L913" i="6"/>
  <c r="L964" i="6"/>
  <c r="L1388" i="6"/>
  <c r="L1173" i="6"/>
  <c r="L1372" i="6"/>
  <c r="L1291" i="6"/>
  <c r="L1318" i="6"/>
  <c r="L1282" i="6"/>
  <c r="L1317" i="6"/>
  <c r="L929" i="6"/>
  <c r="L827" i="6"/>
  <c r="L833" i="6"/>
  <c r="L845" i="6"/>
  <c r="L895" i="6"/>
  <c r="L975" i="6"/>
  <c r="L855" i="6"/>
  <c r="L953" i="6"/>
  <c r="L982" i="6"/>
  <c r="L1095" i="6"/>
  <c r="L977" i="6"/>
  <c r="L993" i="6"/>
  <c r="L1089" i="6"/>
  <c r="L1091" i="6"/>
  <c r="L961" i="6"/>
  <c r="L1035" i="6"/>
  <c r="L1043" i="6"/>
  <c r="L1127" i="6"/>
  <c r="L1116" i="6"/>
  <c r="L1119" i="6"/>
  <c r="L1121" i="6"/>
  <c r="L1157" i="6"/>
  <c r="L1083" i="6"/>
  <c r="L1087" i="6"/>
  <c r="L1109" i="6"/>
  <c r="L1161" i="6"/>
  <c r="L1144" i="6"/>
  <c r="L1189" i="6"/>
  <c r="L1257" i="6"/>
  <c r="L1194" i="6"/>
  <c r="L1209" i="6"/>
  <c r="L1214" i="6"/>
  <c r="L1197" i="6"/>
  <c r="L1202" i="6"/>
  <c r="L1213" i="6"/>
  <c r="L1230" i="6"/>
  <c r="L1262" i="6"/>
  <c r="L1225" i="6"/>
  <c r="L1237" i="6"/>
  <c r="L1245" i="6"/>
  <c r="L1273" i="6"/>
  <c r="L1254" i="6"/>
  <c r="L1276" i="6"/>
  <c r="L1242" i="6"/>
  <c r="L1297" i="6"/>
  <c r="L1308" i="6"/>
  <c r="L1312" i="6"/>
  <c r="L1292" i="6"/>
  <c r="L1328" i="6"/>
  <c r="L1340" i="6"/>
  <c r="L1376" i="6"/>
  <c r="L1336" i="6"/>
  <c r="L1352" i="6"/>
  <c r="L1348" i="6"/>
  <c r="L1356" i="6"/>
  <c r="L1360" i="6"/>
  <c r="L1382" i="6"/>
  <c r="Q2" i="6"/>
  <c r="P2" i="6"/>
  <c r="L71" i="6"/>
  <c r="L667" i="6"/>
  <c r="L487" i="6"/>
  <c r="L235" i="6"/>
  <c r="L324" i="6"/>
  <c r="L168" i="6"/>
  <c r="L130" i="6"/>
  <c r="L569" i="6"/>
  <c r="L641" i="6"/>
  <c r="L600" i="6"/>
  <c r="L490" i="6"/>
  <c r="L366" i="6"/>
  <c r="L562" i="6"/>
  <c r="L281" i="6"/>
  <c r="L277" i="6"/>
  <c r="L185" i="6"/>
  <c r="L169" i="6"/>
  <c r="L348" i="6"/>
  <c r="L142" i="6"/>
  <c r="I563" i="6"/>
  <c r="I297" i="6"/>
  <c r="H2" i="6"/>
  <c r="L489" i="6"/>
  <c r="L697" i="6"/>
  <c r="L665" i="6"/>
  <c r="L633" i="6"/>
  <c r="L645" i="6"/>
  <c r="L613" i="6"/>
  <c r="L533" i="6"/>
  <c r="L405" i="6"/>
  <c r="L693" i="6"/>
  <c r="L625" i="6"/>
  <c r="L609" i="6"/>
  <c r="L353" i="6"/>
  <c r="L307" i="6"/>
  <c r="L325" i="6"/>
  <c r="L27" i="6"/>
  <c r="L201" i="6"/>
  <c r="L247" i="6"/>
  <c r="L632" i="6"/>
  <c r="L592" i="6"/>
  <c r="L540" i="6"/>
  <c r="L524" i="6"/>
  <c r="L504" i="6"/>
  <c r="L476" i="6"/>
  <c r="L460" i="6"/>
  <c r="L456" i="6"/>
  <c r="L412" i="6"/>
  <c r="L396" i="6"/>
  <c r="L388" i="6"/>
  <c r="L364" i="6"/>
  <c r="L254" i="6"/>
  <c r="L647" i="6"/>
  <c r="L555" i="6"/>
  <c r="L547" i="6"/>
  <c r="L511" i="6"/>
  <c r="L499" i="6"/>
  <c r="L439" i="6"/>
  <c r="L330" i="6"/>
  <c r="G2" i="6"/>
  <c r="L333" i="6"/>
  <c r="L248" i="6"/>
  <c r="L85" i="6"/>
  <c r="L216" i="6"/>
  <c r="L650" i="6"/>
  <c r="L630" i="6"/>
  <c r="L570" i="6"/>
  <c r="L566" i="6"/>
  <c r="L518" i="6"/>
  <c r="L506" i="6"/>
  <c r="L466" i="6"/>
  <c r="L422" i="6"/>
  <c r="L410" i="6"/>
  <c r="L390" i="6"/>
  <c r="L350" i="6"/>
  <c r="L342" i="6"/>
  <c r="J907" i="6" l="1"/>
  <c r="K907" i="6" s="1"/>
  <c r="M907" i="6" s="1"/>
  <c r="K835" i="6"/>
  <c r="J899" i="6"/>
  <c r="K899" i="6" s="1"/>
  <c r="M899" i="6" s="1"/>
  <c r="J1266" i="6"/>
  <c r="K1266" i="6" s="1"/>
  <c r="M1266" i="6" s="1"/>
  <c r="J796" i="6"/>
  <c r="K796" i="6" s="1"/>
  <c r="M796" i="6" s="1"/>
  <c r="K915" i="6"/>
  <c r="K1202" i="6"/>
  <c r="M1202" i="6" s="1"/>
  <c r="I338" i="6"/>
  <c r="J338" i="6" s="1"/>
  <c r="I654" i="6"/>
  <c r="I34" i="6"/>
  <c r="J34" i="6" s="1"/>
  <c r="I655" i="6"/>
  <c r="I190" i="6"/>
  <c r="J190" i="6" s="1"/>
  <c r="I517" i="6"/>
  <c r="J517" i="6" s="1"/>
  <c r="K517" i="6" s="1"/>
  <c r="M517" i="6" s="1"/>
  <c r="I446" i="6"/>
  <c r="I596" i="6"/>
  <c r="J596" i="6" s="1"/>
  <c r="K596" i="6" s="1"/>
  <c r="M596" i="6" s="1"/>
  <c r="I167" i="6"/>
  <c r="J167" i="6" s="1"/>
  <c r="I305" i="6"/>
  <c r="J305" i="6" s="1"/>
  <c r="K305" i="6" s="1"/>
  <c r="M305" i="6" s="1"/>
  <c r="I303" i="6"/>
  <c r="I55" i="6"/>
  <c r="I572" i="6"/>
  <c r="I103" i="6"/>
  <c r="J103" i="6" s="1"/>
  <c r="K103" i="6" s="1"/>
  <c r="M103" i="6" s="1"/>
  <c r="I429" i="6"/>
  <c r="I94" i="6"/>
  <c r="J94" i="6" s="1"/>
  <c r="K94" i="6" s="1"/>
  <c r="M94" i="6" s="1"/>
  <c r="I107" i="6"/>
  <c r="J107" i="6" s="1"/>
  <c r="I191" i="6"/>
  <c r="J191" i="6" s="1"/>
  <c r="K191" i="6" s="1"/>
  <c r="M191" i="6" s="1"/>
  <c r="I133" i="6"/>
  <c r="I267" i="6"/>
  <c r="J267" i="6" s="1"/>
  <c r="K267" i="6" s="1"/>
  <c r="M267" i="6" s="1"/>
  <c r="I188" i="6"/>
  <c r="J188" i="6" s="1"/>
  <c r="I532" i="6"/>
  <c r="J532" i="6" s="1"/>
  <c r="K532" i="6" s="1"/>
  <c r="M532" i="6" s="1"/>
  <c r="I327" i="6"/>
  <c r="J327" i="6" s="1"/>
  <c r="I255" i="6"/>
  <c r="I349" i="6"/>
  <c r="J349" i="6" s="1"/>
  <c r="I306" i="6"/>
  <c r="J306" i="6" s="1"/>
  <c r="K306" i="6" s="1"/>
  <c r="M306" i="6" s="1"/>
  <c r="I12" i="6"/>
  <c r="J12" i="6" s="1"/>
  <c r="I598" i="6"/>
  <c r="I218" i="6"/>
  <c r="J218" i="6" s="1"/>
  <c r="K218" i="6" s="1"/>
  <c r="M218" i="6" s="1"/>
  <c r="I555" i="6"/>
  <c r="J555" i="6" s="1"/>
  <c r="I293" i="6"/>
  <c r="J293" i="6" s="1"/>
  <c r="K293" i="6" s="1"/>
  <c r="M293" i="6" s="1"/>
  <c r="I260" i="6"/>
  <c r="J260" i="6" s="1"/>
  <c r="I575" i="6"/>
  <c r="I564" i="6"/>
  <c r="J564" i="6" s="1"/>
  <c r="I51" i="6"/>
  <c r="J51" i="6" s="1"/>
  <c r="K51" i="6" s="1"/>
  <c r="M51" i="6" s="1"/>
  <c r="I85" i="6"/>
  <c r="I113" i="6"/>
  <c r="J113" i="6" s="1"/>
  <c r="K113" i="6" s="1"/>
  <c r="M113" i="6" s="1"/>
  <c r="I266" i="6"/>
  <c r="I102" i="6"/>
  <c r="I589" i="6"/>
  <c r="I593" i="6"/>
  <c r="I125" i="6"/>
  <c r="J125" i="6" s="1"/>
  <c r="K125" i="6" s="1"/>
  <c r="M125" i="6" s="1"/>
  <c r="I273" i="6"/>
  <c r="J273" i="6" s="1"/>
  <c r="K273" i="6" s="1"/>
  <c r="M273" i="6" s="1"/>
  <c r="I480" i="6"/>
  <c r="I406" i="6"/>
  <c r="J406" i="6" s="1"/>
  <c r="K406" i="6" s="1"/>
  <c r="M406" i="6" s="1"/>
  <c r="I320" i="6"/>
  <c r="I606" i="6"/>
  <c r="J606" i="6" s="1"/>
  <c r="K606" i="6" s="1"/>
  <c r="M606" i="6" s="1"/>
  <c r="I114" i="6"/>
  <c r="J114" i="6" s="1"/>
  <c r="K114" i="6" s="1"/>
  <c r="M114" i="6" s="1"/>
  <c r="I479" i="6"/>
  <c r="J479" i="6" s="1"/>
  <c r="K479" i="6" s="1"/>
  <c r="M479" i="6" s="1"/>
  <c r="I1339" i="6"/>
  <c r="J1339" i="6" s="1"/>
  <c r="I1345" i="6"/>
  <c r="J1345" i="6" s="1"/>
  <c r="K1345" i="6" s="1"/>
  <c r="I1340" i="6"/>
  <c r="J1340" i="6" s="1"/>
  <c r="I1325" i="6"/>
  <c r="J1325" i="6" s="1"/>
  <c r="I1299" i="6"/>
  <c r="J1299" i="6" s="1"/>
  <c r="I1284" i="6"/>
  <c r="J1284" i="6" s="1"/>
  <c r="I1289" i="6"/>
  <c r="J1289" i="6" s="1"/>
  <c r="I1230" i="6"/>
  <c r="J1230" i="6" s="1"/>
  <c r="K1230" i="6" s="1"/>
  <c r="I1300" i="6"/>
  <c r="J1300" i="6" s="1"/>
  <c r="I1228" i="6"/>
  <c r="J1228" i="6" s="1"/>
  <c r="I1181" i="6"/>
  <c r="J1181" i="6" s="1"/>
  <c r="I1149" i="6"/>
  <c r="J1149" i="6" s="1"/>
  <c r="I1093" i="6"/>
  <c r="J1093" i="6" s="1"/>
  <c r="I1111" i="6"/>
  <c r="J1111" i="6" s="1"/>
  <c r="K1111" i="6" s="1"/>
  <c r="I997" i="6"/>
  <c r="J997" i="6" s="1"/>
  <c r="I893" i="6"/>
  <c r="J893" i="6" s="1"/>
  <c r="I845" i="6"/>
  <c r="J845" i="6" s="1"/>
  <c r="I1069" i="6"/>
  <c r="J1069" i="6" s="1"/>
  <c r="I945" i="6"/>
  <c r="J945" i="6" s="1"/>
  <c r="I929" i="6"/>
  <c r="J929" i="6" s="1"/>
  <c r="I897" i="6"/>
  <c r="J897" i="6" s="1"/>
  <c r="I1019" i="6"/>
  <c r="J1019" i="6" s="1"/>
  <c r="I839" i="6"/>
  <c r="J839" i="6" s="1"/>
  <c r="I807" i="6"/>
  <c r="J807" i="6" s="1"/>
  <c r="I994" i="6"/>
  <c r="J994" i="6" s="1"/>
  <c r="I983" i="6"/>
  <c r="J983" i="6" s="1"/>
  <c r="I926" i="6"/>
  <c r="J926" i="6" s="1"/>
  <c r="I1354" i="6"/>
  <c r="J1354" i="6" s="1"/>
  <c r="I882" i="6"/>
  <c r="J882" i="6" s="1"/>
  <c r="I826" i="6"/>
  <c r="J826" i="6" s="1"/>
  <c r="K826" i="6" s="1"/>
  <c r="I984" i="6"/>
  <c r="J984" i="6" s="1"/>
  <c r="I1372" i="6"/>
  <c r="J1372" i="6" s="1"/>
  <c r="I960" i="6"/>
  <c r="J960" i="6" s="1"/>
  <c r="I1098" i="6"/>
  <c r="J1098" i="6" s="1"/>
  <c r="K1098" i="6" s="1"/>
  <c r="I966" i="6"/>
  <c r="J966" i="6" s="1"/>
  <c r="I1185" i="6"/>
  <c r="J1185" i="6" s="1"/>
  <c r="K1185" i="6" s="1"/>
  <c r="I1362" i="6"/>
  <c r="J1362" i="6" s="1"/>
  <c r="K1362" i="6" s="1"/>
  <c r="I778" i="6"/>
  <c r="J778" i="6" s="1"/>
  <c r="I821" i="6"/>
  <c r="J821" i="6" s="1"/>
  <c r="I1400" i="6"/>
  <c r="J1400" i="6" s="1"/>
  <c r="I942" i="6"/>
  <c r="J942" i="6" s="1"/>
  <c r="I1050" i="6"/>
  <c r="J1050" i="6" s="1"/>
  <c r="I910" i="6"/>
  <c r="J910" i="6" s="1"/>
  <c r="K910" i="6" s="1"/>
  <c r="I1170" i="6"/>
  <c r="J1170" i="6" s="1"/>
  <c r="I766" i="6"/>
  <c r="J766" i="6" s="1"/>
  <c r="K766" i="6" s="1"/>
  <c r="M766" i="6" s="1"/>
  <c r="I760" i="6"/>
  <c r="I803" i="6"/>
  <c r="J803" i="6" s="1"/>
  <c r="I735" i="6"/>
  <c r="I892" i="6"/>
  <c r="J892" i="6" s="1"/>
  <c r="I712" i="6"/>
  <c r="J712" i="6" s="1"/>
  <c r="I355" i="6"/>
  <c r="J355" i="6" s="1"/>
  <c r="K355" i="6" s="1"/>
  <c r="M355" i="6" s="1"/>
  <c r="I539" i="6"/>
  <c r="J539" i="6" s="1"/>
  <c r="K539" i="6" s="1"/>
  <c r="M539" i="6" s="1"/>
  <c r="I638" i="6"/>
  <c r="J638" i="6" s="1"/>
  <c r="K638" i="6" s="1"/>
  <c r="M638" i="6" s="1"/>
  <c r="I698" i="6"/>
  <c r="J698" i="6" s="1"/>
  <c r="K698" i="6" s="1"/>
  <c r="M698" i="6" s="1"/>
  <c r="I182" i="6"/>
  <c r="J519" i="6"/>
  <c r="K519" i="6" s="1"/>
  <c r="M519" i="6" s="1"/>
  <c r="I663" i="6"/>
  <c r="J663" i="6" s="1"/>
  <c r="I236" i="6"/>
  <c r="J236" i="6" s="1"/>
  <c r="J361" i="6"/>
  <c r="K361" i="6" s="1"/>
  <c r="M361" i="6" s="1"/>
  <c r="I247" i="6"/>
  <c r="J247" i="6" s="1"/>
  <c r="K247" i="6" s="1"/>
  <c r="M247" i="6" s="1"/>
  <c r="I251" i="6"/>
  <c r="J251" i="6" s="1"/>
  <c r="K251" i="6" s="1"/>
  <c r="M251" i="6" s="1"/>
  <c r="I126" i="6"/>
  <c r="J126" i="6" s="1"/>
  <c r="I87" i="6"/>
  <c r="J87" i="6" s="1"/>
  <c r="K87" i="6" s="1"/>
  <c r="M87" i="6" s="1"/>
  <c r="I298" i="6"/>
  <c r="I141" i="6"/>
  <c r="J141" i="6" s="1"/>
  <c r="K141" i="6" s="1"/>
  <c r="M141" i="6" s="1"/>
  <c r="I143" i="6"/>
  <c r="J143" i="6" s="1"/>
  <c r="K143" i="6" s="1"/>
  <c r="M143" i="6" s="1"/>
  <c r="I84" i="6"/>
  <c r="J84" i="6" s="1"/>
  <c r="K84" i="6" s="1"/>
  <c r="M84" i="6" s="1"/>
  <c r="I69" i="6"/>
  <c r="J69" i="6" s="1"/>
  <c r="K69" i="6" s="1"/>
  <c r="M69" i="6" s="1"/>
  <c r="I81" i="6"/>
  <c r="J81" i="6" s="1"/>
  <c r="K81" i="6" s="1"/>
  <c r="M81" i="6" s="1"/>
  <c r="I323" i="6"/>
  <c r="J323" i="6" s="1"/>
  <c r="K323" i="6" s="1"/>
  <c r="M323" i="6" s="1"/>
  <c r="I221" i="6"/>
  <c r="J221" i="6" s="1"/>
  <c r="K221" i="6" s="1"/>
  <c r="M221" i="6" s="1"/>
  <c r="I110" i="6"/>
  <c r="J110" i="6" s="1"/>
  <c r="K110" i="6" s="1"/>
  <c r="M110" i="6" s="1"/>
  <c r="I115" i="6"/>
  <c r="J115" i="6" s="1"/>
  <c r="K115" i="6" s="1"/>
  <c r="M115" i="6" s="1"/>
  <c r="I420" i="6"/>
  <c r="J420" i="6" s="1"/>
  <c r="K420" i="6" s="1"/>
  <c r="M420" i="6" s="1"/>
  <c r="I501" i="6"/>
  <c r="J501" i="6" s="1"/>
  <c r="K501" i="6" s="1"/>
  <c r="M501" i="6" s="1"/>
  <c r="I207" i="6"/>
  <c r="J207" i="6" s="1"/>
  <c r="K207" i="6" s="1"/>
  <c r="M207" i="6" s="1"/>
  <c r="I206" i="6"/>
  <c r="J206" i="6" s="1"/>
  <c r="K206" i="6" s="1"/>
  <c r="M206" i="6" s="1"/>
  <c r="I302" i="6"/>
  <c r="J302" i="6" s="1"/>
  <c r="K302" i="6" s="1"/>
  <c r="M302" i="6" s="1"/>
  <c r="I271" i="6"/>
  <c r="J271" i="6" s="1"/>
  <c r="K271" i="6" s="1"/>
  <c r="M271" i="6" s="1"/>
  <c r="I450" i="6"/>
  <c r="J450" i="6" s="1"/>
  <c r="K450" i="6" s="1"/>
  <c r="M450" i="6" s="1"/>
  <c r="I509" i="6"/>
  <c r="J509" i="6" s="1"/>
  <c r="K509" i="6" s="1"/>
  <c r="M509" i="6" s="1"/>
  <c r="I330" i="6"/>
  <c r="J330" i="6" s="1"/>
  <c r="K330" i="6" s="1"/>
  <c r="M330" i="6" s="1"/>
  <c r="I147" i="6"/>
  <c r="J147" i="6" s="1"/>
  <c r="K147" i="6" s="1"/>
  <c r="M147" i="6" s="1"/>
  <c r="I618" i="6"/>
  <c r="J618" i="6" s="1"/>
  <c r="K618" i="6" s="1"/>
  <c r="M618" i="6" s="1"/>
  <c r="I178" i="6"/>
  <c r="J178" i="6" s="1"/>
  <c r="K178" i="6" s="1"/>
  <c r="M178" i="6" s="1"/>
  <c r="I17" i="6"/>
  <c r="J17" i="6" s="1"/>
  <c r="K17" i="6" s="1"/>
  <c r="M17" i="6" s="1"/>
  <c r="I591" i="6"/>
  <c r="J591" i="6" s="1"/>
  <c r="K591" i="6" s="1"/>
  <c r="M591" i="6" s="1"/>
  <c r="I378" i="6"/>
  <c r="J378" i="6" s="1"/>
  <c r="K378" i="6" s="1"/>
  <c r="M378" i="6" s="1"/>
  <c r="I32" i="6"/>
  <c r="J32" i="6" s="1"/>
  <c r="K32" i="6" s="1"/>
  <c r="M32" i="6" s="1"/>
  <c r="I515" i="6"/>
  <c r="J515" i="6" s="1"/>
  <c r="K515" i="6" s="1"/>
  <c r="M515" i="6" s="1"/>
  <c r="I175" i="6"/>
  <c r="J175" i="6" s="1"/>
  <c r="K175" i="6" s="1"/>
  <c r="M175" i="6" s="1"/>
  <c r="I29" i="6"/>
  <c r="J29" i="6" s="1"/>
  <c r="K29" i="6" s="1"/>
  <c r="M29" i="6" s="1"/>
  <c r="I33" i="6"/>
  <c r="J33" i="6" s="1"/>
  <c r="K33" i="6" s="1"/>
  <c r="M33" i="6" s="1"/>
  <c r="I290" i="6"/>
  <c r="J290" i="6" s="1"/>
  <c r="K290" i="6" s="1"/>
  <c r="M290" i="6" s="1"/>
  <c r="I300" i="6"/>
  <c r="J300" i="6" s="1"/>
  <c r="K300" i="6" s="1"/>
  <c r="M300" i="6" s="1"/>
  <c r="I690" i="6"/>
  <c r="J690" i="6" s="1"/>
  <c r="I503" i="6"/>
  <c r="J503" i="6" s="1"/>
  <c r="I538" i="6"/>
  <c r="J538" i="6" s="1"/>
  <c r="K538" i="6" s="1"/>
  <c r="M538" i="6" s="1"/>
  <c r="I278" i="6"/>
  <c r="J278" i="6" s="1"/>
  <c r="I627" i="6"/>
  <c r="J627" i="6" s="1"/>
  <c r="K627" i="6" s="1"/>
  <c r="M627" i="6" s="1"/>
  <c r="I423" i="6"/>
  <c r="J423" i="6" s="1"/>
  <c r="I116" i="6"/>
  <c r="J116" i="6" s="1"/>
  <c r="K116" i="6" s="1"/>
  <c r="M116" i="6" s="1"/>
  <c r="I451" i="6"/>
  <c r="J451" i="6" s="1"/>
  <c r="I93" i="6"/>
  <c r="J93" i="6" s="1"/>
  <c r="K93" i="6" s="1"/>
  <c r="M93" i="6" s="1"/>
  <c r="I148" i="6"/>
  <c r="J148" i="6" s="1"/>
  <c r="J360" i="6"/>
  <c r="K360" i="6" s="1"/>
  <c r="M360" i="6" s="1"/>
  <c r="I158" i="6"/>
  <c r="I348" i="6"/>
  <c r="J348" i="6" s="1"/>
  <c r="I605" i="6"/>
  <c r="I209" i="6"/>
  <c r="J209" i="6" s="1"/>
  <c r="K209" i="6" s="1"/>
  <c r="M209" i="6" s="1"/>
  <c r="I254" i="6"/>
  <c r="J254" i="6" s="1"/>
  <c r="K254" i="6" s="1"/>
  <c r="M254" i="6" s="1"/>
  <c r="I478" i="6"/>
  <c r="J478" i="6" s="1"/>
  <c r="K478" i="6" s="1"/>
  <c r="M478" i="6" s="1"/>
  <c r="I543" i="6"/>
  <c r="I389" i="6"/>
  <c r="J389" i="6" s="1"/>
  <c r="K389" i="6" s="1"/>
  <c r="M389" i="6" s="1"/>
  <c r="I701" i="6"/>
  <c r="J701" i="6" s="1"/>
  <c r="K701" i="6" s="1"/>
  <c r="M701" i="6" s="1"/>
  <c r="I645" i="6"/>
  <c r="J645" i="6" s="1"/>
  <c r="K645" i="6" s="1"/>
  <c r="M645" i="6" s="1"/>
  <c r="I367" i="6"/>
  <c r="J367" i="6" s="1"/>
  <c r="I449" i="6"/>
  <c r="J449" i="6" s="1"/>
  <c r="I693" i="6"/>
  <c r="J693" i="6" s="1"/>
  <c r="K693" i="6" s="1"/>
  <c r="M693" i="6" s="1"/>
  <c r="I599" i="6"/>
  <c r="J599" i="6" s="1"/>
  <c r="I567" i="6"/>
  <c r="J567" i="6" s="1"/>
  <c r="K567" i="6" s="1"/>
  <c r="M567" i="6" s="1"/>
  <c r="I395" i="6"/>
  <c r="J395" i="6" s="1"/>
  <c r="I370" i="6"/>
  <c r="J370" i="6" s="1"/>
  <c r="K370" i="6" s="1"/>
  <c r="M370" i="6" s="1"/>
  <c r="I1371" i="6"/>
  <c r="J1371" i="6" s="1"/>
  <c r="I1347" i="6"/>
  <c r="J1347" i="6" s="1"/>
  <c r="I1353" i="6"/>
  <c r="J1353" i="6" s="1"/>
  <c r="I1327" i="6"/>
  <c r="J1327" i="6" s="1"/>
  <c r="I1337" i="6"/>
  <c r="J1337" i="6" s="1"/>
  <c r="I1279" i="6"/>
  <c r="J1279" i="6" s="1"/>
  <c r="I1229" i="6"/>
  <c r="J1229" i="6" s="1"/>
  <c r="I1214" i="6"/>
  <c r="J1214" i="6" s="1"/>
  <c r="I1201" i="6"/>
  <c r="J1201" i="6" s="1"/>
  <c r="I1252" i="6"/>
  <c r="J1252" i="6" s="1"/>
  <c r="I1258" i="6"/>
  <c r="J1258" i="6" s="1"/>
  <c r="I1186" i="6"/>
  <c r="J1186" i="6" s="1"/>
  <c r="I1157" i="6"/>
  <c r="J1157" i="6" s="1"/>
  <c r="I1205" i="6"/>
  <c r="J1205" i="6" s="1"/>
  <c r="I1169" i="6"/>
  <c r="J1169" i="6" s="1"/>
  <c r="I1153" i="6"/>
  <c r="J1153" i="6" s="1"/>
  <c r="I1123" i="6"/>
  <c r="J1123" i="6" s="1"/>
  <c r="I1246" i="6"/>
  <c r="J1246" i="6" s="1"/>
  <c r="I1163" i="6"/>
  <c r="J1163" i="6" s="1"/>
  <c r="I1140" i="6"/>
  <c r="J1140" i="6" s="1"/>
  <c r="I1112" i="6"/>
  <c r="J1112" i="6" s="1"/>
  <c r="J1099" i="6"/>
  <c r="I1080" i="6"/>
  <c r="J1080" i="6" s="1"/>
  <c r="I1125" i="6"/>
  <c r="J1125" i="6" s="1"/>
  <c r="I1119" i="6"/>
  <c r="J1119" i="6" s="1"/>
  <c r="I1101" i="6"/>
  <c r="J1101" i="6" s="1"/>
  <c r="I1055" i="6"/>
  <c r="J1055" i="6" s="1"/>
  <c r="I1039" i="6"/>
  <c r="J1039" i="6" s="1"/>
  <c r="I1023" i="6"/>
  <c r="J1023" i="6" s="1"/>
  <c r="I1133" i="6"/>
  <c r="J1133" i="6" s="1"/>
  <c r="I1127" i="6"/>
  <c r="J1127" i="6" s="1"/>
  <c r="I1135" i="6"/>
  <c r="J1135" i="6" s="1"/>
  <c r="I1032" i="6"/>
  <c r="J1032" i="6" s="1"/>
  <c r="I1011" i="6"/>
  <c r="J1011" i="6" s="1"/>
  <c r="K1011" i="6" s="1"/>
  <c r="I1132" i="6"/>
  <c r="J1132" i="6" s="1"/>
  <c r="I1017" i="6"/>
  <c r="J1017" i="6" s="1"/>
  <c r="J1005" i="6"/>
  <c r="I833" i="6"/>
  <c r="J833" i="6" s="1"/>
  <c r="I1002" i="6"/>
  <c r="J1002" i="6" s="1"/>
  <c r="K1002" i="6" s="1"/>
  <c r="I962" i="6"/>
  <c r="J962" i="6" s="1"/>
  <c r="I946" i="6"/>
  <c r="I914" i="6"/>
  <c r="J914" i="6" s="1"/>
  <c r="I858" i="6"/>
  <c r="J858" i="6" s="1"/>
  <c r="K858" i="6" s="1"/>
  <c r="I838" i="6"/>
  <c r="J838" i="6" s="1"/>
  <c r="K838" i="6" s="1"/>
  <c r="I806" i="6"/>
  <c r="J806" i="6" s="1"/>
  <c r="I790" i="6"/>
  <c r="J790" i="6" s="1"/>
  <c r="I1044" i="6"/>
  <c r="J1044" i="6" s="1"/>
  <c r="I1195" i="6"/>
  <c r="J1195" i="6" s="1"/>
  <c r="I1211" i="6"/>
  <c r="J1211" i="6" s="1"/>
  <c r="I1052" i="6"/>
  <c r="J1052" i="6" s="1"/>
  <c r="I931" i="6"/>
  <c r="J931" i="6" s="1"/>
  <c r="I850" i="6"/>
  <c r="J850" i="6" s="1"/>
  <c r="I1282" i="6"/>
  <c r="J1282" i="6" s="1"/>
  <c r="I1318" i="6"/>
  <c r="J1318" i="6" s="1"/>
  <c r="I1082" i="6"/>
  <c r="J1082" i="6" s="1"/>
  <c r="I918" i="6"/>
  <c r="J918" i="6" s="1"/>
  <c r="K918" i="6" s="1"/>
  <c r="I1381" i="6"/>
  <c r="J1381" i="6" s="1"/>
  <c r="I1263" i="6"/>
  <c r="J1263" i="6" s="1"/>
  <c r="I959" i="6"/>
  <c r="J959" i="6" s="1"/>
  <c r="I1065" i="6"/>
  <c r="J1065" i="6" s="1"/>
  <c r="I902" i="6"/>
  <c r="J902" i="6" s="1"/>
  <c r="I1324" i="6"/>
  <c r="J1324" i="6" s="1"/>
  <c r="I1060" i="6"/>
  <c r="J1060" i="6" s="1"/>
  <c r="I1022" i="6"/>
  <c r="J1022" i="6" s="1"/>
  <c r="I1349" i="6"/>
  <c r="J1349" i="6" s="1"/>
  <c r="I1308" i="6"/>
  <c r="J1308" i="6" s="1"/>
  <c r="I1247" i="6"/>
  <c r="J1247" i="6" s="1"/>
  <c r="I789" i="6"/>
  <c r="J789" i="6" s="1"/>
  <c r="I996" i="6"/>
  <c r="J996" i="6" s="1"/>
  <c r="I1054" i="6"/>
  <c r="J1054" i="6" s="1"/>
  <c r="I1064" i="6"/>
  <c r="J1064" i="6" s="1"/>
  <c r="I950" i="6"/>
  <c r="J950" i="6" s="1"/>
  <c r="I922" i="6"/>
  <c r="J922" i="6" s="1"/>
  <c r="I879" i="6"/>
  <c r="J879" i="6" s="1"/>
  <c r="I829" i="6"/>
  <c r="J829" i="6" s="1"/>
  <c r="J822" i="6"/>
  <c r="I1336" i="6"/>
  <c r="J1336" i="6" s="1"/>
  <c r="I1015" i="6"/>
  <c r="J1015" i="6" s="1"/>
  <c r="I868" i="6"/>
  <c r="J868" i="6" s="1"/>
  <c r="I811" i="6"/>
  <c r="J811" i="6" s="1"/>
  <c r="I919" i="6"/>
  <c r="J919" i="6" s="1"/>
  <c r="I880" i="6"/>
  <c r="J880" i="6" s="1"/>
  <c r="K880" i="6" s="1"/>
  <c r="I951" i="6"/>
  <c r="J951" i="6" s="1"/>
  <c r="I1288" i="6"/>
  <c r="J1288" i="6" s="1"/>
  <c r="I1341" i="6"/>
  <c r="J1341" i="6" s="1"/>
  <c r="I1126" i="6"/>
  <c r="J1126" i="6" s="1"/>
  <c r="K1126" i="6" s="1"/>
  <c r="I1138" i="6"/>
  <c r="J1138" i="6" s="1"/>
  <c r="I1344" i="6"/>
  <c r="J1344" i="6" s="1"/>
  <c r="I1316" i="6"/>
  <c r="J1316" i="6" s="1"/>
  <c r="I1227" i="6"/>
  <c r="J1227" i="6" s="1"/>
  <c r="K1227" i="6" s="1"/>
  <c r="I1041" i="6"/>
  <c r="J1041" i="6" s="1"/>
  <c r="I1154" i="6"/>
  <c r="J1154" i="6" s="1"/>
  <c r="I971" i="6"/>
  <c r="J971" i="6" s="1"/>
  <c r="I982" i="6"/>
  <c r="J982" i="6" s="1"/>
  <c r="I979" i="6"/>
  <c r="J979" i="6" s="1"/>
  <c r="I779" i="6"/>
  <c r="J779" i="6" s="1"/>
  <c r="K779" i="6" s="1"/>
  <c r="I762" i="6"/>
  <c r="J762" i="6" s="1"/>
  <c r="K762" i="6" s="1"/>
  <c r="M762" i="6" s="1"/>
  <c r="I768" i="6"/>
  <c r="J768" i="6" s="1"/>
  <c r="K768" i="6" s="1"/>
  <c r="M768" i="6" s="1"/>
  <c r="I736" i="6"/>
  <c r="J736" i="6" s="1"/>
  <c r="K736" i="6" s="1"/>
  <c r="M736" i="6" s="1"/>
  <c r="I704" i="6"/>
  <c r="J704" i="6" s="1"/>
  <c r="I726" i="6"/>
  <c r="J726" i="6" s="1"/>
  <c r="K726" i="6" s="1"/>
  <c r="M726" i="6" s="1"/>
  <c r="I718" i="6"/>
  <c r="J718" i="6" s="1"/>
  <c r="K718" i="6" s="1"/>
  <c r="M718" i="6" s="1"/>
  <c r="I706" i="6"/>
  <c r="J706" i="6" s="1"/>
  <c r="K706" i="6" s="1"/>
  <c r="M706" i="6" s="1"/>
  <c r="I737" i="6"/>
  <c r="I978" i="6"/>
  <c r="J978" i="6" s="1"/>
  <c r="K978" i="6" s="1"/>
  <c r="M978" i="6" s="1"/>
  <c r="I813" i="6"/>
  <c r="J813" i="6" s="1"/>
  <c r="I1254" i="6"/>
  <c r="J1254" i="6" s="1"/>
  <c r="K1254" i="6" s="1"/>
  <c r="M1254" i="6" s="1"/>
  <c r="I730" i="6"/>
  <c r="J730" i="6" s="1"/>
  <c r="K730" i="6" s="1"/>
  <c r="M730" i="6" s="1"/>
  <c r="I720" i="6"/>
  <c r="J720" i="6" s="1"/>
  <c r="K720" i="6" s="1"/>
  <c r="M720" i="6" s="1"/>
  <c r="I703" i="6"/>
  <c r="J703" i="6" s="1"/>
  <c r="K703" i="6" s="1"/>
  <c r="M703" i="6" s="1"/>
  <c r="I1104" i="6"/>
  <c r="J1104" i="6" s="1"/>
  <c r="K1104" i="6" s="1"/>
  <c r="J895" i="6"/>
  <c r="K895" i="6" s="1"/>
  <c r="M895" i="6" s="1"/>
  <c r="I961" i="6"/>
  <c r="J961" i="6" s="1"/>
  <c r="I847" i="6"/>
  <c r="J847" i="6" s="1"/>
  <c r="I1200" i="6"/>
  <c r="J1200" i="6" s="1"/>
  <c r="I1113" i="6"/>
  <c r="J1113" i="6" s="1"/>
  <c r="I715" i="6"/>
  <c r="J715" i="6" s="1"/>
  <c r="I1180" i="6"/>
  <c r="J1180" i="6" s="1"/>
  <c r="I377" i="6"/>
  <c r="J377" i="6" s="1"/>
  <c r="I505" i="6"/>
  <c r="J505" i="6" s="1"/>
  <c r="K505" i="6" s="1"/>
  <c r="M505" i="6" s="1"/>
  <c r="I633" i="6"/>
  <c r="J633" i="6" s="1"/>
  <c r="K633" i="6" s="1"/>
  <c r="M633" i="6" s="1"/>
  <c r="I1287" i="6"/>
  <c r="J1287" i="6" s="1"/>
  <c r="I1244" i="6"/>
  <c r="J1244" i="6" s="1"/>
  <c r="I980" i="6"/>
  <c r="J980" i="6" s="1"/>
  <c r="I199" i="6"/>
  <c r="J199" i="6" s="1"/>
  <c r="I82" i="6"/>
  <c r="J82" i="6" s="1"/>
  <c r="K82" i="6" s="1"/>
  <c r="M82" i="6" s="1"/>
  <c r="I419" i="6"/>
  <c r="J419" i="6" s="1"/>
  <c r="K419" i="6" s="1"/>
  <c r="M419" i="6" s="1"/>
  <c r="I634" i="6"/>
  <c r="J634" i="6" s="1"/>
  <c r="K634" i="6" s="1"/>
  <c r="M634" i="6" s="1"/>
  <c r="I439" i="6"/>
  <c r="J439" i="6" s="1"/>
  <c r="K439" i="6" s="1"/>
  <c r="M439" i="6" s="1"/>
  <c r="I615" i="6"/>
  <c r="J615" i="6" s="1"/>
  <c r="K615" i="6" s="1"/>
  <c r="M615" i="6" s="1"/>
  <c r="I683" i="6"/>
  <c r="J683" i="6" s="1"/>
  <c r="K683" i="6" s="1"/>
  <c r="M683" i="6" s="1"/>
  <c r="I4" i="6"/>
  <c r="J4" i="6" s="1"/>
  <c r="K4" i="6" s="1"/>
  <c r="M4" i="6" s="1"/>
  <c r="I283" i="6"/>
  <c r="J283" i="6" s="1"/>
  <c r="K283" i="6" s="1"/>
  <c r="M283" i="6" s="1"/>
  <c r="I28" i="6"/>
  <c r="J28" i="6" s="1"/>
  <c r="K28" i="6" s="1"/>
  <c r="M28" i="6" s="1"/>
  <c r="I422" i="6"/>
  <c r="J422" i="6" s="1"/>
  <c r="K422" i="6" s="1"/>
  <c r="M422" i="6" s="1"/>
  <c r="I198" i="6"/>
  <c r="J198" i="6" s="1"/>
  <c r="K198" i="6" s="1"/>
  <c r="M198" i="6" s="1"/>
  <c r="I350" i="6"/>
  <c r="J350" i="6" s="1"/>
  <c r="K350" i="6" s="1"/>
  <c r="M350" i="6" s="1"/>
  <c r="I43" i="6"/>
  <c r="J43" i="6" s="1"/>
  <c r="K43" i="6" s="1"/>
  <c r="M43" i="6" s="1"/>
  <c r="I356" i="6"/>
  <c r="J356" i="6" s="1"/>
  <c r="K356" i="6" s="1"/>
  <c r="M356" i="6" s="1"/>
  <c r="I252" i="6"/>
  <c r="J252" i="6" s="1"/>
  <c r="K252" i="6" s="1"/>
  <c r="M252" i="6" s="1"/>
  <c r="I62" i="6"/>
  <c r="J62" i="6" s="1"/>
  <c r="K62" i="6" s="1"/>
  <c r="M62" i="6" s="1"/>
  <c r="I417" i="6"/>
  <c r="J417" i="6" s="1"/>
  <c r="K417" i="6" s="1"/>
  <c r="M417" i="6" s="1"/>
  <c r="I253" i="6"/>
  <c r="J253" i="6" s="1"/>
  <c r="K253" i="6" s="1"/>
  <c r="M253" i="6" s="1"/>
  <c r="J297" i="6"/>
  <c r="I335" i="6"/>
  <c r="J335" i="6" s="1"/>
  <c r="I334" i="6"/>
  <c r="J334" i="6" s="1"/>
  <c r="I404" i="6"/>
  <c r="J404" i="6" s="1"/>
  <c r="I434" i="6"/>
  <c r="J434" i="6" s="1"/>
  <c r="K434" i="6" s="1"/>
  <c r="M434" i="6" s="1"/>
  <c r="I454" i="6"/>
  <c r="I586" i="6"/>
  <c r="J586" i="6" s="1"/>
  <c r="K586" i="6" s="1"/>
  <c r="M586" i="6" s="1"/>
  <c r="I279" i="6"/>
  <c r="J279" i="6" s="1"/>
  <c r="K279" i="6" s="1"/>
  <c r="M279" i="6" s="1"/>
  <c r="I492" i="6"/>
  <c r="J492" i="6" s="1"/>
  <c r="K492" i="6" s="1"/>
  <c r="M492" i="6" s="1"/>
  <c r="I229" i="6"/>
  <c r="J229" i="6" s="1"/>
  <c r="K229" i="6" s="1"/>
  <c r="M229" i="6" s="1"/>
  <c r="I382" i="6"/>
  <c r="J382" i="6" s="1"/>
  <c r="K382" i="6" s="1"/>
  <c r="M382" i="6" s="1"/>
  <c r="J383" i="6"/>
  <c r="K383" i="6" s="1"/>
  <c r="M383" i="6" s="1"/>
  <c r="I384" i="6"/>
  <c r="I682" i="6"/>
  <c r="J682" i="6" s="1"/>
  <c r="K682" i="6" s="1"/>
  <c r="M682" i="6" s="1"/>
  <c r="I394" i="6"/>
  <c r="J394" i="6" s="1"/>
  <c r="K394" i="6" s="1"/>
  <c r="M394" i="6" s="1"/>
  <c r="I452" i="6"/>
  <c r="J452" i="6" s="1"/>
  <c r="K452" i="6" s="1"/>
  <c r="M452" i="6" s="1"/>
  <c r="I59" i="6"/>
  <c r="J59" i="6" s="1"/>
  <c r="K59" i="6" s="1"/>
  <c r="M59" i="6" s="1"/>
  <c r="I142" i="6"/>
  <c r="J142" i="6" s="1"/>
  <c r="K142" i="6" s="1"/>
  <c r="M142" i="6" s="1"/>
  <c r="I213" i="6"/>
  <c r="J213" i="6" s="1"/>
  <c r="K213" i="6" s="1"/>
  <c r="M213" i="6" s="1"/>
  <c r="I365" i="6"/>
  <c r="J365" i="6" s="1"/>
  <c r="K365" i="6" s="1"/>
  <c r="M365" i="6" s="1"/>
  <c r="I65" i="6"/>
  <c r="J65" i="6" s="1"/>
  <c r="K65" i="6" s="1"/>
  <c r="M65" i="6" s="1"/>
  <c r="I75" i="6"/>
  <c r="J75" i="6" s="1"/>
  <c r="I391" i="6"/>
  <c r="J391" i="6" s="1"/>
  <c r="K391" i="6" s="1"/>
  <c r="M391" i="6" s="1"/>
  <c r="I95" i="6"/>
  <c r="J95" i="6" s="1"/>
  <c r="K95" i="6" s="1"/>
  <c r="M95" i="6" s="1"/>
  <c r="I619" i="6"/>
  <c r="J619" i="6" s="1"/>
  <c r="K619" i="6" s="1"/>
  <c r="M619" i="6" s="1"/>
  <c r="I498" i="6"/>
  <c r="I560" i="6"/>
  <c r="J560" i="6" s="1"/>
  <c r="K560" i="6" s="1"/>
  <c r="M560" i="6" s="1"/>
  <c r="I608" i="6"/>
  <c r="J608" i="6" s="1"/>
  <c r="I318" i="6"/>
  <c r="J318" i="6" s="1"/>
  <c r="K318" i="6" s="1"/>
  <c r="M318" i="6" s="1"/>
  <c r="I471" i="6"/>
  <c r="J471" i="6" s="1"/>
  <c r="K471" i="6" s="1"/>
  <c r="M471" i="6" s="1"/>
  <c r="I358" i="6"/>
  <c r="J358" i="6" s="1"/>
  <c r="K358" i="6" s="1"/>
  <c r="M358" i="6" s="1"/>
  <c r="I625" i="6"/>
  <c r="J625" i="6" s="1"/>
  <c r="I609" i="6"/>
  <c r="I677" i="6"/>
  <c r="I203" i="6"/>
  <c r="J203" i="6" s="1"/>
  <c r="I261" i="6"/>
  <c r="J261" i="6" s="1"/>
  <c r="I431" i="6"/>
  <c r="J431" i="6" s="1"/>
  <c r="K431" i="6" s="1"/>
  <c r="M431" i="6" s="1"/>
  <c r="I612" i="6"/>
  <c r="J612" i="6" s="1"/>
  <c r="K612" i="6" s="1"/>
  <c r="M612" i="6" s="1"/>
  <c r="I1394" i="6"/>
  <c r="J1394" i="6" s="1"/>
  <c r="I1392" i="6"/>
  <c r="J1392" i="6" s="1"/>
  <c r="I1374" i="6"/>
  <c r="J1374" i="6" s="1"/>
  <c r="I1307" i="6"/>
  <c r="J1307" i="6" s="1"/>
  <c r="I1304" i="6"/>
  <c r="J1304" i="6" s="1"/>
  <c r="I1248" i="6"/>
  <c r="J1248" i="6" s="1"/>
  <c r="I1260" i="6"/>
  <c r="J1260" i="6" s="1"/>
  <c r="I1262" i="6"/>
  <c r="J1262" i="6" s="1"/>
  <c r="I1217" i="6"/>
  <c r="J1217" i="6" s="1"/>
  <c r="I1232" i="6"/>
  <c r="J1232" i="6" s="1"/>
  <c r="I1268" i="6"/>
  <c r="J1268" i="6" s="1"/>
  <c r="I1173" i="6"/>
  <c r="J1173" i="6" s="1"/>
  <c r="I1165" i="6"/>
  <c r="J1165" i="6" s="1"/>
  <c r="I1071" i="6"/>
  <c r="J1071" i="6" s="1"/>
  <c r="K1071" i="6" s="1"/>
  <c r="I1079" i="6"/>
  <c r="J1079" i="6" s="1"/>
  <c r="K1079" i="6" s="1"/>
  <c r="I1035" i="6"/>
  <c r="J1035" i="6" s="1"/>
  <c r="J909" i="6"/>
  <c r="K909" i="6" s="1"/>
  <c r="M909" i="6" s="1"/>
  <c r="J877" i="6"/>
  <c r="I1085" i="6"/>
  <c r="J1085" i="6" s="1"/>
  <c r="I913" i="6"/>
  <c r="J913" i="6" s="1"/>
  <c r="K913" i="6" s="1"/>
  <c r="I859" i="6"/>
  <c r="J859" i="6" s="1"/>
  <c r="I798" i="6"/>
  <c r="J798" i="6" s="1"/>
  <c r="K798" i="6" s="1"/>
  <c r="I1088" i="6"/>
  <c r="J1088" i="6" s="1"/>
  <c r="K1088" i="6" s="1"/>
  <c r="I800" i="6"/>
  <c r="J800" i="6" s="1"/>
  <c r="K800" i="6" s="1"/>
  <c r="I757" i="6"/>
  <c r="J757" i="6" s="1"/>
  <c r="J729" i="6"/>
  <c r="K729" i="6" s="1"/>
  <c r="I709" i="6"/>
  <c r="J709" i="6" s="1"/>
  <c r="I1375" i="6"/>
  <c r="J1375" i="6" s="1"/>
  <c r="I1255" i="6"/>
  <c r="J1255" i="6" s="1"/>
  <c r="I1026" i="6"/>
  <c r="J1026" i="6" s="1"/>
  <c r="I816" i="6"/>
  <c r="J816" i="6" s="1"/>
  <c r="I958" i="6"/>
  <c r="J958" i="6" s="1"/>
  <c r="I1243" i="6"/>
  <c r="J1243" i="6" s="1"/>
  <c r="I1174" i="6"/>
  <c r="J1174" i="6" s="1"/>
  <c r="I823" i="6"/>
  <c r="J823" i="6" s="1"/>
  <c r="I802" i="6"/>
  <c r="J802" i="6" s="1"/>
  <c r="J949" i="6"/>
  <c r="J1290" i="6"/>
  <c r="I1034" i="6"/>
  <c r="J1034" i="6" s="1"/>
  <c r="J956" i="6"/>
  <c r="I1366" i="6"/>
  <c r="J1366" i="6" s="1"/>
  <c r="I935" i="6"/>
  <c r="J935" i="6" s="1"/>
  <c r="I742" i="6"/>
  <c r="J742" i="6" s="1"/>
  <c r="I780" i="6"/>
  <c r="J780" i="6" s="1"/>
  <c r="I1067" i="6"/>
  <c r="J1067" i="6" s="1"/>
  <c r="K1067" i="6" s="1"/>
  <c r="I488" i="6"/>
  <c r="J488" i="6" s="1"/>
  <c r="I233" i="6"/>
  <c r="J233" i="6" s="1"/>
  <c r="K233" i="6" s="1"/>
  <c r="M233" i="6" s="1"/>
  <c r="I146" i="6"/>
  <c r="I435" i="6"/>
  <c r="J435" i="6" s="1"/>
  <c r="K435" i="6" s="1"/>
  <c r="M435" i="6" s="1"/>
  <c r="I658" i="6"/>
  <c r="J658" i="6" s="1"/>
  <c r="K658" i="6" s="1"/>
  <c r="M658" i="6" s="1"/>
  <c r="I226" i="6"/>
  <c r="J226" i="6" s="1"/>
  <c r="I581" i="6"/>
  <c r="J581" i="6" s="1"/>
  <c r="K581" i="6" s="1"/>
  <c r="M581" i="6" s="1"/>
  <c r="I635" i="6"/>
  <c r="J635" i="6" s="1"/>
  <c r="I687" i="6"/>
  <c r="J687" i="6" s="1"/>
  <c r="K687" i="6" s="1"/>
  <c r="M687" i="6" s="1"/>
  <c r="I230" i="6"/>
  <c r="I154" i="6"/>
  <c r="J154" i="6" s="1"/>
  <c r="I215" i="6"/>
  <c r="J215" i="6" s="1"/>
  <c r="I246" i="6"/>
  <c r="J246" i="6" s="1"/>
  <c r="K246" i="6" s="1"/>
  <c r="M246" i="6" s="1"/>
  <c r="I20" i="6"/>
  <c r="J20" i="6" s="1"/>
  <c r="J56" i="6"/>
  <c r="K56" i="6" s="1"/>
  <c r="M56" i="6" s="1"/>
  <c r="I109" i="6"/>
  <c r="J109" i="6" s="1"/>
  <c r="I127" i="6"/>
  <c r="J127" i="6" s="1"/>
  <c r="K127" i="6" s="1"/>
  <c r="M127" i="6" s="1"/>
  <c r="I177" i="6"/>
  <c r="J177" i="6" s="1"/>
  <c r="I304" i="6"/>
  <c r="J304" i="6" s="1"/>
  <c r="I397" i="6"/>
  <c r="J397" i="6" s="1"/>
  <c r="I465" i="6"/>
  <c r="J465" i="6" s="1"/>
  <c r="K465" i="6" s="1"/>
  <c r="M465" i="6" s="1"/>
  <c r="I231" i="6"/>
  <c r="J231" i="6" s="1"/>
  <c r="I412" i="6"/>
  <c r="I309" i="6"/>
  <c r="J309" i="6" s="1"/>
  <c r="K309" i="6" s="1"/>
  <c r="M309" i="6" s="1"/>
  <c r="I240" i="6"/>
  <c r="J240" i="6" s="1"/>
  <c r="I321" i="6"/>
  <c r="J321" i="6" s="1"/>
  <c r="I134" i="6"/>
  <c r="J134" i="6" s="1"/>
  <c r="I285" i="6"/>
  <c r="J285" i="6" s="1"/>
  <c r="K285" i="6" s="1"/>
  <c r="M285" i="6" s="1"/>
  <c r="I166" i="6"/>
  <c r="J166" i="6" s="1"/>
  <c r="I341" i="6"/>
  <c r="J341" i="6" s="1"/>
  <c r="I128" i="6"/>
  <c r="J128" i="6" s="1"/>
  <c r="J168" i="6"/>
  <c r="I570" i="6"/>
  <c r="I396" i="6"/>
  <c r="J396" i="6" s="1"/>
  <c r="K396" i="6" s="1"/>
  <c r="M396" i="6" s="1"/>
  <c r="I546" i="6"/>
  <c r="J546" i="6" s="1"/>
  <c r="I470" i="6"/>
  <c r="J470" i="6" s="1"/>
  <c r="K470" i="6" s="1"/>
  <c r="M470" i="6" s="1"/>
  <c r="I401" i="6"/>
  <c r="J401" i="6" s="1"/>
  <c r="I582" i="6"/>
  <c r="J582" i="6" s="1"/>
  <c r="I5" i="6"/>
  <c r="J5" i="6" s="1"/>
  <c r="I671" i="6"/>
  <c r="J671" i="6" s="1"/>
  <c r="K671" i="6" s="1"/>
  <c r="M671" i="6" s="1"/>
  <c r="I343" i="6"/>
  <c r="J343" i="6" s="1"/>
  <c r="I448" i="6"/>
  <c r="J448" i="6" s="1"/>
  <c r="I675" i="6"/>
  <c r="J675" i="6" s="1"/>
  <c r="I556" i="6"/>
  <c r="J556" i="6" s="1"/>
  <c r="I466" i="6"/>
  <c r="J466" i="6" s="1"/>
  <c r="I459" i="6"/>
  <c r="I526" i="6"/>
  <c r="J526" i="6" s="1"/>
  <c r="I500" i="6"/>
  <c r="I42" i="6"/>
  <c r="J42" i="6" s="1"/>
  <c r="I326" i="6"/>
  <c r="J326" i="6" s="1"/>
  <c r="K326" i="6" s="1"/>
  <c r="M326" i="6" s="1"/>
  <c r="I48" i="6"/>
  <c r="J48" i="6" s="1"/>
  <c r="I400" i="6"/>
  <c r="J400" i="6" s="1"/>
  <c r="I347" i="6"/>
  <c r="J347" i="6" s="1"/>
  <c r="I292" i="6"/>
  <c r="J292" i="6" s="1"/>
  <c r="I61" i="6"/>
  <c r="J61" i="6" s="1"/>
  <c r="I63" i="6"/>
  <c r="J63" i="6" s="1"/>
  <c r="K63" i="6" s="1"/>
  <c r="M63" i="6" s="1"/>
  <c r="I463" i="6"/>
  <c r="J463" i="6" s="1"/>
  <c r="I550" i="6"/>
  <c r="J550" i="6" s="1"/>
  <c r="I243" i="6"/>
  <c r="J243" i="6" s="1"/>
  <c r="I494" i="6"/>
  <c r="J494" i="6" s="1"/>
  <c r="I462" i="6"/>
  <c r="J462" i="6" s="1"/>
  <c r="I554" i="6"/>
  <c r="J554" i="6" s="1"/>
  <c r="I117" i="6"/>
  <c r="J117" i="6" s="1"/>
  <c r="K117" i="6" s="1"/>
  <c r="M117" i="6" s="1"/>
  <c r="I258" i="6"/>
  <c r="J258" i="6" s="1"/>
  <c r="I694" i="6"/>
  <c r="J694" i="6" s="1"/>
  <c r="I139" i="6"/>
  <c r="J139" i="6" s="1"/>
  <c r="J169" i="6"/>
  <c r="K169" i="6" s="1"/>
  <c r="M169" i="6" s="1"/>
  <c r="I220" i="6"/>
  <c r="J220" i="6" s="1"/>
  <c r="I314" i="6"/>
  <c r="J314" i="6" s="1"/>
  <c r="K314" i="6" s="1"/>
  <c r="M314" i="6" s="1"/>
  <c r="I533" i="6"/>
  <c r="J533" i="6" s="1"/>
  <c r="I332" i="6"/>
  <c r="J332" i="6" s="1"/>
  <c r="K332" i="6" s="1"/>
  <c r="M332" i="6" s="1"/>
  <c r="J489" i="6"/>
  <c r="I662" i="6"/>
  <c r="J662" i="6" s="1"/>
  <c r="I668" i="6"/>
  <c r="J668" i="6" s="1"/>
  <c r="K668" i="6" s="1"/>
  <c r="M668" i="6" s="1"/>
  <c r="I661" i="6"/>
  <c r="I669" i="6"/>
  <c r="J669" i="6" s="1"/>
  <c r="I50" i="6"/>
  <c r="J50" i="6" s="1"/>
  <c r="I636" i="6"/>
  <c r="J636" i="6" s="1"/>
  <c r="K636" i="6" s="1"/>
  <c r="M636" i="6" s="1"/>
  <c r="I692" i="6"/>
  <c r="J692" i="6" s="1"/>
  <c r="J632" i="6"/>
  <c r="J1384" i="6"/>
  <c r="I1395" i="6"/>
  <c r="J1395" i="6" s="1"/>
  <c r="I1363" i="6"/>
  <c r="J1363" i="6" s="1"/>
  <c r="I1332" i="6"/>
  <c r="J1332" i="6" s="1"/>
  <c r="J1303" i="6"/>
  <c r="I210" i="6"/>
  <c r="J210" i="6" s="1"/>
  <c r="I387" i="6"/>
  <c r="J387" i="6" s="1"/>
  <c r="I579" i="6"/>
  <c r="J579" i="6" s="1"/>
  <c r="I610" i="6"/>
  <c r="J610" i="6" s="1"/>
  <c r="I642" i="6"/>
  <c r="J642" i="6" s="1"/>
  <c r="I666" i="6"/>
  <c r="J666" i="6" s="1"/>
  <c r="J104" i="6"/>
  <c r="K104" i="6" s="1"/>
  <c r="M104" i="6" s="1"/>
  <c r="I359" i="6"/>
  <c r="J359" i="6" s="1"/>
  <c r="I541" i="6"/>
  <c r="J541" i="6" s="1"/>
  <c r="I597" i="6"/>
  <c r="J597" i="6" s="1"/>
  <c r="I647" i="6"/>
  <c r="J647" i="6" s="1"/>
  <c r="I667" i="6"/>
  <c r="J667" i="6" s="1"/>
  <c r="I691" i="6"/>
  <c r="J691" i="6" s="1"/>
  <c r="J6" i="6"/>
  <c r="K6" i="6" s="1"/>
  <c r="M6" i="6" s="1"/>
  <c r="I11" i="6"/>
  <c r="J11" i="6" s="1"/>
  <c r="I512" i="6"/>
  <c r="J512" i="6" s="1"/>
  <c r="K512" i="6" s="1"/>
  <c r="M512" i="6" s="1"/>
  <c r="J151" i="6"/>
  <c r="K151" i="6" s="1"/>
  <c r="M151" i="6" s="1"/>
  <c r="I250" i="6"/>
  <c r="J250" i="6" s="1"/>
  <c r="I119" i="6"/>
  <c r="J119" i="6" s="1"/>
  <c r="I337" i="6"/>
  <c r="J337" i="6" s="1"/>
  <c r="I122" i="6"/>
  <c r="J122" i="6" s="1"/>
  <c r="K122" i="6" s="1"/>
  <c r="M122" i="6" s="1"/>
  <c r="I77" i="6"/>
  <c r="J77" i="6" s="1"/>
  <c r="K77" i="6" s="1"/>
  <c r="M77" i="6" s="1"/>
  <c r="I27" i="6"/>
  <c r="J27" i="6" s="1"/>
  <c r="K27" i="6" s="1"/>
  <c r="M27" i="6" s="1"/>
  <c r="I196" i="6"/>
  <c r="J196" i="6" s="1"/>
  <c r="K196" i="6" s="1"/>
  <c r="M196" i="6" s="1"/>
  <c r="I476" i="6"/>
  <c r="J476" i="6" s="1"/>
  <c r="K476" i="6" s="1"/>
  <c r="M476" i="6" s="1"/>
  <c r="I477" i="6"/>
  <c r="J477" i="6" s="1"/>
  <c r="K477" i="6" s="1"/>
  <c r="M477" i="6" s="1"/>
  <c r="J39" i="6"/>
  <c r="K39" i="6" s="1"/>
  <c r="M39" i="6" s="1"/>
  <c r="J41" i="6"/>
  <c r="K41" i="6" s="1"/>
  <c r="M41" i="6" s="1"/>
  <c r="I352" i="6"/>
  <c r="J352" i="6" s="1"/>
  <c r="K352" i="6" s="1"/>
  <c r="M352" i="6" s="1"/>
  <c r="I144" i="6"/>
  <c r="J144" i="6" s="1"/>
  <c r="K144" i="6" s="1"/>
  <c r="M144" i="6" s="1"/>
  <c r="I49" i="6"/>
  <c r="J49" i="6" s="1"/>
  <c r="K49" i="6" s="1"/>
  <c r="M49" i="6" s="1"/>
  <c r="J568" i="6"/>
  <c r="K568" i="6" s="1"/>
  <c r="M568" i="6" s="1"/>
  <c r="I286" i="6"/>
  <c r="J286" i="6" s="1"/>
  <c r="I310" i="6"/>
  <c r="J310" i="6" s="1"/>
  <c r="I339" i="6"/>
  <c r="J339" i="6" s="1"/>
  <c r="I149" i="6"/>
  <c r="J149" i="6" s="1"/>
  <c r="I460" i="6"/>
  <c r="J460" i="6" s="1"/>
  <c r="J232" i="6"/>
  <c r="K232" i="6" s="1"/>
  <c r="M232" i="6" s="1"/>
  <c r="J121" i="6"/>
  <c r="K121" i="6" s="1"/>
  <c r="M121" i="6" s="1"/>
  <c r="I195" i="6"/>
  <c r="J195" i="6" s="1"/>
  <c r="K195" i="6" s="1"/>
  <c r="M195" i="6" s="1"/>
  <c r="I308" i="6"/>
  <c r="J308" i="6" s="1"/>
  <c r="K308" i="6" s="1"/>
  <c r="M308" i="6" s="1"/>
  <c r="I566" i="6"/>
  <c r="J566" i="6" s="1"/>
  <c r="I453" i="6"/>
  <c r="J453" i="6" s="1"/>
  <c r="I172" i="6"/>
  <c r="J172" i="6" s="1"/>
  <c r="J105" i="6"/>
  <c r="K105" i="6" s="1"/>
  <c r="M105" i="6" s="1"/>
  <c r="I421" i="6"/>
  <c r="J421" i="6" s="1"/>
  <c r="I161" i="6"/>
  <c r="J161" i="6" s="1"/>
  <c r="I514" i="6"/>
  <c r="J514" i="6" s="1"/>
  <c r="I118" i="6"/>
  <c r="J118" i="6" s="1"/>
  <c r="I124" i="6"/>
  <c r="J124" i="6" s="1"/>
  <c r="K124" i="6" s="1"/>
  <c r="M124" i="6" s="1"/>
  <c r="I529" i="6"/>
  <c r="J529" i="6" s="1"/>
  <c r="I481" i="6"/>
  <c r="J481" i="6" s="1"/>
  <c r="I461" i="6"/>
  <c r="J461" i="6" s="1"/>
  <c r="I414" i="6"/>
  <c r="J414" i="6" s="1"/>
  <c r="I528" i="6"/>
  <c r="J528" i="6" s="1"/>
  <c r="I222" i="6"/>
  <c r="J222" i="6" s="1"/>
  <c r="K222" i="6" s="1"/>
  <c r="M222" i="6" s="1"/>
  <c r="I493" i="6"/>
  <c r="J493" i="6" s="1"/>
  <c r="I214" i="6"/>
  <c r="J214" i="6" s="1"/>
  <c r="I402" i="6"/>
  <c r="J402" i="6" s="1"/>
  <c r="I282" i="6"/>
  <c r="J282" i="6" s="1"/>
  <c r="K282" i="6" s="1"/>
  <c r="M282" i="6" s="1"/>
  <c r="I525" i="6"/>
  <c r="J525" i="6" s="1"/>
  <c r="I276" i="6"/>
  <c r="J276" i="6" s="1"/>
  <c r="I469" i="6"/>
  <c r="J469" i="6" s="1"/>
  <c r="J440" i="6"/>
  <c r="K440" i="6" s="1"/>
  <c r="M440" i="6" s="1"/>
  <c r="I363" i="6"/>
  <c r="J363" i="6" s="1"/>
  <c r="I652" i="6"/>
  <c r="J652" i="6" s="1"/>
  <c r="I506" i="6"/>
  <c r="J506" i="6" s="1"/>
  <c r="I7" i="6"/>
  <c r="J7" i="6" s="1"/>
  <c r="I371" i="6"/>
  <c r="J371" i="6" s="1"/>
  <c r="I10" i="6"/>
  <c r="J10" i="6" s="1"/>
  <c r="I284" i="6"/>
  <c r="J284" i="6" s="1"/>
  <c r="I513" i="6"/>
  <c r="J513" i="6" s="1"/>
  <c r="I14" i="6"/>
  <c r="J14" i="6" s="1"/>
  <c r="I557" i="6"/>
  <c r="J557" i="6" s="1"/>
  <c r="I179" i="6"/>
  <c r="J179" i="6" s="1"/>
  <c r="I379" i="6"/>
  <c r="J379" i="6" s="1"/>
  <c r="I574" i="6"/>
  <c r="J574" i="6" s="1"/>
  <c r="I374" i="6"/>
  <c r="J374" i="6" s="1"/>
  <c r="I380" i="6"/>
  <c r="J380" i="6" s="1"/>
  <c r="I640" i="6"/>
  <c r="J640" i="6" s="1"/>
  <c r="I549" i="6"/>
  <c r="J549" i="6" s="1"/>
  <c r="I558" i="6"/>
  <c r="J558" i="6" s="1"/>
  <c r="J552" i="6"/>
  <c r="K552" i="6" s="1"/>
  <c r="M552" i="6" s="1"/>
  <c r="I23" i="6"/>
  <c r="J23" i="6" s="1"/>
  <c r="J376" i="6"/>
  <c r="K376" i="6" s="1"/>
  <c r="M376" i="6" s="1"/>
  <c r="I643" i="6"/>
  <c r="J643" i="6" s="1"/>
  <c r="I112" i="6"/>
  <c r="J112" i="6" s="1"/>
  <c r="J312" i="6"/>
  <c r="I37" i="6"/>
  <c r="J37" i="6" s="1"/>
  <c r="I656" i="6"/>
  <c r="J656" i="6" s="1"/>
  <c r="K656" i="6" s="1"/>
  <c r="M656" i="6" s="1"/>
  <c r="J40" i="6"/>
  <c r="K40" i="6" s="1"/>
  <c r="M40" i="6" s="1"/>
  <c r="I484" i="6"/>
  <c r="J484" i="6" s="1"/>
  <c r="I269" i="6"/>
  <c r="J269" i="6" s="1"/>
  <c r="K269" i="6" s="1"/>
  <c r="M269" i="6" s="1"/>
  <c r="I530" i="6"/>
  <c r="J530" i="6" s="1"/>
  <c r="K530" i="6" s="1"/>
  <c r="M530" i="6" s="1"/>
  <c r="I98" i="6"/>
  <c r="J98" i="6" s="1"/>
  <c r="I398" i="6"/>
  <c r="J398" i="6" s="1"/>
  <c r="I224" i="6"/>
  <c r="J224" i="6" s="1"/>
  <c r="I571" i="6"/>
  <c r="J571" i="6" s="1"/>
  <c r="I602" i="6"/>
  <c r="J602" i="6" s="1"/>
  <c r="I262" i="6"/>
  <c r="J262" i="6" s="1"/>
  <c r="I295" i="6"/>
  <c r="J295" i="6" s="1"/>
  <c r="I510" i="6"/>
  <c r="J510" i="6" s="1"/>
  <c r="I316" i="6"/>
  <c r="J316" i="6" s="1"/>
  <c r="I150" i="6"/>
  <c r="J150" i="6" s="1"/>
  <c r="I496" i="6"/>
  <c r="J496" i="6" s="1"/>
  <c r="I67" i="6"/>
  <c r="J67" i="6" s="1"/>
  <c r="I413" i="6"/>
  <c r="J413" i="6" s="1"/>
  <c r="I78" i="6"/>
  <c r="J78" i="6" s="1"/>
  <c r="I202" i="6"/>
  <c r="J202" i="6" s="1"/>
  <c r="I80" i="6"/>
  <c r="J80" i="6" s="1"/>
  <c r="I83" i="6"/>
  <c r="J83" i="6" s="1"/>
  <c r="I486" i="6"/>
  <c r="J486" i="6" s="1"/>
  <c r="I576" i="6"/>
  <c r="J576" i="6" s="1"/>
  <c r="I482" i="6"/>
  <c r="J482" i="6" s="1"/>
  <c r="I99" i="6"/>
  <c r="J99" i="6" s="1"/>
  <c r="I183" i="6"/>
  <c r="J183" i="6" s="1"/>
  <c r="I458" i="6"/>
  <c r="J458" i="6" s="1"/>
  <c r="I189" i="6"/>
  <c r="J189" i="6" s="1"/>
  <c r="I340" i="6"/>
  <c r="J340" i="6" s="1"/>
  <c r="I623" i="6"/>
  <c r="J623" i="6" s="1"/>
  <c r="I159" i="6"/>
  <c r="J159" i="6" s="1"/>
  <c r="J120" i="6"/>
  <c r="K120" i="6" s="1"/>
  <c r="M120" i="6" s="1"/>
  <c r="I650" i="6"/>
  <c r="J650" i="6" s="1"/>
  <c r="K650" i="6" s="1"/>
  <c r="M650" i="6" s="1"/>
  <c r="I257" i="6"/>
  <c r="J257" i="6" s="1"/>
  <c r="K257" i="6" s="1"/>
  <c r="M257" i="6" s="1"/>
  <c r="I428" i="6"/>
  <c r="J428" i="6" s="1"/>
  <c r="K428" i="6" s="1"/>
  <c r="M428" i="6" s="1"/>
  <c r="I684" i="6"/>
  <c r="I485" i="6"/>
  <c r="J485" i="6" s="1"/>
  <c r="K485" i="6" s="1"/>
  <c r="M485" i="6" s="1"/>
  <c r="I660" i="6"/>
  <c r="J660" i="6" s="1"/>
  <c r="K660" i="6" s="1"/>
  <c r="M660" i="6" s="1"/>
  <c r="I333" i="6"/>
  <c r="J333" i="6" s="1"/>
  <c r="K333" i="6" s="1"/>
  <c r="M333" i="6" s="1"/>
  <c r="I639" i="6"/>
  <c r="I534" i="6"/>
  <c r="J534" i="6" s="1"/>
  <c r="K534" i="6" s="1"/>
  <c r="M534" i="6" s="1"/>
  <c r="I630" i="6"/>
  <c r="J630" i="6" s="1"/>
  <c r="K630" i="6" s="1"/>
  <c r="M630" i="6" s="1"/>
  <c r="I653" i="6"/>
  <c r="J653" i="6" s="1"/>
  <c r="K653" i="6" s="1"/>
  <c r="M653" i="6" s="1"/>
  <c r="I277" i="6"/>
  <c r="I388" i="6"/>
  <c r="J388" i="6" s="1"/>
  <c r="K388" i="6" s="1"/>
  <c r="M388" i="6" s="1"/>
  <c r="I301" i="6"/>
  <c r="J301" i="6" s="1"/>
  <c r="K301" i="6" s="1"/>
  <c r="M301" i="6" s="1"/>
  <c r="I547" i="6"/>
  <c r="J547" i="6" s="1"/>
  <c r="K547" i="6" s="1"/>
  <c r="M547" i="6" s="1"/>
  <c r="I351" i="6"/>
  <c r="I366" i="6"/>
  <c r="J366" i="6" s="1"/>
  <c r="K366" i="6" s="1"/>
  <c r="M366" i="6" s="1"/>
  <c r="I629" i="6"/>
  <c r="J629" i="6" s="1"/>
  <c r="K629" i="6" s="1"/>
  <c r="M629" i="6" s="1"/>
  <c r="I66" i="6"/>
  <c r="J66" i="6" s="1"/>
  <c r="J680" i="6"/>
  <c r="K680" i="6" s="1"/>
  <c r="M680" i="6" s="1"/>
  <c r="I673" i="6"/>
  <c r="J673" i="6" s="1"/>
  <c r="I194" i="6"/>
  <c r="J194" i="6" s="1"/>
  <c r="K194" i="6" s="1"/>
  <c r="M194" i="6" s="1"/>
  <c r="I676" i="6"/>
  <c r="J676" i="6" s="1"/>
  <c r="K676" i="6" s="1"/>
  <c r="M676" i="6" s="1"/>
  <c r="J553" i="6"/>
  <c r="K553" i="6" s="1"/>
  <c r="M553" i="6" s="1"/>
  <c r="J425" i="6"/>
  <c r="I430" i="6"/>
  <c r="J313" i="6"/>
  <c r="K313" i="6" s="1"/>
  <c r="M313" i="6" s="1"/>
  <c r="I443" i="6"/>
  <c r="J443" i="6" s="1"/>
  <c r="I242" i="6"/>
  <c r="J242" i="6" s="1"/>
  <c r="I644" i="6"/>
  <c r="J644" i="6" s="1"/>
  <c r="I620" i="6"/>
  <c r="J620" i="6" s="1"/>
  <c r="I100" i="6"/>
  <c r="J100" i="6" s="1"/>
  <c r="I140" i="6"/>
  <c r="J140" i="6" s="1"/>
  <c r="I170" i="6"/>
  <c r="J170" i="6" s="1"/>
  <c r="J296" i="6"/>
  <c r="K296" i="6" s="1"/>
  <c r="M296" i="6" s="1"/>
  <c r="I455" i="6"/>
  <c r="J455" i="6" s="1"/>
  <c r="I1386" i="6"/>
  <c r="J1386" i="6" s="1"/>
  <c r="I1370" i="6"/>
  <c r="J1370" i="6" s="1"/>
  <c r="I1396" i="6"/>
  <c r="J1396" i="6" s="1"/>
  <c r="I1343" i="6"/>
  <c r="J1343" i="6" s="1"/>
  <c r="J1390" i="6"/>
  <c r="I1355" i="6"/>
  <c r="J1355" i="6" s="1"/>
  <c r="I1331" i="6"/>
  <c r="J1331" i="6" s="1"/>
  <c r="K1331" i="6" s="1"/>
  <c r="I1348" i="6"/>
  <c r="J1348" i="6" s="1"/>
  <c r="K1348" i="6" s="1"/>
  <c r="I1359" i="6"/>
  <c r="J1359" i="6" s="1"/>
  <c r="I1320" i="6"/>
  <c r="J1320" i="6" s="1"/>
  <c r="K1320" i="6" s="1"/>
  <c r="I1364" i="6"/>
  <c r="J1364" i="6" s="1"/>
  <c r="K1364" i="6" s="1"/>
  <c r="I1356" i="6"/>
  <c r="J1356" i="6" s="1"/>
  <c r="I1315" i="6"/>
  <c r="J1315" i="6" s="1"/>
  <c r="K1315" i="6" s="1"/>
  <c r="I1283" i="6"/>
  <c r="J1283" i="6" s="1"/>
  <c r="K1283" i="6" s="1"/>
  <c r="I1297" i="6"/>
  <c r="J1297" i="6" s="1"/>
  <c r="K1297" i="6" s="1"/>
  <c r="I1240" i="6"/>
  <c r="J1240" i="6" s="1"/>
  <c r="I1281" i="6"/>
  <c r="J1281" i="6" s="1"/>
  <c r="I1261" i="6"/>
  <c r="J1261" i="6" s="1"/>
  <c r="I1245" i="6"/>
  <c r="J1245" i="6" s="1"/>
  <c r="I1236" i="6"/>
  <c r="J1236" i="6" s="1"/>
  <c r="K1236" i="6" s="1"/>
  <c r="I1220" i="6"/>
  <c r="J1220" i="6" s="1"/>
  <c r="K1220" i="6" s="1"/>
  <c r="I1212" i="6"/>
  <c r="J1212" i="6" s="1"/>
  <c r="K1212" i="6" s="1"/>
  <c r="I1198" i="6"/>
  <c r="J1198" i="6" s="1"/>
  <c r="I1242" i="6"/>
  <c r="J1242" i="6" s="1"/>
  <c r="K1242" i="6" s="1"/>
  <c r="I1226" i="6"/>
  <c r="J1226" i="6" s="1"/>
  <c r="K1226" i="6" s="1"/>
  <c r="I1213" i="6"/>
  <c r="J1213" i="6" s="1"/>
  <c r="K1213" i="6" s="1"/>
  <c r="I1197" i="6"/>
  <c r="J1197" i="6" s="1"/>
  <c r="I1238" i="6"/>
  <c r="J1238" i="6" s="1"/>
  <c r="K1238" i="6" s="1"/>
  <c r="I1222" i="6"/>
  <c r="J1222" i="6" s="1"/>
  <c r="K1222" i="6" s="1"/>
  <c r="I1209" i="6"/>
  <c r="J1209" i="6" s="1"/>
  <c r="K1209" i="6" s="1"/>
  <c r="I1234" i="6"/>
  <c r="J1234" i="6" s="1"/>
  <c r="I1194" i="6"/>
  <c r="J1194" i="6" s="1"/>
  <c r="K1194" i="6" s="1"/>
  <c r="I1177" i="6"/>
  <c r="J1177" i="6" s="1"/>
  <c r="K1177" i="6" s="1"/>
  <c r="J1155" i="6"/>
  <c r="K1155" i="6" s="1"/>
  <c r="I1167" i="6"/>
  <c r="J1167" i="6" s="1"/>
  <c r="I1182" i="6"/>
  <c r="J1182" i="6" s="1"/>
  <c r="I1145" i="6"/>
  <c r="J1145" i="6" s="1"/>
  <c r="I1097" i="6"/>
  <c r="J1097" i="6" s="1"/>
  <c r="J1084" i="6"/>
  <c r="I1151" i="6"/>
  <c r="J1151" i="6" s="1"/>
  <c r="I1116" i="6"/>
  <c r="J1116" i="6" s="1"/>
  <c r="I1107" i="6"/>
  <c r="J1107" i="6" s="1"/>
  <c r="I1124" i="6"/>
  <c r="J1124" i="6" s="1"/>
  <c r="I1109" i="6"/>
  <c r="J1109" i="6" s="1"/>
  <c r="I1081" i="6"/>
  <c r="J1081" i="6" s="1"/>
  <c r="J1059" i="6"/>
  <c r="I1043" i="6"/>
  <c r="J1043" i="6" s="1"/>
  <c r="J933" i="6"/>
  <c r="I901" i="6"/>
  <c r="J901" i="6" s="1"/>
  <c r="J885" i="6"/>
  <c r="I853" i="6"/>
  <c r="J853" i="6" s="1"/>
  <c r="I1089" i="6"/>
  <c r="J1089" i="6" s="1"/>
  <c r="I1061" i="6"/>
  <c r="J1061" i="6" s="1"/>
  <c r="I1045" i="6"/>
  <c r="J1045" i="6" s="1"/>
  <c r="I1027" i="6"/>
  <c r="J1027" i="6" s="1"/>
  <c r="J977" i="6"/>
  <c r="I1137" i="6"/>
  <c r="J1137" i="6" s="1"/>
  <c r="J1029" i="6"/>
  <c r="I937" i="6"/>
  <c r="J937" i="6" s="1"/>
  <c r="I921" i="6"/>
  <c r="J921" i="6" s="1"/>
  <c r="I905" i="6"/>
  <c r="J905" i="6" s="1"/>
  <c r="I889" i="6"/>
  <c r="J889" i="6" s="1"/>
  <c r="I865" i="6"/>
  <c r="J865" i="6" s="1"/>
  <c r="I955" i="6"/>
  <c r="J955" i="6" s="1"/>
  <c r="I863" i="6"/>
  <c r="J863" i="6" s="1"/>
  <c r="I783" i="6"/>
  <c r="J783" i="6" s="1"/>
  <c r="I928" i="6"/>
  <c r="J928" i="6" s="1"/>
  <c r="I1178" i="6"/>
  <c r="J1178" i="6" s="1"/>
  <c r="I1397" i="6"/>
  <c r="J1397" i="6" s="1"/>
  <c r="I1391" i="6"/>
  <c r="J1391" i="6" s="1"/>
  <c r="I1004" i="6"/>
  <c r="J1004" i="6" s="1"/>
  <c r="I927" i="6"/>
  <c r="J927" i="6" s="1"/>
  <c r="I1007" i="6"/>
  <c r="J1007" i="6" s="1"/>
  <c r="I999" i="6"/>
  <c r="J999" i="6" s="1"/>
  <c r="I967" i="6"/>
  <c r="J967" i="6" s="1"/>
  <c r="I1020" i="6"/>
  <c r="J1020" i="6" s="1"/>
  <c r="I884" i="6"/>
  <c r="J884" i="6" s="1"/>
  <c r="I855" i="6"/>
  <c r="J855" i="6" s="1"/>
  <c r="J831" i="6"/>
  <c r="J785" i="6"/>
  <c r="I761" i="6"/>
  <c r="J761" i="6" s="1"/>
  <c r="I753" i="6"/>
  <c r="J753" i="6" s="1"/>
  <c r="I733" i="6"/>
  <c r="J733" i="6" s="1"/>
  <c r="I725" i="6"/>
  <c r="J725" i="6" s="1"/>
  <c r="I1317" i="6"/>
  <c r="J1317" i="6" s="1"/>
  <c r="I1274" i="6"/>
  <c r="J1274" i="6" s="1"/>
  <c r="I1215" i="6"/>
  <c r="J1215" i="6" s="1"/>
  <c r="I1076" i="6"/>
  <c r="J1076" i="6" s="1"/>
  <c r="I1259" i="6"/>
  <c r="J1259" i="6" s="1"/>
  <c r="I1094" i="6"/>
  <c r="J1094" i="6" s="1"/>
  <c r="J1152" i="6"/>
  <c r="I912" i="6"/>
  <c r="J912" i="6" s="1"/>
  <c r="I995" i="6"/>
  <c r="J995" i="6" s="1"/>
  <c r="I1016" i="6"/>
  <c r="J1016" i="6" s="1"/>
  <c r="I1072" i="6"/>
  <c r="J1072" i="6" s="1"/>
  <c r="I1207" i="6"/>
  <c r="J1207" i="6" s="1"/>
  <c r="I1158" i="6"/>
  <c r="J1158" i="6" s="1"/>
  <c r="I1086" i="6"/>
  <c r="J1086" i="6" s="1"/>
  <c r="J832" i="6"/>
  <c r="K1360" i="6"/>
  <c r="M1360" i="6" s="1"/>
  <c r="I1309" i="6"/>
  <c r="J1309" i="6" s="1"/>
  <c r="I1310" i="6"/>
  <c r="J1310" i="6" s="1"/>
  <c r="I890" i="6"/>
  <c r="J890" i="6" s="1"/>
  <c r="I876" i="6"/>
  <c r="J876" i="6" s="1"/>
  <c r="K876" i="6" s="1"/>
  <c r="I843" i="6"/>
  <c r="J843" i="6" s="1"/>
  <c r="I820" i="6"/>
  <c r="J820" i="6" s="1"/>
  <c r="I786" i="6"/>
  <c r="J786" i="6" s="1"/>
  <c r="I1141" i="6"/>
  <c r="J1141" i="6" s="1"/>
  <c r="I986" i="6"/>
  <c r="J986" i="6" s="1"/>
  <c r="I939" i="6"/>
  <c r="J939" i="6" s="1"/>
  <c r="I866" i="6"/>
  <c r="J866" i="6" s="1"/>
  <c r="I827" i="6"/>
  <c r="J827" i="6" s="1"/>
  <c r="I1219" i="6"/>
  <c r="J1219" i="6" s="1"/>
  <c r="I987" i="6"/>
  <c r="J987" i="6" s="1"/>
  <c r="I944" i="6"/>
  <c r="J944" i="6" s="1"/>
  <c r="I988" i="6"/>
  <c r="J988" i="6" s="1"/>
  <c r="I1342" i="6"/>
  <c r="J1342" i="6" s="1"/>
  <c r="K1342" i="6" s="1"/>
  <c r="I1176" i="6"/>
  <c r="J1176" i="6" s="1"/>
  <c r="I1010" i="6"/>
  <c r="J1010" i="6" s="1"/>
  <c r="I1028" i="6"/>
  <c r="J1028" i="6" s="1"/>
  <c r="I864" i="6"/>
  <c r="J864" i="6" s="1"/>
  <c r="I1301" i="6"/>
  <c r="J1301" i="6" s="1"/>
  <c r="I1134" i="6"/>
  <c r="J1134" i="6" s="1"/>
  <c r="J886" i="6"/>
  <c r="K886" i="6" s="1"/>
  <c r="I1191" i="6"/>
  <c r="J1191" i="6" s="1"/>
  <c r="I1057" i="6"/>
  <c r="I1102" i="6"/>
  <c r="J1102" i="6" s="1"/>
  <c r="I1286" i="6"/>
  <c r="I1278" i="6"/>
  <c r="J1278" i="6" s="1"/>
  <c r="K1278" i="6" s="1"/>
  <c r="I774" i="6"/>
  <c r="J774" i="6" s="1"/>
  <c r="I758" i="6"/>
  <c r="J758" i="6" s="1"/>
  <c r="K758" i="6" s="1"/>
  <c r="M758" i="6" s="1"/>
  <c r="I738" i="6"/>
  <c r="J738" i="6" s="1"/>
  <c r="I756" i="6"/>
  <c r="J714" i="6"/>
  <c r="K714" i="6" s="1"/>
  <c r="M714" i="6" s="1"/>
  <c r="J787" i="6"/>
  <c r="K787" i="6" s="1"/>
  <c r="M787" i="6" s="1"/>
  <c r="J746" i="6"/>
  <c r="K746" i="6" s="1"/>
  <c r="M746" i="6" s="1"/>
  <c r="I722" i="6"/>
  <c r="J722" i="6" s="1"/>
  <c r="I716" i="6"/>
  <c r="J716" i="6" s="1"/>
  <c r="K716" i="6" s="1"/>
  <c r="I723" i="6"/>
  <c r="J723" i="6" s="1"/>
  <c r="I797" i="6"/>
  <c r="J797" i="6" s="1"/>
  <c r="I728" i="6"/>
  <c r="J728" i="6" s="1"/>
  <c r="I804" i="6"/>
  <c r="J804" i="6" s="1"/>
  <c r="I754" i="6"/>
  <c r="J754" i="6" s="1"/>
  <c r="I710" i="6"/>
  <c r="J710" i="6" s="1"/>
  <c r="I1083" i="6"/>
  <c r="J1083" i="6" s="1"/>
  <c r="I1048" i="6"/>
  <c r="J1048" i="6" s="1"/>
  <c r="I1021" i="6"/>
  <c r="J1021" i="6" s="1"/>
  <c r="I917" i="6"/>
  <c r="J917" i="6" s="1"/>
  <c r="I857" i="6"/>
  <c r="J857" i="6" s="1"/>
  <c r="I817" i="6"/>
  <c r="J817" i="6" s="1"/>
  <c r="I1139" i="6"/>
  <c r="J1139" i="6" s="1"/>
  <c r="I1000" i="6"/>
  <c r="J1000" i="6" s="1"/>
  <c r="I887" i="6"/>
  <c r="J887" i="6" s="1"/>
  <c r="I815" i="6"/>
  <c r="J815" i="6" s="1"/>
  <c r="I775" i="6"/>
  <c r="J775" i="6" s="1"/>
  <c r="K775" i="6" s="1"/>
  <c r="M775" i="6" s="1"/>
  <c r="I739" i="6"/>
  <c r="J739" i="6" s="1"/>
  <c r="I22" i="6"/>
  <c r="J22" i="6" s="1"/>
  <c r="K22" i="6" s="1"/>
  <c r="M22" i="6" s="1"/>
  <c r="I90" i="6"/>
  <c r="J90" i="6" s="1"/>
  <c r="I924" i="6"/>
  <c r="J924" i="6" s="1"/>
  <c r="I836" i="6"/>
  <c r="J836" i="6" s="1"/>
  <c r="I1216" i="6"/>
  <c r="J1216" i="6" s="1"/>
  <c r="I869" i="6"/>
  <c r="J869" i="6" s="1"/>
  <c r="I810" i="6"/>
  <c r="J810" i="6" s="1"/>
  <c r="I755" i="6"/>
  <c r="J755" i="6" s="1"/>
  <c r="I200" i="6"/>
  <c r="J200" i="6" s="1"/>
  <c r="I264" i="6"/>
  <c r="J264" i="6" s="1"/>
  <c r="I328" i="6"/>
  <c r="I392" i="6"/>
  <c r="J392" i="6" s="1"/>
  <c r="K392" i="6" s="1"/>
  <c r="M392" i="6" s="1"/>
  <c r="I456" i="6"/>
  <c r="J456" i="6" s="1"/>
  <c r="I520" i="6"/>
  <c r="J520" i="6" s="1"/>
  <c r="I648" i="6"/>
  <c r="J648" i="6" s="1"/>
  <c r="K648" i="6" s="1"/>
  <c r="M648" i="6" s="1"/>
  <c r="I1383" i="6"/>
  <c r="J1383" i="6" s="1"/>
  <c r="I1046" i="6"/>
  <c r="J1046" i="6" s="1"/>
  <c r="I9" i="6"/>
  <c r="J9" i="6" s="1"/>
  <c r="I73" i="6"/>
  <c r="J73" i="6" s="1"/>
  <c r="I137" i="6"/>
  <c r="J137" i="6" s="1"/>
  <c r="I201" i="6"/>
  <c r="J201" i="6" s="1"/>
  <c r="I265" i="6"/>
  <c r="J265" i="6" s="1"/>
  <c r="I329" i="6"/>
  <c r="J329" i="6" s="1"/>
  <c r="I457" i="6"/>
  <c r="J457" i="6" s="1"/>
  <c r="I521" i="6"/>
  <c r="J521" i="6" s="1"/>
  <c r="I649" i="6"/>
  <c r="J649" i="6" s="1"/>
  <c r="I1270" i="6"/>
  <c r="J1270" i="6" s="1"/>
  <c r="I1376" i="6"/>
  <c r="J1376" i="6" s="1"/>
  <c r="I711" i="6"/>
  <c r="J711" i="6" s="1"/>
  <c r="I938" i="6"/>
  <c r="J938" i="6" s="1"/>
  <c r="I71" i="6"/>
  <c r="J71" i="6" s="1"/>
  <c r="I427" i="6"/>
  <c r="J427" i="6" s="1"/>
  <c r="I607" i="6"/>
  <c r="J607" i="6" s="1"/>
  <c r="I792" i="6"/>
  <c r="J792" i="6" s="1"/>
  <c r="I531" i="6"/>
  <c r="I595" i="6"/>
  <c r="J595" i="6" s="1"/>
  <c r="K595" i="6" s="1"/>
  <c r="M595" i="6" s="1"/>
  <c r="I686" i="6"/>
  <c r="J686" i="6" s="1"/>
  <c r="I580" i="6"/>
  <c r="J580" i="6" s="1"/>
  <c r="I573" i="6"/>
  <c r="I699" i="6"/>
  <c r="J699" i="6" s="1"/>
  <c r="K699" i="6" s="1"/>
  <c r="M699" i="6" s="1"/>
  <c r="I16" i="6"/>
  <c r="I516" i="6"/>
  <c r="J516" i="6" s="1"/>
  <c r="I180" i="6"/>
  <c r="I244" i="6"/>
  <c r="J244" i="6" s="1"/>
  <c r="K244" i="6" s="1"/>
  <c r="M244" i="6" s="1"/>
  <c r="I311" i="6"/>
  <c r="J311" i="6" s="1"/>
  <c r="I325" i="6"/>
  <c r="J325" i="6" s="1"/>
  <c r="I362" i="6"/>
  <c r="J362" i="6" s="1"/>
  <c r="I497" i="6"/>
  <c r="J497" i="6" s="1"/>
  <c r="K497" i="6" s="1"/>
  <c r="M497" i="6" s="1"/>
  <c r="I275" i="6"/>
  <c r="J275" i="6" s="1"/>
  <c r="I307" i="6"/>
  <c r="J307" i="6" s="1"/>
  <c r="I165" i="6"/>
  <c r="I176" i="6"/>
  <c r="J176" i="6" s="1"/>
  <c r="K176" i="6" s="1"/>
  <c r="M176" i="6" s="1"/>
  <c r="I299" i="6"/>
  <c r="I342" i="6"/>
  <c r="J342" i="6" s="1"/>
  <c r="I256" i="6"/>
  <c r="J256" i="6" s="1"/>
  <c r="I235" i="6"/>
  <c r="J235" i="6" s="1"/>
  <c r="I291" i="6"/>
  <c r="J291" i="6" s="1"/>
  <c r="I535" i="6"/>
  <c r="J535" i="6" s="1"/>
  <c r="K535" i="6" s="1"/>
  <c r="M535" i="6" s="1"/>
  <c r="I631" i="6"/>
  <c r="I542" i="6"/>
  <c r="J542" i="6" s="1"/>
  <c r="K542" i="6" s="1"/>
  <c r="M542" i="6" s="1"/>
  <c r="I375" i="6"/>
  <c r="I468" i="6"/>
  <c r="J468" i="6" s="1"/>
  <c r="I674" i="6"/>
  <c r="I561" i="6"/>
  <c r="J561" i="6" s="1"/>
  <c r="I688" i="6"/>
  <c r="J688" i="6" s="1"/>
  <c r="J563" i="6"/>
  <c r="I44" i="6"/>
  <c r="J44" i="6" s="1"/>
  <c r="I52" i="6"/>
  <c r="J52" i="6" s="1"/>
  <c r="K52" i="6" s="1"/>
  <c r="M52" i="6" s="1"/>
  <c r="I524" i="6"/>
  <c r="I614" i="6"/>
  <c r="J614" i="6" s="1"/>
  <c r="K614" i="6" s="1"/>
  <c r="M614" i="6" s="1"/>
  <c r="I315" i="6"/>
  <c r="J315" i="6" s="1"/>
  <c r="K315" i="6" s="1"/>
  <c r="M315" i="6" s="1"/>
  <c r="J239" i="6"/>
  <c r="K239" i="6" s="1"/>
  <c r="M239" i="6" s="1"/>
  <c r="I193" i="6"/>
  <c r="J193" i="6" s="1"/>
  <c r="I97" i="6"/>
  <c r="J97" i="6" s="1"/>
  <c r="K97" i="6" s="1"/>
  <c r="M97" i="6" s="1"/>
  <c r="J584" i="6"/>
  <c r="K584" i="6" s="1"/>
  <c r="M584" i="6" s="1"/>
  <c r="I160" i="6"/>
  <c r="J160" i="6" s="1"/>
  <c r="K160" i="6" s="1"/>
  <c r="M160" i="6" s="1"/>
  <c r="I322" i="6"/>
  <c r="I603" i="6"/>
  <c r="J603" i="6" s="1"/>
  <c r="K603" i="6" s="1"/>
  <c r="M603" i="6" s="1"/>
  <c r="I502" i="6"/>
  <c r="J502" i="6" s="1"/>
  <c r="K502" i="6" s="1"/>
  <c r="M502" i="6" s="1"/>
  <c r="I385" i="6"/>
  <c r="J385" i="6" s="1"/>
  <c r="K385" i="6" s="1"/>
  <c r="M385" i="6" s="1"/>
  <c r="I294" i="6"/>
  <c r="J294" i="6" s="1"/>
  <c r="K294" i="6" s="1"/>
  <c r="M294" i="6" s="1"/>
  <c r="I369" i="6"/>
  <c r="J369" i="6" s="1"/>
  <c r="K369" i="6" s="1"/>
  <c r="M369" i="6" s="1"/>
  <c r="I490" i="6"/>
  <c r="J569" i="6"/>
  <c r="K569" i="6" s="1"/>
  <c r="M569" i="6" s="1"/>
  <c r="I700" i="6"/>
  <c r="J700" i="6" s="1"/>
  <c r="J585" i="6"/>
  <c r="K585" i="6" s="1"/>
  <c r="M585" i="6" s="1"/>
  <c r="I444" i="6"/>
  <c r="J444" i="6" s="1"/>
  <c r="I155" i="6"/>
  <c r="I540" i="6"/>
  <c r="J540" i="6" s="1"/>
  <c r="I1378" i="6"/>
  <c r="J1378" i="6" s="1"/>
  <c r="I1379" i="6"/>
  <c r="J1379" i="6" s="1"/>
  <c r="J1398" i="6"/>
  <c r="J1335" i="6"/>
  <c r="I1328" i="6"/>
  <c r="J1328" i="6" s="1"/>
  <c r="I1275" i="6"/>
  <c r="J1275" i="6" s="1"/>
  <c r="I1264" i="6"/>
  <c r="J1264" i="6" s="1"/>
  <c r="J1224" i="6"/>
  <c r="K1224" i="6" s="1"/>
  <c r="I1189" i="6"/>
  <c r="J1189" i="6" s="1"/>
  <c r="I1143" i="6"/>
  <c r="J1143" i="6" s="1"/>
  <c r="I1190" i="6"/>
  <c r="J1190" i="6" s="1"/>
  <c r="I1013" i="6"/>
  <c r="J1013" i="6" s="1"/>
  <c r="J925" i="6"/>
  <c r="I861" i="6"/>
  <c r="J861" i="6" s="1"/>
  <c r="J1091" i="6"/>
  <c r="I1053" i="6"/>
  <c r="J1053" i="6" s="1"/>
  <c r="I1095" i="6"/>
  <c r="J1095" i="6" s="1"/>
  <c r="I989" i="6"/>
  <c r="J989" i="6" s="1"/>
  <c r="I881" i="6"/>
  <c r="J881" i="6" s="1"/>
  <c r="I1077" i="6"/>
  <c r="J1077" i="6" s="1"/>
  <c r="K1077" i="6" s="1"/>
  <c r="I969" i="6"/>
  <c r="J969" i="6" s="1"/>
  <c r="J791" i="6"/>
  <c r="I1164" i="6"/>
  <c r="J1164" i="6" s="1"/>
  <c r="K1164" i="6" s="1"/>
  <c r="I998" i="6"/>
  <c r="J998" i="6" s="1"/>
  <c r="K998" i="6" s="1"/>
  <c r="I851" i="6"/>
  <c r="J851" i="6" s="1"/>
  <c r="I777" i="6"/>
  <c r="J777" i="6" s="1"/>
  <c r="I749" i="6"/>
  <c r="J749" i="6" s="1"/>
  <c r="I721" i="6"/>
  <c r="J721" i="6" s="1"/>
  <c r="I1206" i="6"/>
  <c r="J1206" i="6" s="1"/>
  <c r="I1168" i="6"/>
  <c r="J1168" i="6" s="1"/>
  <c r="I1136" i="6"/>
  <c r="J1136" i="6" s="1"/>
  <c r="I1172" i="6"/>
  <c r="J1172" i="6" s="1"/>
  <c r="I1162" i="6"/>
  <c r="J1162" i="6" s="1"/>
  <c r="I1128" i="6"/>
  <c r="J1128" i="6" s="1"/>
  <c r="I1033" i="6"/>
  <c r="J1033" i="6" s="1"/>
  <c r="I1361" i="6"/>
  <c r="J1361" i="6" s="1"/>
  <c r="I1014" i="6"/>
  <c r="J1014" i="6" s="1"/>
  <c r="I906" i="6"/>
  <c r="J906" i="6" s="1"/>
  <c r="I891" i="6"/>
  <c r="J891" i="6" s="1"/>
  <c r="I974" i="6"/>
  <c r="J974" i="6" s="1"/>
  <c r="I1296" i="6"/>
  <c r="J1296" i="6" s="1"/>
  <c r="I1062" i="6"/>
  <c r="J1062" i="6" s="1"/>
  <c r="J904" i="6"/>
  <c r="I1358" i="6"/>
  <c r="J1358" i="6" s="1"/>
  <c r="I972" i="6"/>
  <c r="J972" i="6" s="1"/>
  <c r="J1338" i="6"/>
  <c r="I871" i="6"/>
  <c r="J871" i="6" s="1"/>
  <c r="K871" i="6" s="1"/>
  <c r="M871" i="6" s="1"/>
  <c r="I750" i="6"/>
  <c r="J750" i="6" s="1"/>
  <c r="K750" i="6" s="1"/>
  <c r="M750" i="6" s="1"/>
  <c r="J763" i="6"/>
  <c r="I1322" i="6"/>
  <c r="J1322" i="6" s="1"/>
  <c r="I1351" i="6"/>
  <c r="J1351" i="6" s="1"/>
  <c r="I617" i="6"/>
  <c r="J617" i="6" s="1"/>
  <c r="K617" i="6" s="1"/>
  <c r="M617" i="6" s="1"/>
  <c r="I331" i="6"/>
  <c r="J331" i="6" s="1"/>
  <c r="I18" i="6"/>
  <c r="J18" i="6" s="1"/>
  <c r="I274" i="6"/>
  <c r="J274" i="6" s="1"/>
  <c r="I403" i="6"/>
  <c r="J403" i="6" s="1"/>
  <c r="I483" i="6"/>
  <c r="J483" i="6" s="1"/>
  <c r="I587" i="6"/>
  <c r="J587" i="6" s="1"/>
  <c r="I622" i="6"/>
  <c r="J622" i="6" s="1"/>
  <c r="I646" i="6"/>
  <c r="J646" i="6" s="1"/>
  <c r="I678" i="6"/>
  <c r="J678" i="6" s="1"/>
  <c r="I174" i="6"/>
  <c r="J174" i="6" s="1"/>
  <c r="I407" i="6"/>
  <c r="J407" i="6" s="1"/>
  <c r="I565" i="6"/>
  <c r="J565" i="6" s="1"/>
  <c r="I611" i="6"/>
  <c r="J611" i="6" s="1"/>
  <c r="I651" i="6"/>
  <c r="J651" i="6" s="1"/>
  <c r="I679" i="6"/>
  <c r="J679" i="6" s="1"/>
  <c r="I695" i="6"/>
  <c r="J695" i="6" s="1"/>
  <c r="I364" i="6"/>
  <c r="J364" i="6" s="1"/>
  <c r="I410" i="6"/>
  <c r="J410" i="6" s="1"/>
  <c r="I13" i="6"/>
  <c r="J13" i="6" s="1"/>
  <c r="I368" i="6"/>
  <c r="J368" i="6" s="1"/>
  <c r="I15" i="6"/>
  <c r="J15" i="6" s="1"/>
  <c r="I592" i="6"/>
  <c r="J592" i="6" s="1"/>
  <c r="I197" i="6"/>
  <c r="J197" i="6" s="1"/>
  <c r="I31" i="6"/>
  <c r="J31" i="6" s="1"/>
  <c r="I219" i="6"/>
  <c r="J219" i="6" s="1"/>
  <c r="I245" i="6"/>
  <c r="J245" i="6" s="1"/>
  <c r="I590" i="6"/>
  <c r="J590" i="6" s="1"/>
  <c r="I588" i="6"/>
  <c r="J588" i="6" s="1"/>
  <c r="I288" i="6"/>
  <c r="J288" i="6" s="1"/>
  <c r="I30" i="6"/>
  <c r="J30" i="6" s="1"/>
  <c r="I426" i="6"/>
  <c r="J426" i="6" s="1"/>
  <c r="I36" i="6"/>
  <c r="J36" i="6" s="1"/>
  <c r="I289" i="6"/>
  <c r="J289" i="6" s="1"/>
  <c r="I433" i="6"/>
  <c r="J433" i="6" s="1"/>
  <c r="I173" i="6"/>
  <c r="J173" i="6" s="1"/>
  <c r="I45" i="6"/>
  <c r="J45" i="6" s="1"/>
  <c r="I47" i="6"/>
  <c r="J47" i="6" s="1"/>
  <c r="I438" i="6"/>
  <c r="J438" i="6" s="1"/>
  <c r="I53" i="6"/>
  <c r="J53" i="6" s="1"/>
  <c r="I238" i="6"/>
  <c r="J238" i="6" s="1"/>
  <c r="J57" i="6"/>
  <c r="K57" i="6" s="1"/>
  <c r="M57" i="6" s="1"/>
  <c r="I319" i="6"/>
  <c r="J319" i="6" s="1"/>
  <c r="I60" i="6"/>
  <c r="J60" i="6" s="1"/>
  <c r="J184" i="6"/>
  <c r="K184" i="6" s="1"/>
  <c r="M184" i="6" s="1"/>
  <c r="I64" i="6"/>
  <c r="J64" i="6" s="1"/>
  <c r="I227" i="6"/>
  <c r="J227" i="6" s="1"/>
  <c r="I187" i="6"/>
  <c r="J187" i="6" s="1"/>
  <c r="I76" i="6"/>
  <c r="J76" i="6" s="1"/>
  <c r="K76" i="6" s="1"/>
  <c r="M76" i="6" s="1"/>
  <c r="J249" i="6"/>
  <c r="K249" i="6" s="1"/>
  <c r="M249" i="6" s="1"/>
  <c r="I79" i="6"/>
  <c r="J79" i="6" s="1"/>
  <c r="I164" i="6"/>
  <c r="J164" i="6" s="1"/>
  <c r="I204" i="6"/>
  <c r="J204" i="6" s="1"/>
  <c r="I92" i="6"/>
  <c r="J92" i="6" s="1"/>
  <c r="I138" i="6"/>
  <c r="J138" i="6" s="1"/>
  <c r="I96" i="6"/>
  <c r="J96" i="6" s="1"/>
  <c r="I317" i="6"/>
  <c r="J317" i="6" s="1"/>
  <c r="I157" i="6"/>
  <c r="J157" i="6" s="1"/>
  <c r="I336" i="6"/>
  <c r="J336" i="6" s="1"/>
  <c r="I418" i="6"/>
  <c r="J418" i="6" s="1"/>
  <c r="I594" i="6"/>
  <c r="J594" i="6" s="1"/>
  <c r="I346" i="6"/>
  <c r="J346" i="6" s="1"/>
  <c r="I437" i="6"/>
  <c r="J437" i="6" s="1"/>
  <c r="I432" i="6"/>
  <c r="J432" i="6" s="1"/>
  <c r="I268" i="6"/>
  <c r="J268" i="6" s="1"/>
  <c r="I508" i="6"/>
  <c r="J508" i="6" s="1"/>
  <c r="I186" i="6"/>
  <c r="J186" i="6" s="1"/>
  <c r="I324" i="6"/>
  <c r="J324" i="6" s="1"/>
  <c r="J441" i="6"/>
  <c r="K441" i="6" s="1"/>
  <c r="M441" i="6" s="1"/>
  <c r="I357" i="6"/>
  <c r="J357" i="6" s="1"/>
  <c r="I272" i="6"/>
  <c r="J272" i="6" s="1"/>
  <c r="I223" i="6"/>
  <c r="J223" i="6" s="1"/>
  <c r="I544" i="6"/>
  <c r="J544" i="6" s="1"/>
  <c r="J424" i="6"/>
  <c r="K424" i="6" s="1"/>
  <c r="M424" i="6" s="1"/>
  <c r="I578" i="6"/>
  <c r="J578" i="6" s="1"/>
  <c r="I604" i="6"/>
  <c r="J604" i="6" s="1"/>
  <c r="I474" i="6"/>
  <c r="J474" i="6" s="1"/>
  <c r="J504" i="6"/>
  <c r="K504" i="6" s="1"/>
  <c r="M504" i="6" s="1"/>
  <c r="I411" i="6"/>
  <c r="J411" i="6" s="1"/>
  <c r="I689" i="6"/>
  <c r="J689" i="6" s="1"/>
  <c r="I442" i="6"/>
  <c r="J442" i="6" s="1"/>
  <c r="J3" i="6"/>
  <c r="K3" i="6" s="1"/>
  <c r="M3" i="6" s="1"/>
  <c r="J8" i="6"/>
  <c r="K8" i="6" s="1"/>
  <c r="M8" i="6" s="1"/>
  <c r="J72" i="6"/>
  <c r="K72" i="6" s="1"/>
  <c r="M72" i="6" s="1"/>
  <c r="I70" i="6"/>
  <c r="J70" i="6" s="1"/>
  <c r="I237" i="6"/>
  <c r="J237" i="6" s="1"/>
  <c r="I26" i="6"/>
  <c r="J26" i="6" s="1"/>
  <c r="I19" i="6"/>
  <c r="J19" i="6" s="1"/>
  <c r="K19" i="6" s="1"/>
  <c r="M19" i="6" s="1"/>
  <c r="I672" i="6"/>
  <c r="J672" i="6" s="1"/>
  <c r="I522" i="6"/>
  <c r="J522" i="6" s="1"/>
  <c r="I373" i="6"/>
  <c r="J373" i="6" s="1"/>
  <c r="I21" i="6"/>
  <c r="J21" i="6" s="1"/>
  <c r="K21" i="6" s="1"/>
  <c r="M21" i="6" s="1"/>
  <c r="I551" i="6"/>
  <c r="J551" i="6" s="1"/>
  <c r="I447" i="6"/>
  <c r="J447" i="6" s="1"/>
  <c r="I381" i="6"/>
  <c r="J381" i="6" s="1"/>
  <c r="I416" i="6"/>
  <c r="J416" i="6" s="1"/>
  <c r="K416" i="6" s="1"/>
  <c r="M416" i="6" s="1"/>
  <c r="I415" i="6"/>
  <c r="J415" i="6" s="1"/>
  <c r="I241" i="6"/>
  <c r="J241" i="6" s="1"/>
  <c r="I162" i="6"/>
  <c r="J162" i="6" s="1"/>
  <c r="I559" i="6"/>
  <c r="J559" i="6" s="1"/>
  <c r="K559" i="6" s="1"/>
  <c r="M559" i="6" s="1"/>
  <c r="I86" i="6"/>
  <c r="J86" i="6" s="1"/>
  <c r="I131" i="6"/>
  <c r="J131" i="6" s="1"/>
  <c r="I35" i="6"/>
  <c r="J35" i="6" s="1"/>
  <c r="I657" i="6"/>
  <c r="J657" i="6" s="1"/>
  <c r="K657" i="6" s="1"/>
  <c r="M657" i="6" s="1"/>
  <c r="I171" i="6"/>
  <c r="J171" i="6" s="1"/>
  <c r="I436" i="6"/>
  <c r="J436" i="6" s="1"/>
  <c r="I390" i="6"/>
  <c r="J390" i="6" s="1"/>
  <c r="I208" i="6"/>
  <c r="J208" i="6" s="1"/>
  <c r="K208" i="6" s="1"/>
  <c r="M208" i="6" s="1"/>
  <c r="I46" i="6"/>
  <c r="J46" i="6" s="1"/>
  <c r="I91" i="6"/>
  <c r="J91" i="6" s="1"/>
  <c r="I626" i="6"/>
  <c r="J626" i="6" s="1"/>
  <c r="I270" i="6"/>
  <c r="J270" i="6" s="1"/>
  <c r="K270" i="6" s="1"/>
  <c r="M270" i="6" s="1"/>
  <c r="I212" i="6"/>
  <c r="J212" i="6" s="1"/>
  <c r="J54" i="6"/>
  <c r="K54" i="6" s="1"/>
  <c r="M54" i="6" s="1"/>
  <c r="I58" i="6"/>
  <c r="J58" i="6" s="1"/>
  <c r="I205" i="6"/>
  <c r="J205" i="6" s="1"/>
  <c r="I259" i="6"/>
  <c r="J259" i="6" s="1"/>
  <c r="I445" i="6"/>
  <c r="J445" i="6" s="1"/>
  <c r="K445" i="6" s="1"/>
  <c r="M445" i="6" s="1"/>
  <c r="I68" i="6"/>
  <c r="J68" i="6" s="1"/>
  <c r="I101" i="6"/>
  <c r="J101" i="6" s="1"/>
  <c r="I225" i="6"/>
  <c r="J225" i="6" s="1"/>
  <c r="J74" i="6"/>
  <c r="K74" i="6" s="1"/>
  <c r="M74" i="6" s="1"/>
  <c r="I234" i="6"/>
  <c r="J234" i="6" s="1"/>
  <c r="J248" i="6"/>
  <c r="K248" i="6" s="1"/>
  <c r="M248" i="6" s="1"/>
  <c r="I372" i="6"/>
  <c r="J372" i="6" s="1"/>
  <c r="K372" i="6" s="1"/>
  <c r="M372" i="6" s="1"/>
  <c r="I548" i="6"/>
  <c r="J548" i="6" s="1"/>
  <c r="I624" i="6"/>
  <c r="J624" i="6" s="1"/>
  <c r="J393" i="6"/>
  <c r="K393" i="6" s="1"/>
  <c r="M393" i="6" s="1"/>
  <c r="I135" i="6"/>
  <c r="J135" i="6" s="1"/>
  <c r="K135" i="6" s="1"/>
  <c r="M135" i="6" s="1"/>
  <c r="I353" i="6"/>
  <c r="J353" i="6" s="1"/>
  <c r="I507" i="6"/>
  <c r="J507" i="6" s="1"/>
  <c r="K507" i="6" s="1"/>
  <c r="M507" i="6" s="1"/>
  <c r="I583" i="6"/>
  <c r="J583" i="6" s="1"/>
  <c r="I106" i="6"/>
  <c r="J106" i="6" s="1"/>
  <c r="K106" i="6" s="1"/>
  <c r="M106" i="6" s="1"/>
  <c r="I108" i="6"/>
  <c r="J108" i="6" s="1"/>
  <c r="I192" i="6"/>
  <c r="J192" i="6" s="1"/>
  <c r="K192" i="6" s="1"/>
  <c r="M192" i="6" s="1"/>
  <c r="I518" i="6"/>
  <c r="J518" i="6" s="1"/>
  <c r="I123" i="6"/>
  <c r="J123" i="6" s="1"/>
  <c r="K123" i="6" s="1"/>
  <c r="M123" i="6" s="1"/>
  <c r="I163" i="6"/>
  <c r="J163" i="6" s="1"/>
  <c r="I386" i="6"/>
  <c r="J386" i="6" s="1"/>
  <c r="K386" i="6" s="1"/>
  <c r="M386" i="6" s="1"/>
  <c r="I181" i="6"/>
  <c r="J181" i="6" s="1"/>
  <c r="I129" i="6"/>
  <c r="J129" i="6" s="1"/>
  <c r="K129" i="6" s="1"/>
  <c r="M129" i="6" s="1"/>
  <c r="I132" i="6"/>
  <c r="J132" i="6" s="1"/>
  <c r="J136" i="6"/>
  <c r="K136" i="6" s="1"/>
  <c r="M136" i="6" s="1"/>
  <c r="I145" i="6"/>
  <c r="J145" i="6" s="1"/>
  <c r="I156" i="6"/>
  <c r="J156" i="6" s="1"/>
  <c r="J185" i="6"/>
  <c r="K185" i="6" s="1"/>
  <c r="M185" i="6" s="1"/>
  <c r="I211" i="6"/>
  <c r="J211" i="6" s="1"/>
  <c r="K211" i="6" s="1"/>
  <c r="M211" i="6" s="1"/>
  <c r="I228" i="6"/>
  <c r="J228" i="6" s="1"/>
  <c r="I263" i="6"/>
  <c r="J263" i="6" s="1"/>
  <c r="K263" i="6" s="1"/>
  <c r="M263" i="6" s="1"/>
  <c r="I670" i="6"/>
  <c r="J670" i="6" s="1"/>
  <c r="I499" i="6"/>
  <c r="J499" i="6" s="1"/>
  <c r="I562" i="6"/>
  <c r="J562" i="6" s="1"/>
  <c r="I464" i="6"/>
  <c r="J464" i="6" s="1"/>
  <c r="K464" i="6" s="1"/>
  <c r="M464" i="6" s="1"/>
  <c r="I405" i="6"/>
  <c r="J405" i="6" s="1"/>
  <c r="I577" i="6"/>
  <c r="J577" i="6" s="1"/>
  <c r="K577" i="6" s="1"/>
  <c r="M577" i="6" s="1"/>
  <c r="I399" i="6"/>
  <c r="J399" i="6" s="1"/>
  <c r="I130" i="6"/>
  <c r="J130" i="6" s="1"/>
  <c r="K130" i="6" s="1"/>
  <c r="M130" i="6" s="1"/>
  <c r="I697" i="6"/>
  <c r="J697" i="6" s="1"/>
  <c r="I545" i="6"/>
  <c r="J545" i="6" s="1"/>
  <c r="K545" i="6" s="1"/>
  <c r="M545" i="6" s="1"/>
  <c r="I685" i="6"/>
  <c r="J685" i="6" s="1"/>
  <c r="I637" i="6"/>
  <c r="J637" i="6" s="1"/>
  <c r="K637" i="6" s="1"/>
  <c r="M637" i="6" s="1"/>
  <c r="I621" i="6"/>
  <c r="J621" i="6" s="1"/>
  <c r="J681" i="6"/>
  <c r="K681" i="6" s="1"/>
  <c r="M681" i="6" s="1"/>
  <c r="I495" i="6"/>
  <c r="J495" i="6" s="1"/>
  <c r="I641" i="6"/>
  <c r="J641" i="6" s="1"/>
  <c r="I613" i="6"/>
  <c r="J613" i="6" s="1"/>
  <c r="I511" i="6"/>
  <c r="J511" i="6" s="1"/>
  <c r="I475" i="6"/>
  <c r="J475" i="6" s="1"/>
  <c r="J616" i="6"/>
  <c r="K616" i="6" s="1"/>
  <c r="M616" i="6" s="1"/>
  <c r="I527" i="6"/>
  <c r="I523" i="6"/>
  <c r="J523" i="6" s="1"/>
  <c r="K523" i="6" s="1"/>
  <c r="M523" i="6" s="1"/>
  <c r="I628" i="6"/>
  <c r="J628" i="6" s="1"/>
  <c r="K628" i="6" s="1"/>
  <c r="M628" i="6" s="1"/>
  <c r="I491" i="6"/>
  <c r="J491" i="6" s="1"/>
  <c r="K491" i="6" s="1"/>
  <c r="M491" i="6" s="1"/>
  <c r="I354" i="6"/>
  <c r="I1401" i="6"/>
  <c r="J1401" i="6" s="1"/>
  <c r="I1388" i="6"/>
  <c r="I1382" i="6"/>
  <c r="J1382" i="6" s="1"/>
  <c r="I1387" i="6"/>
  <c r="J1387" i="6" s="1"/>
  <c r="I1380" i="6"/>
  <c r="J1380" i="6" s="1"/>
  <c r="I1295" i="6"/>
  <c r="J1295" i="6" s="1"/>
  <c r="I1323" i="6"/>
  <c r="J1323" i="6" s="1"/>
  <c r="K1323" i="6" s="1"/>
  <c r="I1291" i="6"/>
  <c r="J1291" i="6" s="1"/>
  <c r="I1311" i="6"/>
  <c r="J1311" i="6" s="1"/>
  <c r="I1292" i="6"/>
  <c r="J1292" i="6" s="1"/>
  <c r="I1269" i="6"/>
  <c r="J1269" i="6" s="1"/>
  <c r="I1253" i="6"/>
  <c r="J1253" i="6" s="1"/>
  <c r="I1276" i="6"/>
  <c r="J1276" i="6" s="1"/>
  <c r="J1265" i="6"/>
  <c r="I1249" i="6"/>
  <c r="J1249" i="6" s="1"/>
  <c r="I1273" i="6"/>
  <c r="J1273" i="6" s="1"/>
  <c r="I1256" i="6"/>
  <c r="J1256" i="6" s="1"/>
  <c r="I1196" i="6"/>
  <c r="J1196" i="6" s="1"/>
  <c r="I1225" i="6"/>
  <c r="J1225" i="6" s="1"/>
  <c r="I1188" i="6"/>
  <c r="J1188" i="6" s="1"/>
  <c r="I1271" i="6"/>
  <c r="J1271" i="6" s="1"/>
  <c r="I1241" i="6"/>
  <c r="J1241" i="6" s="1"/>
  <c r="I1221" i="6"/>
  <c r="J1221" i="6" s="1"/>
  <c r="I1204" i="6"/>
  <c r="J1204" i="6" s="1"/>
  <c r="K1204" i="6" s="1"/>
  <c r="I1193" i="6"/>
  <c r="J1193" i="6" s="1"/>
  <c r="I1184" i="6"/>
  <c r="J1184" i="6" s="1"/>
  <c r="I1171" i="6"/>
  <c r="J1171" i="6" s="1"/>
  <c r="I1257" i="6"/>
  <c r="J1257" i="6" s="1"/>
  <c r="J1192" i="6"/>
  <c r="J1147" i="6"/>
  <c r="I1131" i="6"/>
  <c r="J1131" i="6" s="1"/>
  <c r="I1115" i="6"/>
  <c r="J1115" i="6" s="1"/>
  <c r="I1210" i="6"/>
  <c r="J1210" i="6" s="1"/>
  <c r="I1233" i="6"/>
  <c r="J1233" i="6" s="1"/>
  <c r="I1117" i="6"/>
  <c r="J1117" i="6" s="1"/>
  <c r="I1103" i="6"/>
  <c r="J1103" i="6" s="1"/>
  <c r="I1073" i="6"/>
  <c r="J1073" i="6" s="1"/>
  <c r="I1148" i="6"/>
  <c r="J1148" i="6" s="1"/>
  <c r="J1121" i="6"/>
  <c r="K1121" i="6" s="1"/>
  <c r="J1105" i="6"/>
  <c r="I1063" i="6"/>
  <c r="J1063" i="6" s="1"/>
  <c r="I1047" i="6"/>
  <c r="J1047" i="6" s="1"/>
  <c r="I1031" i="6"/>
  <c r="J1031" i="6" s="1"/>
  <c r="I1159" i="6"/>
  <c r="J1159" i="6" s="1"/>
  <c r="I1087" i="6"/>
  <c r="J1087" i="6" s="1"/>
  <c r="I981" i="6"/>
  <c r="J981" i="6" s="1"/>
  <c r="I965" i="6"/>
  <c r="J965" i="6" s="1"/>
  <c r="J1024" i="6"/>
  <c r="I993" i="6"/>
  <c r="J993" i="6" s="1"/>
  <c r="I973" i="6"/>
  <c r="J973" i="6" s="1"/>
  <c r="I953" i="6"/>
  <c r="J953" i="6" s="1"/>
  <c r="I873" i="6"/>
  <c r="J873" i="6" s="1"/>
  <c r="I841" i="6"/>
  <c r="J841" i="6" s="1"/>
  <c r="I825" i="6"/>
  <c r="J825" i="6" s="1"/>
  <c r="I954" i="6"/>
  <c r="J954" i="6" s="1"/>
  <c r="I930" i="6"/>
  <c r="J930" i="6" s="1"/>
  <c r="I860" i="6"/>
  <c r="J860" i="6" s="1"/>
  <c r="I834" i="6"/>
  <c r="J834" i="6" s="1"/>
  <c r="I819" i="6"/>
  <c r="J819" i="6" s="1"/>
  <c r="I782" i="6"/>
  <c r="J782" i="6" s="1"/>
  <c r="J1330" i="6"/>
  <c r="I1066" i="6"/>
  <c r="J1066" i="6" s="1"/>
  <c r="I747" i="6"/>
  <c r="J747" i="6" s="1"/>
  <c r="J1068" i="6"/>
  <c r="I1393" i="6"/>
  <c r="J1393" i="6" s="1"/>
  <c r="I1365" i="6"/>
  <c r="J1365" i="6" s="1"/>
  <c r="I1272" i="6"/>
  <c r="J1272" i="6" s="1"/>
  <c r="I1038" i="6"/>
  <c r="J1038" i="6" s="1"/>
  <c r="J1267" i="6"/>
  <c r="I968" i="6"/>
  <c r="J968" i="6" s="1"/>
  <c r="I947" i="6"/>
  <c r="J947" i="6" s="1"/>
  <c r="I916" i="6"/>
  <c r="J916" i="6" s="1"/>
  <c r="I883" i="6"/>
  <c r="J883" i="6" s="1"/>
  <c r="I852" i="6"/>
  <c r="J852" i="6" s="1"/>
  <c r="I837" i="6"/>
  <c r="J837" i="6" s="1"/>
  <c r="I801" i="6"/>
  <c r="J801" i="6" s="1"/>
  <c r="I784" i="6"/>
  <c r="J784" i="6" s="1"/>
  <c r="I769" i="6"/>
  <c r="J769" i="6" s="1"/>
  <c r="I741" i="6"/>
  <c r="J741" i="6" s="1"/>
  <c r="I1142" i="6"/>
  <c r="J1142" i="6" s="1"/>
  <c r="I1006" i="6"/>
  <c r="J1006" i="6" s="1"/>
  <c r="I1074" i="6"/>
  <c r="J1074" i="6" s="1"/>
  <c r="J1298" i="6"/>
  <c r="I1166" i="6"/>
  <c r="J1166" i="6" s="1"/>
  <c r="I990" i="6"/>
  <c r="J990" i="6" s="1"/>
  <c r="I1357" i="6"/>
  <c r="J1357" i="6" s="1"/>
  <c r="K1357" i="6" s="1"/>
  <c r="I1090" i="6"/>
  <c r="J1090" i="6" s="1"/>
  <c r="J1100" i="6"/>
  <c r="I992" i="6"/>
  <c r="J992" i="6" s="1"/>
  <c r="J1314" i="6"/>
  <c r="I1250" i="6"/>
  <c r="J1250" i="6" s="1"/>
  <c r="I848" i="6"/>
  <c r="J848" i="6" s="1"/>
  <c r="I1305" i="6"/>
  <c r="J1305" i="6" s="1"/>
  <c r="I856" i="6"/>
  <c r="J856" i="6" s="1"/>
  <c r="I1156" i="6"/>
  <c r="J1156" i="6" s="1"/>
  <c r="I731" i="6"/>
  <c r="J731" i="6" s="1"/>
  <c r="I1049" i="6"/>
  <c r="J1049" i="6" s="1"/>
  <c r="I1187" i="6"/>
  <c r="J1187" i="6" s="1"/>
  <c r="I1056" i="6"/>
  <c r="J1056" i="6" s="1"/>
  <c r="J1040" i="6"/>
  <c r="I1001" i="6"/>
  <c r="J1001" i="6" s="1"/>
  <c r="I874" i="6"/>
  <c r="J874" i="6" s="1"/>
  <c r="I818" i="6"/>
  <c r="J818" i="6" s="1"/>
  <c r="I794" i="6"/>
  <c r="J794" i="6" s="1"/>
  <c r="I1092" i="6"/>
  <c r="J1092" i="6" s="1"/>
  <c r="I923" i="6"/>
  <c r="J923" i="6" s="1"/>
  <c r="I814" i="6"/>
  <c r="J814" i="6" s="1"/>
  <c r="I781" i="6"/>
  <c r="J781" i="6" s="1"/>
  <c r="I1321" i="6"/>
  <c r="J1321" i="6" s="1"/>
  <c r="J1346" i="6"/>
  <c r="K1346" i="6" s="1"/>
  <c r="I1146" i="6"/>
  <c r="J1146" i="6" s="1"/>
  <c r="I896" i="6"/>
  <c r="J896" i="6" s="1"/>
  <c r="I1373" i="6"/>
  <c r="J1373" i="6" s="1"/>
  <c r="I1003" i="6"/>
  <c r="J1003" i="6" s="1"/>
  <c r="I952" i="6"/>
  <c r="J952" i="6" s="1"/>
  <c r="I975" i="6"/>
  <c r="J975" i="6" s="1"/>
  <c r="I1008" i="6"/>
  <c r="J1008" i="6" s="1"/>
  <c r="I1223" i="6"/>
  <c r="J1223" i="6" s="1"/>
  <c r="I1294" i="6"/>
  <c r="J1294" i="6" s="1"/>
  <c r="J1183" i="6"/>
  <c r="I1114" i="6"/>
  <c r="J1114" i="6" s="1"/>
  <c r="I1096" i="6"/>
  <c r="J1096" i="6" s="1"/>
  <c r="I1312" i="6"/>
  <c r="J1312" i="6" s="1"/>
  <c r="J1399" i="6"/>
  <c r="J991" i="6"/>
  <c r="J795" i="6"/>
  <c r="I770" i="6"/>
  <c r="J770" i="6" s="1"/>
  <c r="I752" i="6"/>
  <c r="J752" i="6" s="1"/>
  <c r="I734" i="6"/>
  <c r="J734" i="6" s="1"/>
  <c r="I772" i="6"/>
  <c r="J772" i="6" s="1"/>
  <c r="J764" i="6"/>
  <c r="K764" i="6" s="1"/>
  <c r="M764" i="6" s="1"/>
  <c r="I708" i="6"/>
  <c r="J708" i="6" s="1"/>
  <c r="K708" i="6" s="1"/>
  <c r="M708" i="6" s="1"/>
  <c r="I812" i="6"/>
  <c r="J812" i="6" s="1"/>
  <c r="I740" i="6"/>
  <c r="J740" i="6" s="1"/>
  <c r="I751" i="6"/>
  <c r="J751" i="6" s="1"/>
  <c r="I875" i="6"/>
  <c r="J875" i="6" s="1"/>
  <c r="I934" i="6"/>
  <c r="J934" i="6" s="1"/>
  <c r="I719" i="6"/>
  <c r="J719" i="6" s="1"/>
  <c r="J1280" i="6"/>
  <c r="K1280" i="6" s="1"/>
  <c r="M1280" i="6" s="1"/>
  <c r="I744" i="6"/>
  <c r="J744" i="6" s="1"/>
  <c r="I702" i="6"/>
  <c r="J702" i="6" s="1"/>
  <c r="I1161" i="6"/>
  <c r="J1161" i="6" s="1"/>
  <c r="I1075" i="6"/>
  <c r="J1075" i="6" s="1"/>
  <c r="I1037" i="6"/>
  <c r="J1037" i="6" s="1"/>
  <c r="I1012" i="6"/>
  <c r="J1012" i="6" s="1"/>
  <c r="I941" i="6"/>
  <c r="J941" i="6" s="1"/>
  <c r="I849" i="6"/>
  <c r="J849" i="6" s="1"/>
  <c r="I743" i="6"/>
  <c r="J743" i="6" s="1"/>
  <c r="K743" i="6" s="1"/>
  <c r="I1120" i="6"/>
  <c r="J1120" i="6" s="1"/>
  <c r="I985" i="6"/>
  <c r="J985" i="6" s="1"/>
  <c r="I903" i="6"/>
  <c r="J903" i="6" s="1"/>
  <c r="I872" i="6"/>
  <c r="J872" i="6" s="1"/>
  <c r="I724" i="6"/>
  <c r="J724" i="6" s="1"/>
  <c r="I38" i="6"/>
  <c r="J38" i="6" s="1"/>
  <c r="I1051" i="6"/>
  <c r="J1051" i="6" s="1"/>
  <c r="I1009" i="6"/>
  <c r="J1009" i="6" s="1"/>
  <c r="I940" i="6"/>
  <c r="J940" i="6" s="1"/>
  <c r="I809" i="6"/>
  <c r="J809" i="6" s="1"/>
  <c r="I748" i="6"/>
  <c r="J748" i="6" s="1"/>
  <c r="I1251" i="6"/>
  <c r="J1251" i="6" s="1"/>
  <c r="I1208" i="6"/>
  <c r="J1208" i="6" s="1"/>
  <c r="I1175" i="6"/>
  <c r="J1175" i="6" s="1"/>
  <c r="I1129" i="6"/>
  <c r="J1129" i="6" s="1"/>
  <c r="I970" i="6"/>
  <c r="J970" i="6" s="1"/>
  <c r="I894" i="6"/>
  <c r="J894" i="6" s="1"/>
  <c r="I776" i="6"/>
  <c r="J776" i="6" s="1"/>
  <c r="I732" i="6"/>
  <c r="J732" i="6" s="1"/>
  <c r="I24" i="6"/>
  <c r="J24" i="6" s="1"/>
  <c r="I88" i="6"/>
  <c r="J88" i="6" s="1"/>
  <c r="I152" i="6"/>
  <c r="J152" i="6" s="1"/>
  <c r="I216" i="6"/>
  <c r="J216" i="6" s="1"/>
  <c r="K216" i="6" s="1"/>
  <c r="M216" i="6" s="1"/>
  <c r="I280" i="6"/>
  <c r="J280" i="6" s="1"/>
  <c r="I344" i="6"/>
  <c r="J344" i="6" s="1"/>
  <c r="K344" i="6" s="1"/>
  <c r="M344" i="6" s="1"/>
  <c r="I408" i="6"/>
  <c r="J408" i="6" s="1"/>
  <c r="I472" i="6"/>
  <c r="J472" i="6" s="1"/>
  <c r="K472" i="6" s="1"/>
  <c r="M472" i="6" s="1"/>
  <c r="I536" i="6"/>
  <c r="I600" i="6"/>
  <c r="J600" i="6" s="1"/>
  <c r="I664" i="6"/>
  <c r="J664" i="6" s="1"/>
  <c r="I1367" i="6"/>
  <c r="J1367" i="6" s="1"/>
  <c r="I1235" i="6"/>
  <c r="J1235" i="6" s="1"/>
  <c r="I957" i="6"/>
  <c r="J957" i="6" s="1"/>
  <c r="I25" i="6"/>
  <c r="J25" i="6" s="1"/>
  <c r="I89" i="6"/>
  <c r="J89" i="6" s="1"/>
  <c r="K89" i="6" s="1"/>
  <c r="M89" i="6" s="1"/>
  <c r="I153" i="6"/>
  <c r="J153" i="6" s="1"/>
  <c r="I217" i="6"/>
  <c r="J217" i="6" s="1"/>
  <c r="I281" i="6"/>
  <c r="I345" i="6"/>
  <c r="J345" i="6" s="1"/>
  <c r="I409" i="6"/>
  <c r="J409" i="6" s="1"/>
  <c r="I473" i="6"/>
  <c r="J473" i="6" s="1"/>
  <c r="K473" i="6" s="1"/>
  <c r="M473" i="6" s="1"/>
  <c r="I537" i="6"/>
  <c r="J537" i="6" s="1"/>
  <c r="I601" i="6"/>
  <c r="J601" i="6" s="1"/>
  <c r="I665" i="6"/>
  <c r="J665" i="6" s="1"/>
  <c r="K665" i="6" s="1"/>
  <c r="M665" i="6" s="1"/>
  <c r="I1319" i="6"/>
  <c r="J1319" i="6" s="1"/>
  <c r="I1368" i="6"/>
  <c r="J1368" i="6" s="1"/>
  <c r="I898" i="6"/>
  <c r="J898" i="6" s="1"/>
  <c r="I696" i="6"/>
  <c r="J696" i="6" s="1"/>
  <c r="I1078" i="6"/>
  <c r="J1078" i="6" s="1"/>
  <c r="I854" i="6"/>
  <c r="J854" i="6" s="1"/>
  <c r="I111" i="6"/>
  <c r="J111" i="6" s="1"/>
  <c r="K111" i="6" s="1"/>
  <c r="M111" i="6" s="1"/>
  <c r="I287" i="6"/>
  <c r="J287" i="6" s="1"/>
  <c r="K287" i="6" s="1"/>
  <c r="M287" i="6" s="1"/>
  <c r="I467" i="6"/>
  <c r="J467" i="6" s="1"/>
  <c r="I659" i="6"/>
  <c r="J659" i="6" s="1"/>
  <c r="I727" i="6"/>
  <c r="J727" i="6" s="1"/>
  <c r="K516" i="6"/>
  <c r="M516" i="6" s="1"/>
  <c r="K291" i="6"/>
  <c r="M291" i="6" s="1"/>
  <c r="K564" i="6"/>
  <c r="M564" i="6" s="1"/>
  <c r="K34" i="6"/>
  <c r="M34" i="6" s="1"/>
  <c r="K9" i="6"/>
  <c r="M9" i="6" s="1"/>
  <c r="K362" i="6"/>
  <c r="M362" i="6" s="1"/>
  <c r="K327" i="6"/>
  <c r="M327" i="6" s="1"/>
  <c r="K555" i="6"/>
  <c r="M555" i="6" s="1"/>
  <c r="K307" i="6"/>
  <c r="M307" i="6" s="1"/>
  <c r="K297" i="6"/>
  <c r="M297" i="6" s="1"/>
  <c r="K334" i="6"/>
  <c r="M334" i="6" s="1"/>
  <c r="K563" i="6"/>
  <c r="M563" i="6" s="1"/>
  <c r="K1313" i="6"/>
  <c r="M1313" i="6" s="1"/>
  <c r="K663" i="6"/>
  <c r="M663" i="6" s="1"/>
  <c r="K215" i="6"/>
  <c r="M215" i="6" s="1"/>
  <c r="K20" i="6"/>
  <c r="M20" i="6" s="1"/>
  <c r="K109" i="6"/>
  <c r="M109" i="6" s="1"/>
  <c r="K265" i="6"/>
  <c r="M265" i="6" s="1"/>
  <c r="K168" i="6"/>
  <c r="M168" i="6" s="1"/>
  <c r="K423" i="6"/>
  <c r="M423" i="6" s="1"/>
  <c r="K90" i="6"/>
  <c r="M90" i="6" s="1"/>
  <c r="K258" i="6"/>
  <c r="M258" i="6" s="1"/>
  <c r="K489" i="6"/>
  <c r="M489" i="6" s="1"/>
  <c r="K662" i="6"/>
  <c r="M662" i="6" s="1"/>
  <c r="K632" i="6"/>
  <c r="M632" i="6" s="1"/>
  <c r="K808" i="6"/>
  <c r="M808" i="6" s="1"/>
  <c r="K943" i="6"/>
  <c r="M943" i="6" s="1"/>
  <c r="K1277" i="6"/>
  <c r="M1277" i="6" s="1"/>
  <c r="K870" i="6"/>
  <c r="M870" i="6" s="1"/>
  <c r="K1025" i="6"/>
  <c r="M1025" i="6" s="1"/>
  <c r="K963" i="6"/>
  <c r="M963" i="6" s="1"/>
  <c r="K1070" i="6"/>
  <c r="K805" i="6"/>
  <c r="K767" i="6"/>
  <c r="M767" i="6" s="1"/>
  <c r="K1352" i="6"/>
  <c r="M1352" i="6" s="1"/>
  <c r="K1293" i="6"/>
  <c r="M1293" i="6" s="1"/>
  <c r="K579" i="6"/>
  <c r="M579" i="6" s="1"/>
  <c r="K453" i="6"/>
  <c r="M453" i="6" s="1"/>
  <c r="K161" i="6"/>
  <c r="M161" i="6" s="1"/>
  <c r="K112" i="6"/>
  <c r="M112" i="6" s="1"/>
  <c r="K312" i="6"/>
  <c r="M312" i="6" s="1"/>
  <c r="K425" i="6"/>
  <c r="M425" i="6" s="1"/>
  <c r="K242" i="6"/>
  <c r="M242" i="6" s="1"/>
  <c r="K1239" i="6"/>
  <c r="K888" i="6"/>
  <c r="K793" i="6"/>
  <c r="K788" i="6"/>
  <c r="M788" i="6" s="1"/>
  <c r="K771" i="6"/>
  <c r="M771" i="6" s="1"/>
  <c r="K707" i="6"/>
  <c r="K1036" i="6"/>
  <c r="M1036" i="6" s="1"/>
  <c r="K867" i="6"/>
  <c r="M867" i="6" s="1"/>
  <c r="K713" i="6"/>
  <c r="M713" i="6" s="1"/>
  <c r="K799" i="6"/>
  <c r="M799" i="6" s="1"/>
  <c r="K1285" i="6"/>
  <c r="M1285" i="6" s="1"/>
  <c r="K1108" i="6"/>
  <c r="M1108" i="6" s="1"/>
  <c r="K753" i="6"/>
  <c r="K339" i="6"/>
  <c r="M339" i="6" s="1"/>
  <c r="K695" i="6"/>
  <c r="M695" i="6" s="1"/>
  <c r="K588" i="6"/>
  <c r="M588" i="6" s="1"/>
  <c r="K47" i="6"/>
  <c r="M47" i="6" s="1"/>
  <c r="K268" i="6"/>
  <c r="M268" i="6" s="1"/>
  <c r="K508" i="6"/>
  <c r="M508" i="6" s="1"/>
  <c r="K551" i="6"/>
  <c r="M551" i="6" s="1"/>
  <c r="K212" i="6"/>
  <c r="M212" i="6" s="1"/>
  <c r="K487" i="6"/>
  <c r="M487" i="6" s="1"/>
  <c r="K844" i="6"/>
  <c r="K1308" i="6"/>
  <c r="K773" i="6"/>
  <c r="K830" i="6"/>
  <c r="M830" i="6" s="1"/>
  <c r="K759" i="6"/>
  <c r="M759" i="6" s="1"/>
  <c r="K846" i="6"/>
  <c r="M846" i="6" s="1"/>
  <c r="K1333" i="6"/>
  <c r="M1333" i="6" s="1"/>
  <c r="K862" i="6"/>
  <c r="M862" i="6" s="1"/>
  <c r="M835" i="6"/>
  <c r="M1218" i="6"/>
  <c r="M1329" i="6"/>
  <c r="M911" i="6"/>
  <c r="M915" i="6"/>
  <c r="K845" i="6"/>
  <c r="K833" i="6"/>
  <c r="K717" i="6"/>
  <c r="K948" i="6"/>
  <c r="K1326" i="6"/>
  <c r="K936" i="6"/>
  <c r="I2" i="6"/>
  <c r="J2" i="6" s="1"/>
  <c r="L2" i="6"/>
  <c r="K1103" i="6" l="1"/>
  <c r="K91" i="6"/>
  <c r="M91" i="6" s="1"/>
  <c r="K522" i="6"/>
  <c r="M522" i="6" s="1"/>
  <c r="K611" i="6"/>
  <c r="M611" i="6" s="1"/>
  <c r="K1391" i="6"/>
  <c r="K325" i="6"/>
  <c r="M325" i="6" s="1"/>
  <c r="K792" i="6"/>
  <c r="K108" i="6"/>
  <c r="M108" i="6" s="1"/>
  <c r="K131" i="6"/>
  <c r="M131" i="6" s="1"/>
  <c r="K157" i="6"/>
  <c r="M157" i="6" s="1"/>
  <c r="K483" i="6"/>
  <c r="M483" i="6" s="1"/>
  <c r="K732" i="6"/>
  <c r="M732" i="6" s="1"/>
  <c r="K262" i="6"/>
  <c r="M262" i="6" s="1"/>
  <c r="K640" i="6"/>
  <c r="M640" i="6" s="1"/>
  <c r="K649" i="6"/>
  <c r="M649" i="6" s="1"/>
  <c r="K401" i="6"/>
  <c r="M401" i="6" s="1"/>
  <c r="K804" i="6"/>
  <c r="M804" i="6" s="1"/>
  <c r="K580" i="6"/>
  <c r="M580" i="6" s="1"/>
  <c r="K667" i="6"/>
  <c r="M667" i="6" s="1"/>
  <c r="K520" i="6"/>
  <c r="M520" i="6" s="1"/>
  <c r="K468" i="6"/>
  <c r="M468" i="6" s="1"/>
  <c r="K353" i="6"/>
  <c r="M353" i="6" s="1"/>
  <c r="K241" i="6"/>
  <c r="M241" i="6" s="1"/>
  <c r="K92" i="6"/>
  <c r="M92" i="6" s="1"/>
  <c r="K15" i="6"/>
  <c r="M15" i="6" s="1"/>
  <c r="K481" i="6"/>
  <c r="M481" i="6" s="1"/>
  <c r="K1016" i="6"/>
  <c r="K1176" i="6"/>
  <c r="M1176" i="6" s="1"/>
  <c r="K264" i="6"/>
  <c r="M264" i="6" s="1"/>
  <c r="K7" i="6"/>
  <c r="M7" i="6" s="1"/>
  <c r="K1378" i="6"/>
  <c r="K288" i="6"/>
  <c r="M288" i="6" s="1"/>
  <c r="K183" i="6"/>
  <c r="M183" i="6" s="1"/>
  <c r="K321" i="6"/>
  <c r="M321" i="6" s="1"/>
  <c r="K1085" i="6"/>
  <c r="K1049" i="6"/>
  <c r="M1049" i="6" s="1"/>
  <c r="K405" i="6"/>
  <c r="M405" i="6" s="1"/>
  <c r="K177" i="6"/>
  <c r="M177" i="6" s="1"/>
  <c r="K467" i="6"/>
  <c r="M467" i="6" s="1"/>
  <c r="K742" i="6"/>
  <c r="M742" i="6" s="1"/>
  <c r="K5" i="6"/>
  <c r="M5" i="6" s="1"/>
  <c r="K310" i="6"/>
  <c r="M310" i="6" s="1"/>
  <c r="K752" i="6"/>
  <c r="M752" i="6" s="1"/>
  <c r="K475" i="6"/>
  <c r="M475" i="6" s="1"/>
  <c r="K280" i="6"/>
  <c r="M280" i="6" s="1"/>
  <c r="K24" i="6"/>
  <c r="M24" i="6" s="1"/>
  <c r="K1349" i="6"/>
  <c r="M1349" i="6" s="1"/>
  <c r="K399" i="6"/>
  <c r="M399" i="6" s="1"/>
  <c r="K455" i="6"/>
  <c r="M455" i="6" s="1"/>
  <c r="K495" i="6"/>
  <c r="M495" i="6" s="1"/>
  <c r="K772" i="6"/>
  <c r="M772" i="6" s="1"/>
  <c r="K856" i="6"/>
  <c r="M856" i="6" s="1"/>
  <c r="K86" i="6"/>
  <c r="M86" i="6" s="1"/>
  <c r="K544" i="6"/>
  <c r="M544" i="6" s="1"/>
  <c r="K594" i="6"/>
  <c r="M594" i="6" s="1"/>
  <c r="K204" i="6"/>
  <c r="M204" i="6" s="1"/>
  <c r="K45" i="6"/>
  <c r="M45" i="6" s="1"/>
  <c r="K31" i="6"/>
  <c r="M31" i="6" s="1"/>
  <c r="K403" i="6"/>
  <c r="M403" i="6" s="1"/>
  <c r="K1294" i="6"/>
  <c r="M1294" i="6" s="1"/>
  <c r="K100" i="6"/>
  <c r="M100" i="6" s="1"/>
  <c r="K599" i="6"/>
  <c r="M599" i="6" s="1"/>
  <c r="K48" i="6"/>
  <c r="M48" i="6" s="1"/>
  <c r="K188" i="6"/>
  <c r="M188" i="6" s="1"/>
  <c r="K727" i="6"/>
  <c r="M727" i="6" s="1"/>
  <c r="K641" i="6"/>
  <c r="M641" i="6" s="1"/>
  <c r="K225" i="6"/>
  <c r="M225" i="6" s="1"/>
  <c r="K46" i="6"/>
  <c r="M46" i="6" s="1"/>
  <c r="K672" i="6"/>
  <c r="M672" i="6" s="1"/>
  <c r="K442" i="6"/>
  <c r="M442" i="6" s="1"/>
  <c r="K36" i="6"/>
  <c r="M36" i="6" s="1"/>
  <c r="K565" i="6"/>
  <c r="M565" i="6" s="1"/>
  <c r="K748" i="6"/>
  <c r="M748" i="6" s="1"/>
  <c r="K853" i="6"/>
  <c r="M853" i="6" s="1"/>
  <c r="K690" i="6"/>
  <c r="M690" i="6" s="1"/>
  <c r="K349" i="6"/>
  <c r="M349" i="6" s="1"/>
  <c r="K167" i="6"/>
  <c r="M167" i="6" s="1"/>
  <c r="K1371" i="6"/>
  <c r="M1371" i="6" s="1"/>
  <c r="K156" i="6"/>
  <c r="M156" i="6" s="1"/>
  <c r="K259" i="6"/>
  <c r="M259" i="6" s="1"/>
  <c r="K171" i="6"/>
  <c r="M171" i="6" s="1"/>
  <c r="K415" i="6"/>
  <c r="M415" i="6" s="1"/>
  <c r="K70" i="6"/>
  <c r="M70" i="6" s="1"/>
  <c r="K474" i="6"/>
  <c r="M474" i="6" s="1"/>
  <c r="K317" i="6"/>
  <c r="M317" i="6" s="1"/>
  <c r="K238" i="6"/>
  <c r="M238" i="6" s="1"/>
  <c r="K368" i="6"/>
  <c r="M368" i="6" s="1"/>
  <c r="K646" i="6"/>
  <c r="M646" i="6" s="1"/>
  <c r="K566" i="6"/>
  <c r="M566" i="6" s="1"/>
  <c r="K374" i="6"/>
  <c r="M374" i="6" s="1"/>
  <c r="K675" i="6"/>
  <c r="M675" i="6" s="1"/>
  <c r="K71" i="6"/>
  <c r="M71" i="6" s="1"/>
  <c r="K1321" i="6"/>
  <c r="M1321" i="6" s="1"/>
  <c r="K359" i="6"/>
  <c r="M359" i="6" s="1"/>
  <c r="K170" i="6"/>
  <c r="M170" i="6" s="1"/>
  <c r="K486" i="6"/>
  <c r="M486" i="6" s="1"/>
  <c r="K50" i="6"/>
  <c r="M50" i="6" s="1"/>
  <c r="K451" i="6"/>
  <c r="M451" i="6" s="1"/>
  <c r="K42" i="6"/>
  <c r="M42" i="6" s="1"/>
  <c r="K343" i="6"/>
  <c r="M343" i="6" s="1"/>
  <c r="K240" i="6"/>
  <c r="M240" i="6" s="1"/>
  <c r="K261" i="6"/>
  <c r="M261" i="6" s="1"/>
  <c r="K338" i="6"/>
  <c r="M338" i="6" s="1"/>
  <c r="K488" i="6"/>
  <c r="M488" i="6" s="1"/>
  <c r="K794" i="6"/>
  <c r="M794" i="6" s="1"/>
  <c r="K850" i="6"/>
  <c r="M850" i="6" s="1"/>
  <c r="K621" i="6"/>
  <c r="M621" i="6" s="1"/>
  <c r="K409" i="6"/>
  <c r="M409" i="6" s="1"/>
  <c r="K132" i="6"/>
  <c r="M132" i="6" s="1"/>
  <c r="K548" i="6"/>
  <c r="M548" i="6" s="1"/>
  <c r="K58" i="6"/>
  <c r="M58" i="6" s="1"/>
  <c r="K447" i="6"/>
  <c r="M447" i="6" s="1"/>
  <c r="K237" i="6"/>
  <c r="M237" i="6" s="1"/>
  <c r="K289" i="6"/>
  <c r="M289" i="6" s="1"/>
  <c r="K219" i="6"/>
  <c r="M219" i="6" s="1"/>
  <c r="K364" i="6"/>
  <c r="M364" i="6" s="1"/>
  <c r="K678" i="6"/>
  <c r="M678" i="6" s="1"/>
  <c r="K402" i="6"/>
  <c r="M402" i="6" s="1"/>
  <c r="K172" i="6"/>
  <c r="M172" i="6" s="1"/>
  <c r="K337" i="6"/>
  <c r="M337" i="6" s="1"/>
  <c r="K1216" i="6"/>
  <c r="M1216" i="6" s="1"/>
  <c r="K140" i="6"/>
  <c r="M140" i="6" s="1"/>
  <c r="K78" i="6"/>
  <c r="M78" i="6" s="1"/>
  <c r="K23" i="6"/>
  <c r="M23" i="6" s="1"/>
  <c r="K379" i="6"/>
  <c r="M379" i="6" s="1"/>
  <c r="K469" i="6"/>
  <c r="M469" i="6" s="1"/>
  <c r="K11" i="6"/>
  <c r="M11" i="6" s="1"/>
  <c r="K740" i="6"/>
  <c r="M740" i="6" s="1"/>
  <c r="K220" i="6"/>
  <c r="M220" i="6" s="1"/>
  <c r="K462" i="6"/>
  <c r="M462" i="6" s="1"/>
  <c r="K400" i="6"/>
  <c r="M400" i="6" s="1"/>
  <c r="K466" i="6"/>
  <c r="M466" i="6" s="1"/>
  <c r="K200" i="6"/>
  <c r="M200" i="6" s="1"/>
  <c r="K397" i="6"/>
  <c r="M397" i="6" s="1"/>
  <c r="K635" i="6"/>
  <c r="M635" i="6" s="1"/>
  <c r="K190" i="6"/>
  <c r="M190" i="6" s="1"/>
  <c r="K1200" i="6"/>
  <c r="M1200" i="6" s="1"/>
  <c r="K319" i="6"/>
  <c r="M319" i="6" s="1"/>
  <c r="K514" i="6"/>
  <c r="M514" i="6" s="1"/>
  <c r="K398" i="6"/>
  <c r="M398" i="6" s="1"/>
  <c r="K347" i="6"/>
  <c r="M347" i="6" s="1"/>
  <c r="K377" i="6"/>
  <c r="M377" i="6" s="1"/>
  <c r="K1026" i="6"/>
  <c r="M1026" i="6" s="1"/>
  <c r="K896" i="6"/>
  <c r="M896" i="6" s="1"/>
  <c r="K613" i="6"/>
  <c r="M613" i="6" s="1"/>
  <c r="K697" i="6"/>
  <c r="M697" i="6" s="1"/>
  <c r="K670" i="6"/>
  <c r="M670" i="6" s="1"/>
  <c r="K163" i="6"/>
  <c r="M163" i="6" s="1"/>
  <c r="K436" i="6"/>
  <c r="M436" i="6" s="1"/>
  <c r="K162" i="6"/>
  <c r="M162" i="6" s="1"/>
  <c r="K357" i="6"/>
  <c r="M357" i="6" s="1"/>
  <c r="K346" i="6"/>
  <c r="M346" i="6" s="1"/>
  <c r="K138" i="6"/>
  <c r="M138" i="6" s="1"/>
  <c r="K64" i="6"/>
  <c r="M64" i="6" s="1"/>
  <c r="K528" i="6"/>
  <c r="M528" i="6" s="1"/>
  <c r="K119" i="6"/>
  <c r="M119" i="6" s="1"/>
  <c r="K610" i="6"/>
  <c r="M610" i="6" s="1"/>
  <c r="K891" i="6"/>
  <c r="K1017" i="6"/>
  <c r="M1017" i="6" s="1"/>
  <c r="K623" i="6"/>
  <c r="M623" i="6" s="1"/>
  <c r="K150" i="6"/>
  <c r="M150" i="6" s="1"/>
  <c r="K513" i="6"/>
  <c r="M513" i="6" s="1"/>
  <c r="K529" i="6"/>
  <c r="M529" i="6" s="1"/>
  <c r="K647" i="6"/>
  <c r="M647" i="6" s="1"/>
  <c r="K722" i="6"/>
  <c r="M722" i="6" s="1"/>
  <c r="K669" i="6"/>
  <c r="M669" i="6" s="1"/>
  <c r="K694" i="6"/>
  <c r="M694" i="6" s="1"/>
  <c r="K494" i="6"/>
  <c r="M494" i="6" s="1"/>
  <c r="K463" i="6"/>
  <c r="M463" i="6" s="1"/>
  <c r="K556" i="6"/>
  <c r="M556" i="6" s="1"/>
  <c r="K166" i="6"/>
  <c r="M166" i="6" s="1"/>
  <c r="K203" i="6"/>
  <c r="M203" i="6" s="1"/>
  <c r="K625" i="6"/>
  <c r="M625" i="6" s="1"/>
  <c r="K107" i="6"/>
  <c r="M107" i="6" s="1"/>
  <c r="K875" i="6"/>
  <c r="M875" i="6" s="1"/>
  <c r="K971" i="6"/>
  <c r="M971" i="6" s="1"/>
  <c r="K887" i="6"/>
  <c r="M887" i="6" s="1"/>
  <c r="K1013" i="6"/>
  <c r="M1013" i="6" s="1"/>
  <c r="K1046" i="6"/>
  <c r="M1046" i="6" s="1"/>
  <c r="K863" i="6"/>
  <c r="M863" i="6" s="1"/>
  <c r="K1120" i="6"/>
  <c r="M1120" i="6" s="1"/>
  <c r="K711" i="6"/>
  <c r="M711" i="6" s="1"/>
  <c r="K35" i="6"/>
  <c r="M35" i="6" s="1"/>
  <c r="K26" i="6"/>
  <c r="M26" i="6" s="1"/>
  <c r="K336" i="6"/>
  <c r="M336" i="6" s="1"/>
  <c r="K227" i="6"/>
  <c r="M227" i="6" s="1"/>
  <c r="K728" i="6"/>
  <c r="M728" i="6" s="1"/>
  <c r="K458" i="6"/>
  <c r="M458" i="6" s="1"/>
  <c r="K202" i="6"/>
  <c r="M202" i="6" s="1"/>
  <c r="K295" i="6"/>
  <c r="M295" i="6" s="1"/>
  <c r="K734" i="6"/>
  <c r="M734" i="6" s="1"/>
  <c r="K554" i="6"/>
  <c r="M554" i="6" s="1"/>
  <c r="K292" i="6"/>
  <c r="M292" i="6" s="1"/>
  <c r="K311" i="6"/>
  <c r="M311" i="6" s="1"/>
  <c r="K686" i="6"/>
  <c r="M686" i="6" s="1"/>
  <c r="K1210" i="6"/>
  <c r="M1210" i="6" s="1"/>
  <c r="K1145" i="6"/>
  <c r="M1145" i="6" s="1"/>
  <c r="K823" i="6"/>
  <c r="M823" i="6" s="1"/>
  <c r="K68" i="6"/>
  <c r="M68" i="6" s="1"/>
  <c r="K390" i="6"/>
  <c r="M390" i="6" s="1"/>
  <c r="K373" i="6"/>
  <c r="M373" i="6" s="1"/>
  <c r="K578" i="6"/>
  <c r="M578" i="6" s="1"/>
  <c r="K437" i="6"/>
  <c r="M437" i="6" s="1"/>
  <c r="K456" i="6"/>
  <c r="M456" i="6" s="1"/>
  <c r="K14" i="6"/>
  <c r="M14" i="6" s="1"/>
  <c r="K812" i="6"/>
  <c r="M812" i="6" s="1"/>
  <c r="K550" i="6"/>
  <c r="M550" i="6" s="1"/>
  <c r="K582" i="6"/>
  <c r="M582" i="6" s="1"/>
  <c r="K341" i="6"/>
  <c r="M341" i="6" s="1"/>
  <c r="K231" i="6"/>
  <c r="M231" i="6" s="1"/>
  <c r="K201" i="6"/>
  <c r="M201" i="6" s="1"/>
  <c r="K193" i="6"/>
  <c r="M193" i="6" s="1"/>
  <c r="K12" i="6"/>
  <c r="M12" i="6" s="1"/>
  <c r="K688" i="6"/>
  <c r="M688" i="6" s="1"/>
  <c r="K841" i="6"/>
  <c r="M841" i="6" s="1"/>
  <c r="K499" i="6"/>
  <c r="M499" i="6" s="1"/>
  <c r="K626" i="6"/>
  <c r="M626" i="6" s="1"/>
  <c r="K381" i="6"/>
  <c r="M381" i="6" s="1"/>
  <c r="K411" i="6"/>
  <c r="M411" i="6" s="1"/>
  <c r="K186" i="6"/>
  <c r="M186" i="6" s="1"/>
  <c r="K79" i="6"/>
  <c r="M79" i="6" s="1"/>
  <c r="K521" i="6"/>
  <c r="M521" i="6" s="1"/>
  <c r="K1172" i="6"/>
  <c r="M1172" i="6" s="1"/>
  <c r="K159" i="6"/>
  <c r="M159" i="6" s="1"/>
  <c r="K576" i="6"/>
  <c r="M576" i="6" s="1"/>
  <c r="K496" i="6"/>
  <c r="M496" i="6" s="1"/>
  <c r="K224" i="6"/>
  <c r="M224" i="6" s="1"/>
  <c r="K934" i="6"/>
  <c r="M934" i="6" s="1"/>
  <c r="K236" i="6"/>
  <c r="M236" i="6" s="1"/>
  <c r="K226" i="6"/>
  <c r="M226" i="6" s="1"/>
  <c r="K540" i="6"/>
  <c r="M540" i="6" s="1"/>
  <c r="K335" i="6"/>
  <c r="M335" i="6" s="1"/>
  <c r="K275" i="6"/>
  <c r="M275" i="6" s="1"/>
  <c r="K700" i="6"/>
  <c r="M700" i="6" s="1"/>
  <c r="K607" i="6"/>
  <c r="M607" i="6" s="1"/>
  <c r="K88" i="6"/>
  <c r="M88" i="6" s="1"/>
  <c r="K345" i="6"/>
  <c r="M345" i="6" s="1"/>
  <c r="K898" i="6"/>
  <c r="M898" i="6" s="1"/>
  <c r="K601" i="6"/>
  <c r="M601" i="6" s="1"/>
  <c r="K903" i="6"/>
  <c r="M903" i="6" s="1"/>
  <c r="K751" i="6"/>
  <c r="M751" i="6" s="1"/>
  <c r="K770" i="6"/>
  <c r="M770" i="6" s="1"/>
  <c r="K1354" i="6"/>
  <c r="M1354" i="6" s="1"/>
  <c r="K518" i="6"/>
  <c r="M518" i="6" s="1"/>
  <c r="K426" i="6"/>
  <c r="M426" i="6" s="1"/>
  <c r="K329" i="6"/>
  <c r="M329" i="6" s="1"/>
  <c r="K1187" i="6"/>
  <c r="M1187" i="6" s="1"/>
  <c r="K10" i="6"/>
  <c r="M10" i="6" s="1"/>
  <c r="K754" i="6"/>
  <c r="M754" i="6" s="1"/>
  <c r="K724" i="6"/>
  <c r="M724" i="6" s="1"/>
  <c r="K526" i="6"/>
  <c r="M526" i="6" s="1"/>
  <c r="J737" i="6"/>
  <c r="K737" i="6" s="1"/>
  <c r="M737" i="6" s="1"/>
  <c r="J543" i="6"/>
  <c r="K543" i="6" s="1"/>
  <c r="M543" i="6" s="1"/>
  <c r="J182" i="6"/>
  <c r="K182" i="6" s="1"/>
  <c r="M182" i="6" s="1"/>
  <c r="J102" i="6"/>
  <c r="K102" i="6" s="1"/>
  <c r="M102" i="6" s="1"/>
  <c r="J55" i="6"/>
  <c r="K55" i="6" s="1"/>
  <c r="M55" i="6" s="1"/>
  <c r="K1373" i="6"/>
  <c r="M1373" i="6" s="1"/>
  <c r="K145" i="6"/>
  <c r="M145" i="6" s="1"/>
  <c r="K944" i="6"/>
  <c r="M944" i="6" s="1"/>
  <c r="K1078" i="6"/>
  <c r="M1078" i="6" s="1"/>
  <c r="K685" i="6"/>
  <c r="M685" i="6" s="1"/>
  <c r="K562" i="6"/>
  <c r="M562" i="6" s="1"/>
  <c r="K228" i="6"/>
  <c r="M228" i="6" s="1"/>
  <c r="K101" i="6"/>
  <c r="M101" i="6" s="1"/>
  <c r="K679" i="6"/>
  <c r="M679" i="6" s="1"/>
  <c r="K421" i="6"/>
  <c r="M421" i="6" s="1"/>
  <c r="K286" i="6"/>
  <c r="M286" i="6" s="1"/>
  <c r="K723" i="6"/>
  <c r="M723" i="6" s="1"/>
  <c r="K443" i="6"/>
  <c r="M443" i="6" s="1"/>
  <c r="K482" i="6"/>
  <c r="M482" i="6" s="1"/>
  <c r="K558" i="6"/>
  <c r="M558" i="6" s="1"/>
  <c r="K557" i="6"/>
  <c r="M557" i="6" s="1"/>
  <c r="K217" i="6"/>
  <c r="M217" i="6" s="1"/>
  <c r="K387" i="6"/>
  <c r="M387" i="6" s="1"/>
  <c r="K702" i="6"/>
  <c r="M702" i="6" s="1"/>
  <c r="K395" i="6"/>
  <c r="M395" i="6" s="1"/>
  <c r="K449" i="6"/>
  <c r="M449" i="6" s="1"/>
  <c r="K148" i="6"/>
  <c r="M148" i="6" s="1"/>
  <c r="K243" i="6"/>
  <c r="M243" i="6" s="1"/>
  <c r="K61" i="6"/>
  <c r="M61" i="6" s="1"/>
  <c r="K503" i="6"/>
  <c r="M503" i="6" s="1"/>
  <c r="K199" i="6"/>
  <c r="M199" i="6" s="1"/>
  <c r="K404" i="6"/>
  <c r="M404" i="6" s="1"/>
  <c r="K1021" i="6"/>
  <c r="M1021" i="6" s="1"/>
  <c r="K861" i="6"/>
  <c r="M861" i="6" s="1"/>
  <c r="K1196" i="6"/>
  <c r="M1196" i="6" s="1"/>
  <c r="K181" i="6"/>
  <c r="M181" i="6" s="1"/>
  <c r="K583" i="6"/>
  <c r="M583" i="6" s="1"/>
  <c r="K73" i="6"/>
  <c r="M73" i="6" s="1"/>
  <c r="K250" i="6"/>
  <c r="M250" i="6" s="1"/>
  <c r="K1353" i="6"/>
  <c r="M1353" i="6" s="1"/>
  <c r="K571" i="6"/>
  <c r="M571" i="6" s="1"/>
  <c r="K652" i="6"/>
  <c r="M652" i="6" s="1"/>
  <c r="K153" i="6"/>
  <c r="M153" i="6" s="1"/>
  <c r="K256" i="6"/>
  <c r="M256" i="6" s="1"/>
  <c r="K1295" i="6"/>
  <c r="M1295" i="6" s="1"/>
  <c r="K774" i="6"/>
  <c r="M774" i="6" s="1"/>
  <c r="K1324" i="6"/>
  <c r="M1324" i="6" s="1"/>
  <c r="K806" i="6"/>
  <c r="M806" i="6" s="1"/>
  <c r="K997" i="6"/>
  <c r="M997" i="6" s="1"/>
  <c r="K1387" i="6"/>
  <c r="M1387" i="6" s="1"/>
  <c r="K234" i="6"/>
  <c r="M234" i="6" s="1"/>
  <c r="K324" i="6"/>
  <c r="M324" i="6" s="1"/>
  <c r="K432" i="6"/>
  <c r="M432" i="6" s="1"/>
  <c r="K418" i="6"/>
  <c r="M418" i="6" s="1"/>
  <c r="K96" i="6"/>
  <c r="M96" i="6" s="1"/>
  <c r="K164" i="6"/>
  <c r="M164" i="6" s="1"/>
  <c r="K173" i="6"/>
  <c r="M173" i="6" s="1"/>
  <c r="K13" i="6"/>
  <c r="M13" i="6" s="1"/>
  <c r="K274" i="6"/>
  <c r="M274" i="6" s="1"/>
  <c r="K493" i="6"/>
  <c r="M493" i="6" s="1"/>
  <c r="K1097" i="6"/>
  <c r="M1097" i="6" s="1"/>
  <c r="K780" i="6"/>
  <c r="M780" i="6" s="1"/>
  <c r="K777" i="6"/>
  <c r="M777" i="6" s="1"/>
  <c r="K1370" i="6"/>
  <c r="M1370" i="6" s="1"/>
  <c r="K673" i="6"/>
  <c r="M673" i="6" s="1"/>
  <c r="K189" i="6"/>
  <c r="M189" i="6" s="1"/>
  <c r="K510" i="6"/>
  <c r="M510" i="6" s="1"/>
  <c r="K574" i="6"/>
  <c r="M574" i="6" s="1"/>
  <c r="K642" i="6"/>
  <c r="M642" i="6" s="1"/>
  <c r="K533" i="6"/>
  <c r="M533" i="6" s="1"/>
  <c r="K134" i="6"/>
  <c r="M134" i="6" s="1"/>
  <c r="K126" i="6"/>
  <c r="M126" i="6" s="1"/>
  <c r="K608" i="6"/>
  <c r="M608" i="6" s="1"/>
  <c r="K75" i="6"/>
  <c r="M75" i="6" s="1"/>
  <c r="K44" i="6"/>
  <c r="M44" i="6" s="1"/>
  <c r="J1388" i="6"/>
  <c r="K1388" i="6" s="1"/>
  <c r="M1388" i="6" s="1"/>
  <c r="J354" i="6"/>
  <c r="K354" i="6" s="1"/>
  <c r="M354" i="6" s="1"/>
  <c r="J527" i="6"/>
  <c r="K527" i="6" s="1"/>
  <c r="M527" i="6" s="1"/>
  <c r="J490" i="6"/>
  <c r="K490" i="6" s="1"/>
  <c r="M490" i="6" s="1"/>
  <c r="J322" i="6"/>
  <c r="K322" i="6" s="1"/>
  <c r="M322" i="6" s="1"/>
  <c r="J524" i="6"/>
  <c r="K524" i="6" s="1"/>
  <c r="M524" i="6" s="1"/>
  <c r="J1286" i="6"/>
  <c r="K1286" i="6" s="1"/>
  <c r="M1286" i="6" s="1"/>
  <c r="J1057" i="6"/>
  <c r="K1057" i="6" s="1"/>
  <c r="M1057" i="6" s="1"/>
  <c r="J430" i="6"/>
  <c r="K430" i="6" s="1"/>
  <c r="M430" i="6" s="1"/>
  <c r="J351" i="6"/>
  <c r="K351" i="6" s="1"/>
  <c r="M351" i="6" s="1"/>
  <c r="J277" i="6"/>
  <c r="K277" i="6" s="1"/>
  <c r="M277" i="6" s="1"/>
  <c r="J639" i="6"/>
  <c r="K639" i="6" s="1"/>
  <c r="M639" i="6" s="1"/>
  <c r="J684" i="6"/>
  <c r="K684" i="6" s="1"/>
  <c r="M684" i="6" s="1"/>
  <c r="J498" i="6"/>
  <c r="K498" i="6" s="1"/>
  <c r="M498" i="6" s="1"/>
  <c r="J946" i="6"/>
  <c r="K946" i="6" s="1"/>
  <c r="M946" i="6" s="1"/>
  <c r="J298" i="6"/>
  <c r="K298" i="6" s="1"/>
  <c r="M298" i="6" s="1"/>
  <c r="J735" i="6"/>
  <c r="K735" i="6" s="1"/>
  <c r="M735" i="6" s="1"/>
  <c r="J760" i="6"/>
  <c r="K760" i="6" s="1"/>
  <c r="M760" i="6" s="1"/>
  <c r="J593" i="6"/>
  <c r="K593" i="6" s="1"/>
  <c r="M593" i="6" s="1"/>
  <c r="J575" i="6"/>
  <c r="K575" i="6" s="1"/>
  <c r="M575" i="6" s="1"/>
  <c r="J255" i="6"/>
  <c r="K255" i="6" s="1"/>
  <c r="M255" i="6" s="1"/>
  <c r="K1263" i="6"/>
  <c r="M1263" i="6" s="1"/>
  <c r="K624" i="6"/>
  <c r="M624" i="6" s="1"/>
  <c r="K223" i="6"/>
  <c r="M223" i="6" s="1"/>
  <c r="K53" i="6"/>
  <c r="M53" i="6" s="1"/>
  <c r="K197" i="6"/>
  <c r="M197" i="6" s="1"/>
  <c r="K622" i="6"/>
  <c r="M622" i="6" s="1"/>
  <c r="K710" i="6"/>
  <c r="M710" i="6" s="1"/>
  <c r="K67" i="6"/>
  <c r="M67" i="6" s="1"/>
  <c r="K484" i="6"/>
  <c r="M484" i="6" s="1"/>
  <c r="K37" i="6"/>
  <c r="M37" i="6" s="1"/>
  <c r="K549" i="6"/>
  <c r="M549" i="6" s="1"/>
  <c r="K363" i="6"/>
  <c r="M363" i="6" s="1"/>
  <c r="K118" i="6"/>
  <c r="M118" i="6" s="1"/>
  <c r="K546" i="6"/>
  <c r="M546" i="6" s="1"/>
  <c r="K128" i="6"/>
  <c r="M128" i="6" s="1"/>
  <c r="K304" i="6"/>
  <c r="M304" i="6" s="1"/>
  <c r="K154" i="6"/>
  <c r="M154" i="6" s="1"/>
  <c r="K444" i="6"/>
  <c r="M444" i="6" s="1"/>
  <c r="K1095" i="6"/>
  <c r="M1095" i="6" s="1"/>
  <c r="K906" i="6"/>
  <c r="M906" i="6" s="1"/>
  <c r="K1125" i="6"/>
  <c r="M1125" i="6" s="1"/>
  <c r="K1153" i="6"/>
  <c r="M1153" i="6" s="1"/>
  <c r="K912" i="6"/>
  <c r="M912" i="6" s="1"/>
  <c r="K778" i="6"/>
  <c r="M778" i="6" s="1"/>
  <c r="K205" i="6"/>
  <c r="M205" i="6" s="1"/>
  <c r="K590" i="6"/>
  <c r="M590" i="6" s="1"/>
  <c r="K407" i="6"/>
  <c r="M407" i="6" s="1"/>
  <c r="K525" i="6"/>
  <c r="M525" i="6" s="1"/>
  <c r="K461" i="6"/>
  <c r="M461" i="6" s="1"/>
  <c r="K644" i="6"/>
  <c r="M644" i="6" s="1"/>
  <c r="K80" i="6"/>
  <c r="M80" i="6" s="1"/>
  <c r="K371" i="6"/>
  <c r="M371" i="6" s="1"/>
  <c r="J589" i="6"/>
  <c r="K589" i="6" s="1"/>
  <c r="M589" i="6" s="1"/>
  <c r="J429" i="6"/>
  <c r="K429" i="6" s="1"/>
  <c r="M429" i="6" s="1"/>
  <c r="J446" i="6"/>
  <c r="K446" i="6" s="1"/>
  <c r="M446" i="6" s="1"/>
  <c r="K1246" i="6"/>
  <c r="M1246" i="6" s="1"/>
  <c r="K1272" i="6"/>
  <c r="M1272" i="6" s="1"/>
  <c r="K604" i="6"/>
  <c r="M604" i="6" s="1"/>
  <c r="K276" i="6"/>
  <c r="M276" i="6" s="1"/>
  <c r="K460" i="6"/>
  <c r="M460" i="6" s="1"/>
  <c r="K597" i="6"/>
  <c r="M597" i="6" s="1"/>
  <c r="K744" i="6"/>
  <c r="M744" i="6" s="1"/>
  <c r="K970" i="6"/>
  <c r="M970" i="6" s="1"/>
  <c r="K348" i="6"/>
  <c r="M348" i="6" s="1"/>
  <c r="K260" i="6"/>
  <c r="M260" i="6" s="1"/>
  <c r="J674" i="6"/>
  <c r="K674" i="6" s="1"/>
  <c r="M674" i="6" s="1"/>
  <c r="J631" i="6"/>
  <c r="K631" i="6" s="1"/>
  <c r="M631" i="6" s="1"/>
  <c r="J573" i="6"/>
  <c r="K573" i="6" s="1"/>
  <c r="M573" i="6" s="1"/>
  <c r="J328" i="6"/>
  <c r="K328" i="6" s="1"/>
  <c r="M328" i="6" s="1"/>
  <c r="J412" i="6"/>
  <c r="K412" i="6" s="1"/>
  <c r="M412" i="6" s="1"/>
  <c r="J146" i="6"/>
  <c r="K146" i="6" s="1"/>
  <c r="M146" i="6" s="1"/>
  <c r="K214" i="6"/>
  <c r="M214" i="6" s="1"/>
  <c r="K692" i="6"/>
  <c r="M692" i="6" s="1"/>
  <c r="J536" i="6"/>
  <c r="K536" i="6" s="1"/>
  <c r="M536" i="6" s="1"/>
  <c r="J480" i="6"/>
  <c r="K480" i="6" s="1"/>
  <c r="M480" i="6" s="1"/>
  <c r="J85" i="6"/>
  <c r="K85" i="6" s="1"/>
  <c r="M85" i="6" s="1"/>
  <c r="J598" i="6"/>
  <c r="K598" i="6" s="1"/>
  <c r="M598" i="6" s="1"/>
  <c r="J133" i="6"/>
  <c r="K133" i="6" s="1"/>
  <c r="M133" i="6" s="1"/>
  <c r="J303" i="6"/>
  <c r="K303" i="6" s="1"/>
  <c r="M303" i="6" s="1"/>
  <c r="J654" i="6"/>
  <c r="K654" i="6" s="1"/>
  <c r="M654" i="6" s="1"/>
  <c r="J756" i="6"/>
  <c r="K756" i="6" s="1"/>
  <c r="M756" i="6" s="1"/>
  <c r="K741" i="6"/>
  <c r="M741" i="6" s="1"/>
  <c r="K187" i="6"/>
  <c r="M187" i="6" s="1"/>
  <c r="K60" i="6"/>
  <c r="M60" i="6" s="1"/>
  <c r="K666" i="6"/>
  <c r="M666" i="6" s="1"/>
  <c r="K414" i="6"/>
  <c r="M414" i="6" s="1"/>
  <c r="K719" i="6"/>
  <c r="M719" i="6" s="1"/>
  <c r="K947" i="6"/>
  <c r="M947" i="6" s="1"/>
  <c r="K367" i="6"/>
  <c r="M367" i="6" s="1"/>
  <c r="K696" i="6"/>
  <c r="M696" i="6" s="1"/>
  <c r="J375" i="6"/>
  <c r="K375" i="6" s="1"/>
  <c r="M375" i="6" s="1"/>
  <c r="J570" i="6"/>
  <c r="K570" i="6" s="1"/>
  <c r="M570" i="6" s="1"/>
  <c r="J609" i="6"/>
  <c r="K609" i="6" s="1"/>
  <c r="M609" i="6" s="1"/>
  <c r="J320" i="6"/>
  <c r="K320" i="6" s="1"/>
  <c r="M320" i="6" s="1"/>
  <c r="J266" i="6"/>
  <c r="K266" i="6" s="1"/>
  <c r="M266" i="6" s="1"/>
  <c r="J572" i="6"/>
  <c r="K572" i="6" s="1"/>
  <c r="M572" i="6" s="1"/>
  <c r="J677" i="6"/>
  <c r="K677" i="6" s="1"/>
  <c r="M677" i="6" s="1"/>
  <c r="J281" i="6"/>
  <c r="K281" i="6" s="1"/>
  <c r="M281" i="6" s="1"/>
  <c r="J158" i="6"/>
  <c r="K158" i="6" s="1"/>
  <c r="M158" i="6" s="1"/>
  <c r="K1035" i="6"/>
  <c r="M1035" i="6" s="1"/>
  <c r="K1174" i="6"/>
  <c r="M1174" i="6" s="1"/>
  <c r="K38" i="6"/>
  <c r="M38" i="6" s="1"/>
  <c r="K340" i="6"/>
  <c r="M340" i="6" s="1"/>
  <c r="K99" i="6"/>
  <c r="M99" i="6" s="1"/>
  <c r="K83" i="6"/>
  <c r="M83" i="6" s="1"/>
  <c r="K413" i="6"/>
  <c r="M413" i="6" s="1"/>
  <c r="K316" i="6"/>
  <c r="M316" i="6" s="1"/>
  <c r="K602" i="6"/>
  <c r="M602" i="6" s="1"/>
  <c r="K98" i="6"/>
  <c r="M98" i="6" s="1"/>
  <c r="K659" i="6"/>
  <c r="M659" i="6" s="1"/>
  <c r="K380" i="6"/>
  <c r="M380" i="6" s="1"/>
  <c r="K179" i="6"/>
  <c r="M179" i="6" s="1"/>
  <c r="K284" i="6"/>
  <c r="M284" i="6" s="1"/>
  <c r="K506" i="6"/>
  <c r="M506" i="6" s="1"/>
  <c r="K537" i="6"/>
  <c r="M537" i="6" s="1"/>
  <c r="K25" i="6"/>
  <c r="M25" i="6" s="1"/>
  <c r="K561" i="6"/>
  <c r="M561" i="6" s="1"/>
  <c r="J165" i="6"/>
  <c r="K165" i="6" s="1"/>
  <c r="M165" i="6" s="1"/>
  <c r="J180" i="6"/>
  <c r="K180" i="6" s="1"/>
  <c r="M180" i="6" s="1"/>
  <c r="J531" i="6"/>
  <c r="K531" i="6" s="1"/>
  <c r="M531" i="6" s="1"/>
  <c r="J459" i="6"/>
  <c r="K459" i="6" s="1"/>
  <c r="M459" i="6" s="1"/>
  <c r="J655" i="6"/>
  <c r="K655" i="6" s="1"/>
  <c r="M655" i="6" s="1"/>
  <c r="K1368" i="6"/>
  <c r="M1368" i="6" s="1"/>
  <c r="K1065" i="6"/>
  <c r="M1065" i="6" s="1"/>
  <c r="K1022" i="6"/>
  <c r="M1022" i="6" s="1"/>
  <c r="K1161" i="6"/>
  <c r="M1161" i="6" s="1"/>
  <c r="K818" i="6"/>
  <c r="M818" i="6" s="1"/>
  <c r="K1225" i="6"/>
  <c r="M1225" i="6" s="1"/>
  <c r="K1023" i="6"/>
  <c r="M1023" i="6" s="1"/>
  <c r="K511" i="6"/>
  <c r="M511" i="6" s="1"/>
  <c r="K408" i="6"/>
  <c r="M408" i="6" s="1"/>
  <c r="K689" i="6"/>
  <c r="M689" i="6" s="1"/>
  <c r="K797" i="6"/>
  <c r="M797" i="6" s="1"/>
  <c r="K776" i="6"/>
  <c r="M776" i="6" s="1"/>
  <c r="K1206" i="6"/>
  <c r="M1206" i="6" s="1"/>
  <c r="K620" i="6"/>
  <c r="M620" i="6" s="1"/>
  <c r="K66" i="6"/>
  <c r="M66" i="6" s="1"/>
  <c r="K643" i="6"/>
  <c r="M643" i="6" s="1"/>
  <c r="K149" i="6"/>
  <c r="M149" i="6" s="1"/>
  <c r="K541" i="6"/>
  <c r="M541" i="6" s="1"/>
  <c r="K152" i="6"/>
  <c r="M152" i="6" s="1"/>
  <c r="K278" i="6"/>
  <c r="M278" i="6" s="1"/>
  <c r="K664" i="6"/>
  <c r="M664" i="6" s="1"/>
  <c r="J155" i="6"/>
  <c r="K155" i="6" s="1"/>
  <c r="M155" i="6" s="1"/>
  <c r="J500" i="6"/>
  <c r="K500" i="6" s="1"/>
  <c r="M500" i="6" s="1"/>
  <c r="J384" i="6"/>
  <c r="K384" i="6" s="1"/>
  <c r="M384" i="6" s="1"/>
  <c r="J605" i="6"/>
  <c r="K605" i="6" s="1"/>
  <c r="M605" i="6" s="1"/>
  <c r="K917" i="6"/>
  <c r="M917" i="6" s="1"/>
  <c r="K1119" i="6"/>
  <c r="M1119" i="6" s="1"/>
  <c r="K272" i="6"/>
  <c r="M272" i="6" s="1"/>
  <c r="K438" i="6"/>
  <c r="M438" i="6" s="1"/>
  <c r="K433" i="6"/>
  <c r="M433" i="6" s="1"/>
  <c r="K30" i="6"/>
  <c r="M30" i="6" s="1"/>
  <c r="K245" i="6"/>
  <c r="M245" i="6" s="1"/>
  <c r="K592" i="6"/>
  <c r="M592" i="6" s="1"/>
  <c r="K410" i="6"/>
  <c r="M410" i="6" s="1"/>
  <c r="K651" i="6"/>
  <c r="M651" i="6" s="1"/>
  <c r="K174" i="6"/>
  <c r="M174" i="6" s="1"/>
  <c r="K587" i="6"/>
  <c r="M587" i="6" s="1"/>
  <c r="K18" i="6"/>
  <c r="M18" i="6" s="1"/>
  <c r="K210" i="6"/>
  <c r="M210" i="6" s="1"/>
  <c r="K137" i="6"/>
  <c r="M137" i="6" s="1"/>
  <c r="K691" i="6"/>
  <c r="M691" i="6" s="1"/>
  <c r="K139" i="6"/>
  <c r="M139" i="6" s="1"/>
  <c r="K448" i="6"/>
  <c r="M448" i="6" s="1"/>
  <c r="K457" i="6"/>
  <c r="M457" i="6" s="1"/>
  <c r="K427" i="6"/>
  <c r="M427" i="6" s="1"/>
  <c r="J299" i="6"/>
  <c r="K299" i="6" s="1"/>
  <c r="M299" i="6" s="1"/>
  <c r="J16" i="6"/>
  <c r="K16" i="6" s="1"/>
  <c r="M16" i="6" s="1"/>
  <c r="J661" i="6"/>
  <c r="K661" i="6" s="1"/>
  <c r="M661" i="6" s="1"/>
  <c r="J230" i="6"/>
  <c r="K230" i="6" s="1"/>
  <c r="M230" i="6" s="1"/>
  <c r="J454" i="6"/>
  <c r="K454" i="6" s="1"/>
  <c r="M454" i="6" s="1"/>
  <c r="K331" i="6"/>
  <c r="M331" i="6" s="1"/>
  <c r="K600" i="6"/>
  <c r="M600" i="6" s="1"/>
  <c r="K235" i="6"/>
  <c r="M235" i="6" s="1"/>
  <c r="K342" i="6"/>
  <c r="M342" i="6" s="1"/>
  <c r="K791" i="6"/>
  <c r="M791" i="6" s="1"/>
  <c r="K929" i="6"/>
  <c r="M929" i="6" s="1"/>
  <c r="K957" i="6"/>
  <c r="M957" i="6" s="1"/>
  <c r="K1124" i="6"/>
  <c r="M1124" i="6" s="1"/>
  <c r="K1267" i="6"/>
  <c r="M1267" i="6" s="1"/>
  <c r="K1229" i="6"/>
  <c r="M1229" i="6" s="1"/>
  <c r="K1184" i="6"/>
  <c r="M1184" i="6" s="1"/>
  <c r="K1288" i="6"/>
  <c r="M1288" i="6" s="1"/>
  <c r="K922" i="6"/>
  <c r="M922" i="6" s="1"/>
  <c r="K873" i="6"/>
  <c r="M873" i="6" s="1"/>
  <c r="K1047" i="6"/>
  <c r="M1047" i="6" s="1"/>
  <c r="K1386" i="6"/>
  <c r="M1386" i="6" s="1"/>
  <c r="K1244" i="6"/>
  <c r="M1244" i="6" s="1"/>
  <c r="K1312" i="6"/>
  <c r="M1312" i="6" s="1"/>
  <c r="K999" i="6"/>
  <c r="M999" i="6" s="1"/>
  <c r="K854" i="6"/>
  <c r="M854" i="6" s="1"/>
  <c r="K1385" i="6"/>
  <c r="M1385" i="6" s="1"/>
  <c r="K801" i="6"/>
  <c r="M801" i="6" s="1"/>
  <c r="K733" i="6"/>
  <c r="M733" i="6" s="1"/>
  <c r="K1269" i="6"/>
  <c r="M1269" i="6" s="1"/>
  <c r="K1053" i="6"/>
  <c r="M1053" i="6" s="1"/>
  <c r="K1163" i="6"/>
  <c r="M1163" i="6" s="1"/>
  <c r="K1304" i="6"/>
  <c r="M1304" i="6" s="1"/>
  <c r="K1150" i="6"/>
  <c r="M1150" i="6" s="1"/>
  <c r="K987" i="6"/>
  <c r="M987" i="6" s="1"/>
  <c r="K1141" i="6"/>
  <c r="M1141" i="6" s="1"/>
  <c r="K950" i="6"/>
  <c r="M950" i="6" s="1"/>
  <c r="K995" i="6"/>
  <c r="M995" i="6" s="1"/>
  <c r="M998" i="6"/>
  <c r="K1089" i="6"/>
  <c r="M1089" i="6" s="1"/>
  <c r="K1062" i="6"/>
  <c r="M1062" i="6" s="1"/>
  <c r="K1084" i="6"/>
  <c r="M1084" i="6" s="1"/>
  <c r="K1170" i="6"/>
  <c r="M1170" i="6" s="1"/>
  <c r="K1171" i="6"/>
  <c r="M1171" i="6" s="1"/>
  <c r="K1203" i="6"/>
  <c r="M1203" i="6" s="1"/>
  <c r="K1275" i="6"/>
  <c r="M1275" i="6" s="1"/>
  <c r="K1322" i="6"/>
  <c r="M1322" i="6" s="1"/>
  <c r="K1392" i="6"/>
  <c r="M1392" i="6" s="1"/>
  <c r="K1377" i="6"/>
  <c r="M1377" i="6" s="1"/>
  <c r="K938" i="6"/>
  <c r="M938" i="6" s="1"/>
  <c r="M844" i="6"/>
  <c r="K924" i="6"/>
  <c r="M924" i="6" s="1"/>
  <c r="K1128" i="6"/>
  <c r="M1128" i="6" s="1"/>
  <c r="K1086" i="6"/>
  <c r="M1086" i="6" s="1"/>
  <c r="K1179" i="6"/>
  <c r="M1179" i="6" s="1"/>
  <c r="K951" i="6"/>
  <c r="M951" i="6" s="1"/>
  <c r="K1309" i="6"/>
  <c r="M1309" i="6" s="1"/>
  <c r="M918" i="6"/>
  <c r="M805" i="6"/>
  <c r="K1063" i="6"/>
  <c r="M1063" i="6" s="1"/>
  <c r="K1027" i="6"/>
  <c r="M1027" i="6" s="1"/>
  <c r="K1059" i="6"/>
  <c r="M1059" i="6" s="1"/>
  <c r="K1136" i="6"/>
  <c r="M1136" i="6" s="1"/>
  <c r="M1126" i="6"/>
  <c r="K1228" i="6"/>
  <c r="M1228" i="6" s="1"/>
  <c r="K1232" i="6"/>
  <c r="M1232" i="6" s="1"/>
  <c r="K1265" i="6"/>
  <c r="M1265" i="6" s="1"/>
  <c r="K1311" i="6"/>
  <c r="M1311" i="6" s="1"/>
  <c r="K1343" i="6"/>
  <c r="M1343" i="6" s="1"/>
  <c r="K1358" i="6"/>
  <c r="M1358" i="6" s="1"/>
  <c r="K883" i="6"/>
  <c r="M883" i="6" s="1"/>
  <c r="K1117" i="6"/>
  <c r="M1117" i="6" s="1"/>
  <c r="K1264" i="6"/>
  <c r="M1264" i="6" s="1"/>
  <c r="K974" i="6"/>
  <c r="M974" i="6" s="1"/>
  <c r="K783" i="6"/>
  <c r="M783" i="6" s="1"/>
  <c r="K955" i="6"/>
  <c r="M955" i="6" s="1"/>
  <c r="K952" i="6"/>
  <c r="M952" i="6" s="1"/>
  <c r="K1072" i="6"/>
  <c r="M1072" i="6" s="1"/>
  <c r="K1159" i="6"/>
  <c r="M1159" i="6" s="1"/>
  <c r="K1116" i="6"/>
  <c r="M1116" i="6" s="1"/>
  <c r="K1106" i="6"/>
  <c r="M1106" i="6" s="1"/>
  <c r="K1180" i="6"/>
  <c r="M1180" i="6" s="1"/>
  <c r="K1310" i="6"/>
  <c r="M1310" i="6" s="1"/>
  <c r="K1380" i="6"/>
  <c r="M1380" i="6" s="1"/>
  <c r="K1393" i="6"/>
  <c r="M1393" i="6" s="1"/>
  <c r="M753" i="6"/>
  <c r="K765" i="6"/>
  <c r="M765" i="6" s="1"/>
  <c r="K1015" i="6"/>
  <c r="M1015" i="6" s="1"/>
  <c r="K829" i="6"/>
  <c r="M829" i="6" s="1"/>
  <c r="K972" i="6"/>
  <c r="M972" i="6" s="1"/>
  <c r="M1070" i="6"/>
  <c r="K1042" i="6"/>
  <c r="M1042" i="6" s="1"/>
  <c r="K1165" i="6"/>
  <c r="M1165" i="6" s="1"/>
  <c r="K848" i="6"/>
  <c r="M848" i="6" s="1"/>
  <c r="K930" i="6"/>
  <c r="M930" i="6" s="1"/>
  <c r="K1131" i="6"/>
  <c r="M1131" i="6" s="1"/>
  <c r="K1328" i="6"/>
  <c r="M1328" i="6" s="1"/>
  <c r="K1138" i="6"/>
  <c r="M1138" i="6" s="1"/>
  <c r="M1346" i="6"/>
  <c r="K901" i="6"/>
  <c r="M901" i="6" s="1"/>
  <c r="K1181" i="6"/>
  <c r="M1181" i="6" s="1"/>
  <c r="K1284" i="6"/>
  <c r="M1284" i="6" s="1"/>
  <c r="K916" i="6"/>
  <c r="M916" i="6" s="1"/>
  <c r="K789" i="6"/>
  <c r="M789" i="6" s="1"/>
  <c r="K992" i="6"/>
  <c r="M992" i="6" s="1"/>
  <c r="M798" i="6"/>
  <c r="M1212" i="6"/>
  <c r="K1303" i="6"/>
  <c r="M1303" i="6" s="1"/>
  <c r="K813" i="6"/>
  <c r="M813" i="6" s="1"/>
  <c r="K1191" i="6"/>
  <c r="M1191" i="6" s="1"/>
  <c r="K1301" i="6"/>
  <c r="M1301" i="6" s="1"/>
  <c r="K1092" i="6"/>
  <c r="M1092" i="6" s="1"/>
  <c r="K902" i="6"/>
  <c r="M902" i="6" s="1"/>
  <c r="K1000" i="6"/>
  <c r="M1000" i="6" s="1"/>
  <c r="K1082" i="6"/>
  <c r="M1082" i="6" s="1"/>
  <c r="K872" i="6"/>
  <c r="M872" i="6" s="1"/>
  <c r="K1195" i="6"/>
  <c r="M1195" i="6" s="1"/>
  <c r="K962" i="6"/>
  <c r="M962" i="6" s="1"/>
  <c r="K857" i="6"/>
  <c r="M857" i="6" s="1"/>
  <c r="K1069" i="6"/>
  <c r="M1069" i="6" s="1"/>
  <c r="K925" i="6"/>
  <c r="M925" i="6" s="1"/>
  <c r="K1083" i="6"/>
  <c r="M1083" i="6" s="1"/>
  <c r="K1039" i="6"/>
  <c r="M1039" i="6" s="1"/>
  <c r="K1112" i="6"/>
  <c r="M1112" i="6" s="1"/>
  <c r="K1306" i="6"/>
  <c r="M1306" i="6" s="1"/>
  <c r="K1382" i="6"/>
  <c r="M1382" i="6" s="1"/>
  <c r="K975" i="6"/>
  <c r="M975" i="6" s="1"/>
  <c r="K847" i="6"/>
  <c r="M847" i="6" s="1"/>
  <c r="K785" i="6"/>
  <c r="M785" i="6" s="1"/>
  <c r="K836" i="6"/>
  <c r="M836" i="6" s="1"/>
  <c r="K982" i="6"/>
  <c r="M982" i="6" s="1"/>
  <c r="K988" i="6"/>
  <c r="M988" i="6" s="1"/>
  <c r="K815" i="6"/>
  <c r="M815" i="6" s="1"/>
  <c r="K958" i="6"/>
  <c r="M958" i="6" s="1"/>
  <c r="K1375" i="6"/>
  <c r="M1375" i="6" s="1"/>
  <c r="K721" i="6"/>
  <c r="M721" i="6" s="1"/>
  <c r="K807" i="6"/>
  <c r="M807" i="6" s="1"/>
  <c r="K945" i="6"/>
  <c r="M945" i="6" s="1"/>
  <c r="K1010" i="6"/>
  <c r="M1010" i="6" s="1"/>
  <c r="K1173" i="6"/>
  <c r="M1173" i="6" s="1"/>
  <c r="K1252" i="6"/>
  <c r="M1252" i="6" s="1"/>
  <c r="K1337" i="6"/>
  <c r="M1337" i="6" s="1"/>
  <c r="K1007" i="6"/>
  <c r="M1007" i="6" s="1"/>
  <c r="K1338" i="6"/>
  <c r="M1338" i="6" s="1"/>
  <c r="K1298" i="6"/>
  <c r="M1298" i="6" s="1"/>
  <c r="K1268" i="6"/>
  <c r="M1268" i="6" s="1"/>
  <c r="K1307" i="6"/>
  <c r="M1307" i="6" s="1"/>
  <c r="K821" i="6"/>
  <c r="M821" i="6" s="1"/>
  <c r="K855" i="6"/>
  <c r="M855" i="6" s="1"/>
  <c r="K1394" i="6"/>
  <c r="M1394" i="6" s="1"/>
  <c r="K1068" i="6"/>
  <c r="M1068" i="6" s="1"/>
  <c r="K1054" i="6"/>
  <c r="M1054" i="6" s="1"/>
  <c r="K1110" i="6"/>
  <c r="M1110" i="6" s="1"/>
  <c r="M1342" i="6"/>
  <c r="K1248" i="6"/>
  <c r="M1248" i="6" s="1"/>
  <c r="K1372" i="6"/>
  <c r="M1372" i="6" s="1"/>
  <c r="K1132" i="6"/>
  <c r="M1132" i="6" s="1"/>
  <c r="M1283" i="6"/>
  <c r="M717" i="6"/>
  <c r="M833" i="6"/>
  <c r="K1292" i="6"/>
  <c r="M1292" i="6" s="1"/>
  <c r="K731" i="6"/>
  <c r="M731" i="6" s="1"/>
  <c r="K869" i="6"/>
  <c r="M869" i="6" s="1"/>
  <c r="M1227" i="6"/>
  <c r="K769" i="6"/>
  <c r="M769" i="6" s="1"/>
  <c r="M1209" i="6"/>
  <c r="K923" i="6"/>
  <c r="M923" i="6" s="1"/>
  <c r="K1139" i="6"/>
  <c r="M1139" i="6" s="1"/>
  <c r="K1261" i="6"/>
  <c r="M1261" i="6" s="1"/>
  <c r="K979" i="6"/>
  <c r="M979" i="6" s="1"/>
  <c r="K986" i="6"/>
  <c r="M986" i="6" s="1"/>
  <c r="K1019" i="6"/>
  <c r="M1019" i="6" s="1"/>
  <c r="K1270" i="6"/>
  <c r="M1270" i="6" s="1"/>
  <c r="M793" i="6"/>
  <c r="M880" i="6"/>
  <c r="K1317" i="6"/>
  <c r="M1317" i="6" s="1"/>
  <c r="K967" i="6"/>
  <c r="M967" i="6" s="1"/>
  <c r="K983" i="6"/>
  <c r="M983" i="6" s="1"/>
  <c r="K928" i="6"/>
  <c r="M928" i="6" s="1"/>
  <c r="K1178" i="6"/>
  <c r="M1178" i="6" s="1"/>
  <c r="K1105" i="6"/>
  <c r="M1105" i="6" s="1"/>
  <c r="M1098" i="6"/>
  <c r="K1257" i="6"/>
  <c r="M1257" i="6" s="1"/>
  <c r="M1177" i="6"/>
  <c r="M1213" i="6"/>
  <c r="K1274" i="6"/>
  <c r="M1274" i="6" s="1"/>
  <c r="K1299" i="6"/>
  <c r="M1299" i="6" s="1"/>
  <c r="K1374" i="6"/>
  <c r="M1374" i="6" s="1"/>
  <c r="K1339" i="6"/>
  <c r="M1339" i="6" s="1"/>
  <c r="K1398" i="6"/>
  <c r="M1398" i="6" s="1"/>
  <c r="K973" i="6"/>
  <c r="M973" i="6" s="1"/>
  <c r="K860" i="6"/>
  <c r="M860" i="6" s="1"/>
  <c r="M1111" i="6"/>
  <c r="M1067" i="6"/>
  <c r="K1207" i="6"/>
  <c r="M1207" i="6" s="1"/>
  <c r="K1351" i="6"/>
  <c r="M1351" i="6" s="1"/>
  <c r="M773" i="6"/>
  <c r="K1003" i="6"/>
  <c r="M1003" i="6" s="1"/>
  <c r="K919" i="6"/>
  <c r="M919" i="6" s="1"/>
  <c r="K786" i="6"/>
  <c r="M786" i="6" s="1"/>
  <c r="K956" i="6"/>
  <c r="M956" i="6" s="1"/>
  <c r="K1250" i="6"/>
  <c r="M1250" i="6" s="1"/>
  <c r="M779" i="6"/>
  <c r="K824" i="6"/>
  <c r="M824" i="6" s="1"/>
  <c r="K859" i="6"/>
  <c r="M859" i="6" s="1"/>
  <c r="K825" i="6"/>
  <c r="M825" i="6" s="1"/>
  <c r="K868" i="6"/>
  <c r="M868" i="6" s="1"/>
  <c r="M948" i="6"/>
  <c r="K965" i="6"/>
  <c r="M965" i="6" s="1"/>
  <c r="K1135" i="6"/>
  <c r="M1135" i="6" s="1"/>
  <c r="M1121" i="6"/>
  <c r="K1034" i="6"/>
  <c r="M1034" i="6" s="1"/>
  <c r="K1066" i="6"/>
  <c r="M1066" i="6" s="1"/>
  <c r="K1152" i="6"/>
  <c r="M1152" i="6" s="1"/>
  <c r="K1157" i="6"/>
  <c r="M1157" i="6" s="1"/>
  <c r="K1233" i="6"/>
  <c r="M1233" i="6" s="1"/>
  <c r="K1271" i="6"/>
  <c r="M1271" i="6" s="1"/>
  <c r="K1291" i="6"/>
  <c r="M1291" i="6" s="1"/>
  <c r="K1327" i="6"/>
  <c r="M1327" i="6" s="1"/>
  <c r="K1383" i="6"/>
  <c r="M1383" i="6" s="1"/>
  <c r="K1397" i="6"/>
  <c r="M1397" i="6" s="1"/>
  <c r="K1199" i="6"/>
  <c r="M1199" i="6" s="1"/>
  <c r="M1204" i="6"/>
  <c r="K1214" i="6"/>
  <c r="M1214" i="6" s="1"/>
  <c r="K1400" i="6"/>
  <c r="M1400" i="6" s="1"/>
  <c r="K843" i="6"/>
  <c r="M843" i="6" s="1"/>
  <c r="M1308" i="6"/>
  <c r="K784" i="6"/>
  <c r="M784" i="6" s="1"/>
  <c r="K851" i="6"/>
  <c r="M851" i="6" s="1"/>
  <c r="K819" i="6"/>
  <c r="M819" i="6" s="1"/>
  <c r="K905" i="6"/>
  <c r="M905" i="6" s="1"/>
  <c r="K1029" i="6"/>
  <c r="M1029" i="6" s="1"/>
  <c r="K1061" i="6"/>
  <c r="M1061" i="6" s="1"/>
  <c r="K953" i="6"/>
  <c r="M953" i="6" s="1"/>
  <c r="K1190" i="6"/>
  <c r="M1190" i="6" s="1"/>
  <c r="K1073" i="6"/>
  <c r="M1073" i="6" s="1"/>
  <c r="K1237" i="6"/>
  <c r="M1237" i="6" s="1"/>
  <c r="K1330" i="6"/>
  <c r="M1330" i="6" s="1"/>
  <c r="K1390" i="6"/>
  <c r="M1390" i="6" s="1"/>
  <c r="K1399" i="6"/>
  <c r="M1399" i="6" s="1"/>
  <c r="K705" i="6"/>
  <c r="M705" i="6" s="1"/>
  <c r="K1115" i="6"/>
  <c r="M1115" i="6" s="1"/>
  <c r="K990" i="6"/>
  <c r="M990" i="6" s="1"/>
  <c r="K1064" i="6"/>
  <c r="M1064" i="6" s="1"/>
  <c r="M1079" i="6"/>
  <c r="K1217" i="6"/>
  <c r="M1217" i="6" s="1"/>
  <c r="K1147" i="6"/>
  <c r="M1147" i="6" s="1"/>
  <c r="M1220" i="6"/>
  <c r="K1335" i="6"/>
  <c r="M1335" i="6" s="1"/>
  <c r="K852" i="6"/>
  <c r="M852" i="6" s="1"/>
  <c r="M743" i="6"/>
  <c r="K1253" i="6"/>
  <c r="M1253" i="6" s="1"/>
  <c r="K1040" i="6"/>
  <c r="M1040" i="6" s="1"/>
  <c r="K1090" i="6"/>
  <c r="M1090" i="6" s="1"/>
  <c r="K1074" i="6"/>
  <c r="M1074" i="6" s="1"/>
  <c r="K834" i="6"/>
  <c r="M834" i="6" s="1"/>
  <c r="K961" i="6"/>
  <c r="M961" i="6" s="1"/>
  <c r="K1276" i="6"/>
  <c r="M1276" i="6" s="1"/>
  <c r="M1320" i="6"/>
  <c r="K757" i="6"/>
  <c r="M757" i="6" s="1"/>
  <c r="K738" i="6"/>
  <c r="M738" i="6" s="1"/>
  <c r="K864" i="6"/>
  <c r="M864" i="6" s="1"/>
  <c r="K1146" i="6"/>
  <c r="M1146" i="6" s="1"/>
  <c r="K781" i="6"/>
  <c r="M781" i="6" s="1"/>
  <c r="K1014" i="6"/>
  <c r="M1014" i="6" s="1"/>
  <c r="K1012" i="6"/>
  <c r="M1012" i="6" s="1"/>
  <c r="K1318" i="6"/>
  <c r="M1318" i="6" s="1"/>
  <c r="K931" i="6"/>
  <c r="M931" i="6" s="1"/>
  <c r="K1052" i="6"/>
  <c r="M1052" i="6" s="1"/>
  <c r="K1044" i="6"/>
  <c r="M1044" i="6" s="1"/>
  <c r="K1005" i="6"/>
  <c r="M1005" i="6" s="1"/>
  <c r="K993" i="6"/>
  <c r="M993" i="6" s="1"/>
  <c r="K877" i="6"/>
  <c r="M877" i="6" s="1"/>
  <c r="K941" i="6"/>
  <c r="M941" i="6" s="1"/>
  <c r="K1127" i="6"/>
  <c r="M1127" i="6" s="1"/>
  <c r="K1055" i="6"/>
  <c r="M1055" i="6" s="1"/>
  <c r="K1058" i="6"/>
  <c r="M1058" i="6" s="1"/>
  <c r="K1140" i="6"/>
  <c r="M1140" i="6" s="1"/>
  <c r="K1169" i="6"/>
  <c r="M1169" i="6" s="1"/>
  <c r="K1281" i="6"/>
  <c r="M1281" i="6" s="1"/>
  <c r="K1355" i="6"/>
  <c r="M1355" i="6" s="1"/>
  <c r="K942" i="6"/>
  <c r="M942" i="6" s="1"/>
  <c r="K996" i="6"/>
  <c r="M996" i="6" s="1"/>
  <c r="K1259" i="6"/>
  <c r="M1259" i="6" s="1"/>
  <c r="K1020" i="6"/>
  <c r="M1020" i="6" s="1"/>
  <c r="K865" i="6"/>
  <c r="M865" i="6" s="1"/>
  <c r="K1081" i="6"/>
  <c r="M1081" i="6" s="1"/>
  <c r="K1182" i="6"/>
  <c r="M1182" i="6" s="1"/>
  <c r="K1256" i="6"/>
  <c r="M1256" i="6" s="1"/>
  <c r="K1316" i="6"/>
  <c r="M1316" i="6" s="1"/>
  <c r="K866" i="6"/>
  <c r="M866" i="6" s="1"/>
  <c r="K1001" i="6"/>
  <c r="M1001" i="6" s="1"/>
  <c r="K1156" i="6"/>
  <c r="M1156" i="6" s="1"/>
  <c r="K1162" i="6"/>
  <c r="M1162" i="6" s="1"/>
  <c r="K1168" i="6"/>
  <c r="M1168" i="6" s="1"/>
  <c r="K839" i="6"/>
  <c r="M839" i="6" s="1"/>
  <c r="K881" i="6"/>
  <c r="M881" i="6" s="1"/>
  <c r="K989" i="6"/>
  <c r="M989" i="6" s="1"/>
  <c r="K1024" i="6"/>
  <c r="M1024" i="6" s="1"/>
  <c r="K1189" i="6"/>
  <c r="M1189" i="6" s="1"/>
  <c r="K1201" i="6"/>
  <c r="M1201" i="6" s="1"/>
  <c r="K1287" i="6"/>
  <c r="M1287" i="6" s="1"/>
  <c r="K1367" i="6"/>
  <c r="M1367" i="6" s="1"/>
  <c r="K1247" i="6"/>
  <c r="M1247" i="6" s="1"/>
  <c r="K1193" i="6"/>
  <c r="M1193" i="6" s="1"/>
  <c r="K840" i="6"/>
  <c r="M840" i="6" s="1"/>
  <c r="K747" i="6"/>
  <c r="M747" i="6" s="1"/>
  <c r="K1087" i="6"/>
  <c r="M1087" i="6" s="1"/>
  <c r="K1223" i="6"/>
  <c r="M1223" i="6" s="1"/>
  <c r="K927" i="6"/>
  <c r="M927" i="6" s="1"/>
  <c r="K1041" i="6"/>
  <c r="M1041" i="6" s="1"/>
  <c r="M936" i="6"/>
  <c r="K849" i="6"/>
  <c r="M849" i="6" s="1"/>
  <c r="K1075" i="6"/>
  <c r="M1075" i="6" s="1"/>
  <c r="K1148" i="6"/>
  <c r="M1148" i="6" s="1"/>
  <c r="K1158" i="6"/>
  <c r="M1158" i="6" s="1"/>
  <c r="K1188" i="6"/>
  <c r="M1188" i="6" s="1"/>
  <c r="M1326" i="6"/>
  <c r="K1366" i="6"/>
  <c r="M1366" i="6" s="1"/>
  <c r="K1100" i="6"/>
  <c r="M1100" i="6" s="1"/>
  <c r="K828" i="6"/>
  <c r="M828" i="6" s="1"/>
  <c r="M1236" i="6"/>
  <c r="M910" i="6"/>
  <c r="K822" i="6"/>
  <c r="M822" i="6" s="1"/>
  <c r="M800" i="6"/>
  <c r="K954" i="6"/>
  <c r="M954" i="6" s="1"/>
  <c r="K820" i="6"/>
  <c r="M820" i="6" s="1"/>
  <c r="K1018" i="6"/>
  <c r="M1018" i="6" s="1"/>
  <c r="M1104" i="6"/>
  <c r="M1194" i="6"/>
  <c r="K1192" i="6"/>
  <c r="M1192" i="6" s="1"/>
  <c r="K1319" i="6"/>
  <c r="M1319" i="6" s="1"/>
  <c r="K1363" i="6"/>
  <c r="M1363" i="6" s="1"/>
  <c r="K1006" i="6"/>
  <c r="M1006" i="6" s="1"/>
  <c r="M1164" i="6"/>
  <c r="K1395" i="6"/>
  <c r="M1395" i="6" s="1"/>
  <c r="K810" i="6"/>
  <c r="M810" i="6" s="1"/>
  <c r="K937" i="6"/>
  <c r="M937" i="6" s="1"/>
  <c r="K1258" i="6"/>
  <c r="M1258" i="6" s="1"/>
  <c r="K1262" i="6"/>
  <c r="M1262" i="6" s="1"/>
  <c r="K1376" i="6"/>
  <c r="M1376" i="6" s="1"/>
  <c r="K940" i="6"/>
  <c r="M940" i="6" s="1"/>
  <c r="K1144" i="6"/>
  <c r="M1144" i="6" s="1"/>
  <c r="K1300" i="6"/>
  <c r="M1300" i="6" s="1"/>
  <c r="K1347" i="6"/>
  <c r="M1347" i="6" s="1"/>
  <c r="K885" i="6"/>
  <c r="M885" i="6" s="1"/>
  <c r="K761" i="6"/>
  <c r="M761" i="6" s="1"/>
  <c r="K1251" i="6"/>
  <c r="M1251" i="6" s="1"/>
  <c r="M845" i="6"/>
  <c r="K1099" i="6"/>
  <c r="M1099" i="6" s="1"/>
  <c r="K892" i="6"/>
  <c r="M892" i="6" s="1"/>
  <c r="K1255" i="6"/>
  <c r="M1255" i="6" s="1"/>
  <c r="K977" i="6"/>
  <c r="M977" i="6" s="1"/>
  <c r="K1130" i="6"/>
  <c r="M1130" i="6" s="1"/>
  <c r="K1050" i="6"/>
  <c r="M1050" i="6" s="1"/>
  <c r="K795" i="6"/>
  <c r="M795" i="6" s="1"/>
  <c r="K811" i="6"/>
  <c r="M811" i="6" s="1"/>
  <c r="M888" i="6"/>
  <c r="K1305" i="6"/>
  <c r="M1305" i="6" s="1"/>
  <c r="K831" i="6"/>
  <c r="M831" i="6" s="1"/>
  <c r="M838" i="6"/>
  <c r="M1077" i="6"/>
  <c r="M913" i="6"/>
  <c r="M1011" i="6"/>
  <c r="K1109" i="6"/>
  <c r="M1109" i="6" s="1"/>
  <c r="K1143" i="6"/>
  <c r="M1143" i="6" s="1"/>
  <c r="K1114" i="6"/>
  <c r="M1114" i="6" s="1"/>
  <c r="M1155" i="6"/>
  <c r="K1231" i="6"/>
  <c r="M1231" i="6" s="1"/>
  <c r="K1241" i="6"/>
  <c r="M1241" i="6" s="1"/>
  <c r="K1208" i="6"/>
  <c r="M1208" i="6" s="1"/>
  <c r="K1290" i="6"/>
  <c r="M1290" i="6" s="1"/>
  <c r="K1302" i="6"/>
  <c r="M1302" i="6" s="1"/>
  <c r="M1345" i="6"/>
  <c r="K1379" i="6"/>
  <c r="M1379" i="6" s="1"/>
  <c r="M1016" i="6"/>
  <c r="M876" i="6"/>
  <c r="K1038" i="6"/>
  <c r="M1038" i="6" s="1"/>
  <c r="M1103" i="6"/>
  <c r="K1215" i="6"/>
  <c r="M1215" i="6" s="1"/>
  <c r="K1221" i="6"/>
  <c r="M1221" i="6" s="1"/>
  <c r="K1384" i="6"/>
  <c r="M1384" i="6" s="1"/>
  <c r="K935" i="6"/>
  <c r="M935" i="6" s="1"/>
  <c r="K1341" i="6"/>
  <c r="M1341" i="6" s="1"/>
  <c r="K816" i="6"/>
  <c r="M816" i="6" s="1"/>
  <c r="K980" i="6"/>
  <c r="M980" i="6" s="1"/>
  <c r="K874" i="6"/>
  <c r="M874" i="6" s="1"/>
  <c r="K1365" i="6"/>
  <c r="M1365" i="6" s="1"/>
  <c r="K1048" i="6"/>
  <c r="M1048" i="6" s="1"/>
  <c r="K884" i="6"/>
  <c r="M884" i="6" s="1"/>
  <c r="K1008" i="6"/>
  <c r="M1008" i="6" s="1"/>
  <c r="K1151" i="6"/>
  <c r="M1151" i="6" s="1"/>
  <c r="K1043" i="6"/>
  <c r="M1043" i="6" s="1"/>
  <c r="M1071" i="6"/>
  <c r="M1088" i="6"/>
  <c r="K1094" i="6"/>
  <c r="M1094" i="6" s="1"/>
  <c r="M1238" i="6"/>
  <c r="K1183" i="6"/>
  <c r="M1183" i="6" s="1"/>
  <c r="M1239" i="6"/>
  <c r="K1260" i="6"/>
  <c r="M1260" i="6" s="1"/>
  <c r="M1315" i="6"/>
  <c r="M1362" i="6"/>
  <c r="K879" i="6"/>
  <c r="M879" i="6" s="1"/>
  <c r="M1357" i="6"/>
  <c r="K964" i="6"/>
  <c r="M964" i="6" s="1"/>
  <c r="K1118" i="6"/>
  <c r="M1118" i="6" s="1"/>
  <c r="M1226" i="6"/>
  <c r="M1348" i="6"/>
  <c r="K1325" i="6"/>
  <c r="M1325" i="6" s="1"/>
  <c r="K1296" i="6"/>
  <c r="M1296" i="6" s="1"/>
  <c r="K827" i="6"/>
  <c r="M827" i="6" s="1"/>
  <c r="K920" i="6"/>
  <c r="M920" i="6" s="1"/>
  <c r="M792" i="6"/>
  <c r="K890" i="6"/>
  <c r="M890" i="6" s="1"/>
  <c r="M1391" i="6"/>
  <c r="M826" i="6"/>
  <c r="M1002" i="6"/>
  <c r="K921" i="6"/>
  <c r="M921" i="6" s="1"/>
  <c r="M1085" i="6"/>
  <c r="K981" i="6"/>
  <c r="M981" i="6" s="1"/>
  <c r="K1113" i="6"/>
  <c r="M1113" i="6" s="1"/>
  <c r="K1093" i="6"/>
  <c r="M1093" i="6" s="1"/>
  <c r="M1222" i="6"/>
  <c r="M1242" i="6"/>
  <c r="M1364" i="6"/>
  <c r="K1389" i="6"/>
  <c r="M1389" i="6" s="1"/>
  <c r="K715" i="6"/>
  <c r="M715" i="6" s="1"/>
  <c r="M886" i="6"/>
  <c r="M891" i="6"/>
  <c r="M1185" i="6"/>
  <c r="K908" i="6"/>
  <c r="M908" i="6" s="1"/>
  <c r="K1129" i="6"/>
  <c r="M1129" i="6" s="1"/>
  <c r="K1160" i="6"/>
  <c r="M1160" i="6" s="1"/>
  <c r="K1235" i="6"/>
  <c r="M1235" i="6" s="1"/>
  <c r="M1230" i="6"/>
  <c r="M1297" i="6"/>
  <c r="K1340" i="6"/>
  <c r="M1340" i="6" s="1"/>
  <c r="M1224" i="6"/>
  <c r="M1378" i="6"/>
  <c r="K755" i="6"/>
  <c r="M755" i="6" s="1"/>
  <c r="M729" i="6"/>
  <c r="K933" i="6"/>
  <c r="M933" i="6" s="1"/>
  <c r="K709" i="6"/>
  <c r="M709" i="6" s="1"/>
  <c r="K782" i="6"/>
  <c r="M782" i="6" s="1"/>
  <c r="M1278" i="6"/>
  <c r="K1166" i="6"/>
  <c r="M1166" i="6" s="1"/>
  <c r="K1142" i="6"/>
  <c r="M1142" i="6" s="1"/>
  <c r="M858" i="6"/>
  <c r="M1323" i="6"/>
  <c r="M1331" i="6"/>
  <c r="K968" i="6"/>
  <c r="M968" i="6" s="1"/>
  <c r="K1032" i="6"/>
  <c r="M1032" i="6" s="1"/>
  <c r="M707" i="6"/>
  <c r="K704" i="6"/>
  <c r="M704" i="6" s="1"/>
  <c r="K1102" i="6"/>
  <c r="M1102" i="6" s="1"/>
  <c r="K1134" i="6"/>
  <c r="M1134" i="6" s="1"/>
  <c r="K1028" i="6"/>
  <c r="M1028" i="6" s="1"/>
  <c r="K894" i="6"/>
  <c r="M894" i="6" s="1"/>
  <c r="K814" i="6"/>
  <c r="M814" i="6" s="1"/>
  <c r="K802" i="6"/>
  <c r="M802" i="6" s="1"/>
  <c r="K1361" i="6"/>
  <c r="M1361" i="6" s="1"/>
  <c r="K1243" i="6"/>
  <c r="M1243" i="6" s="1"/>
  <c r="K1060" i="6"/>
  <c r="M1060" i="6" s="1"/>
  <c r="K959" i="6"/>
  <c r="M959" i="6" s="1"/>
  <c r="K1381" i="6"/>
  <c r="M1381" i="6" s="1"/>
  <c r="K1282" i="6"/>
  <c r="M1282" i="6" s="1"/>
  <c r="K985" i="6"/>
  <c r="M985" i="6" s="1"/>
  <c r="K1211" i="6"/>
  <c r="M1211" i="6" s="1"/>
  <c r="K790" i="6"/>
  <c r="M790" i="6" s="1"/>
  <c r="K914" i="6"/>
  <c r="M914" i="6" s="1"/>
  <c r="K817" i="6"/>
  <c r="M817" i="6" s="1"/>
  <c r="K1137" i="6"/>
  <c r="M1137" i="6" s="1"/>
  <c r="K1037" i="6"/>
  <c r="M1037" i="6" s="1"/>
  <c r="K1091" i="6"/>
  <c r="M1091" i="6" s="1"/>
  <c r="K893" i="6"/>
  <c r="M893" i="6" s="1"/>
  <c r="K976" i="6"/>
  <c r="M976" i="6" s="1"/>
  <c r="K1051" i="6"/>
  <c r="M1051" i="6" s="1"/>
  <c r="K1133" i="6"/>
  <c r="M1133" i="6" s="1"/>
  <c r="K1101" i="6"/>
  <c r="M1101" i="6" s="1"/>
  <c r="K1080" i="6"/>
  <c r="M1080" i="6" s="1"/>
  <c r="K1122" i="6"/>
  <c r="M1122" i="6" s="1"/>
  <c r="K1123" i="6"/>
  <c r="M1123" i="6" s="1"/>
  <c r="K1205" i="6"/>
  <c r="M1205" i="6" s="1"/>
  <c r="K1234" i="6"/>
  <c r="M1234" i="6" s="1"/>
  <c r="K1197" i="6"/>
  <c r="M1197" i="6" s="1"/>
  <c r="K1198" i="6"/>
  <c r="M1198" i="6" s="1"/>
  <c r="K1245" i="6"/>
  <c r="M1245" i="6" s="1"/>
  <c r="K1240" i="6"/>
  <c r="M1240" i="6" s="1"/>
  <c r="K1356" i="6"/>
  <c r="M1356" i="6" s="1"/>
  <c r="K1359" i="6"/>
  <c r="M1359" i="6" s="1"/>
  <c r="K1350" i="6"/>
  <c r="M1350" i="6" s="1"/>
  <c r="K1401" i="6"/>
  <c r="M1401" i="6" s="1"/>
  <c r="K878" i="6"/>
  <c r="M878" i="6" s="1"/>
  <c r="K1096" i="6"/>
  <c r="M1096" i="6" s="1"/>
  <c r="K739" i="6"/>
  <c r="M739" i="6" s="1"/>
  <c r="K832" i="6"/>
  <c r="M832" i="6" s="1"/>
  <c r="K725" i="6"/>
  <c r="M725" i="6" s="1"/>
  <c r="K1004" i="6"/>
  <c r="M1004" i="6" s="1"/>
  <c r="K889" i="6"/>
  <c r="M889" i="6" s="1"/>
  <c r="K1107" i="6"/>
  <c r="M1107" i="6" s="1"/>
  <c r="K1167" i="6"/>
  <c r="M1167" i="6" s="1"/>
  <c r="K1249" i="6"/>
  <c r="M1249" i="6" s="1"/>
  <c r="K712" i="6"/>
  <c r="M712" i="6" s="1"/>
  <c r="K763" i="6"/>
  <c r="M763" i="6" s="1"/>
  <c r="K803" i="6"/>
  <c r="M803" i="6" s="1"/>
  <c r="K1154" i="6"/>
  <c r="M1154" i="6" s="1"/>
  <c r="K1344" i="6"/>
  <c r="M1344" i="6" s="1"/>
  <c r="K1219" i="6"/>
  <c r="M1219" i="6" s="1"/>
  <c r="K939" i="6"/>
  <c r="M939" i="6" s="1"/>
  <c r="K842" i="6"/>
  <c r="M842" i="6" s="1"/>
  <c r="K1056" i="6"/>
  <c r="M1056" i="6" s="1"/>
  <c r="K1033" i="6"/>
  <c r="M1033" i="6" s="1"/>
  <c r="K966" i="6"/>
  <c r="M966" i="6" s="1"/>
  <c r="K960" i="6"/>
  <c r="M960" i="6" s="1"/>
  <c r="K984" i="6"/>
  <c r="M984" i="6" s="1"/>
  <c r="K749" i="6"/>
  <c r="M749" i="6" s="1"/>
  <c r="K882" i="6"/>
  <c r="M882" i="6" s="1"/>
  <c r="K926" i="6"/>
  <c r="M926" i="6" s="1"/>
  <c r="K994" i="6"/>
  <c r="M994" i="6" s="1"/>
  <c r="K969" i="6"/>
  <c r="M969" i="6" s="1"/>
  <c r="K897" i="6"/>
  <c r="M897" i="6" s="1"/>
  <c r="K900" i="6"/>
  <c r="M900" i="6" s="1"/>
  <c r="K1030" i="6"/>
  <c r="M1030" i="6" s="1"/>
  <c r="K1149" i="6"/>
  <c r="M1149" i="6" s="1"/>
  <c r="K1186" i="6"/>
  <c r="M1186" i="6" s="1"/>
  <c r="K1279" i="6"/>
  <c r="M1279" i="6" s="1"/>
  <c r="K1332" i="6"/>
  <c r="M1332" i="6" s="1"/>
  <c r="K1396" i="6"/>
  <c r="M1396" i="6" s="1"/>
  <c r="K991" i="6"/>
  <c r="M991" i="6" s="1"/>
  <c r="K1076" i="6"/>
  <c r="M1076" i="6" s="1"/>
  <c r="K932" i="6"/>
  <c r="M932" i="6" s="1"/>
  <c r="K1273" i="6"/>
  <c r="M1273" i="6" s="1"/>
  <c r="K745" i="6"/>
  <c r="M745" i="6" s="1"/>
  <c r="K904" i="6"/>
  <c r="M904" i="6" s="1"/>
  <c r="K1336" i="6"/>
  <c r="M1336" i="6" s="1"/>
  <c r="K1314" i="6"/>
  <c r="M1314" i="6" s="1"/>
  <c r="K837" i="6"/>
  <c r="M837" i="6" s="1"/>
  <c r="K809" i="6"/>
  <c r="M809" i="6" s="1"/>
  <c r="K1045" i="6"/>
  <c r="M1045" i="6" s="1"/>
  <c r="K1031" i="6"/>
  <c r="M1031" i="6" s="1"/>
  <c r="K1175" i="6"/>
  <c r="M1175" i="6" s="1"/>
  <c r="K1289" i="6"/>
  <c r="M1289" i="6" s="1"/>
  <c r="K1334" i="6"/>
  <c r="M1334" i="6" s="1"/>
  <c r="K949" i="6"/>
  <c r="M949" i="6" s="1"/>
  <c r="K1009" i="6"/>
  <c r="M1009" i="6" s="1"/>
  <c r="K1369" i="6"/>
  <c r="M1369" i="6" s="1"/>
  <c r="M716" i="6"/>
  <c r="K2" i="6"/>
  <c r="M2" i="6" l="1"/>
</calcChain>
</file>

<file path=xl/sharedStrings.xml><?xml version="1.0" encoding="utf-8"?>
<sst xmlns="http://schemas.openxmlformats.org/spreadsheetml/2006/main" count="14490" uniqueCount="199">
  <si>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</si>
  <si>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</si>
  <si>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</si>
  <si>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</si>
  <si>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</si>
  <si>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</si>
  <si>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</si>
  <si>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</si>
  <si>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</si>
  <si>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</si>
  <si>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</si>
  <si>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</si>
  <si>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</si>
  <si>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</si>
  <si>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</si>
  <si>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</si>
  <si>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</si>
  <si>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</si>
  <si>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</si>
  <si>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</si>
  <si>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Germany</t>
  </si>
  <si>
    <t>Midmarket</t>
  </si>
  <si>
    <t>France</t>
  </si>
  <si>
    <t>Mexico</t>
  </si>
  <si>
    <t>Montana</t>
  </si>
  <si>
    <t>Channel Partners</t>
  </si>
  <si>
    <t>Enterprise</t>
  </si>
  <si>
    <t>Small Business</t>
  </si>
  <si>
    <t>Paseo</t>
  </si>
  <si>
    <t>Velo</t>
  </si>
  <si>
    <t>VTT</t>
  </si>
  <si>
    <t>Amarilla</t>
  </si>
  <si>
    <t>Low</t>
  </si>
  <si>
    <t>Medium</t>
  </si>
  <si>
    <t>High</t>
  </si>
  <si>
    <t>ID</t>
  </si>
  <si>
    <t>USA</t>
  </si>
  <si>
    <t>Government,Canada,Carretera</t>
  </si>
  <si>
    <t>Mar</t>
  </si>
  <si>
    <t>Government,Germany,Carretera</t>
  </si>
  <si>
    <t>Sep</t>
  </si>
  <si>
    <t>Midmarket,France,Carretera</t>
  </si>
  <si>
    <t>Midmarket,Germany,Carretera</t>
  </si>
  <si>
    <t>Nov</t>
  </si>
  <si>
    <t>Midmarket,Mexico,Carretera</t>
  </si>
  <si>
    <t>Jun</t>
  </si>
  <si>
    <t>May</t>
  </si>
  <si>
    <t>Midmarket,Germany,Montana</t>
  </si>
  <si>
    <t>Jul</t>
  </si>
  <si>
    <t>Channel Partners,Canada,Montana</t>
  </si>
  <si>
    <t>Government,France,Montana</t>
  </si>
  <si>
    <t>Channel Partners,Germany,Montana</t>
  </si>
  <si>
    <t>Feb</t>
  </si>
  <si>
    <t>Midmarket,Mexico,Montana</t>
  </si>
  <si>
    <t>Enterprise,Canada,Montana</t>
  </si>
  <si>
    <t>Oct</t>
  </si>
  <si>
    <t>Small Business,Mexico,Montana</t>
  </si>
  <si>
    <t>Government,Germany,Montana</t>
  </si>
  <si>
    <t>Jan</t>
  </si>
  <si>
    <t>Midmarket,USA,Montana</t>
  </si>
  <si>
    <t>Government,Canada,Paseo</t>
  </si>
  <si>
    <t>Midmarket,Mexico,Paseo</t>
  </si>
  <si>
    <t>Aug</t>
  </si>
  <si>
    <t>Channel Partners,Canada,Paseo</t>
  </si>
  <si>
    <t>Government,Germany,Paseo</t>
  </si>
  <si>
    <t>Channel Partners,Germany,Paseo</t>
  </si>
  <si>
    <t>Government,Mexico,Paseo</t>
  </si>
  <si>
    <t>Midmarket,France,Paseo</t>
  </si>
  <si>
    <t>Small Business,Mexico,Paseo</t>
  </si>
  <si>
    <t>Government,USA,Paseo</t>
  </si>
  <si>
    <t>Channel Partners,USA,Paseo</t>
  </si>
  <si>
    <t>Midmarket,Canada,Paseo</t>
  </si>
  <si>
    <t>Government,Mexico,Velo</t>
  </si>
  <si>
    <t>Enterprise,France,Velo</t>
  </si>
  <si>
    <t>Channel Partners,Germany,Velo</t>
  </si>
  <si>
    <t>Apr</t>
  </si>
  <si>
    <t>Government,Germany,Velo</t>
  </si>
  <si>
    <t>Dec</t>
  </si>
  <si>
    <t>Enterprise,USA,Velo</t>
  </si>
  <si>
    <t>Enterprise,Canada,Velo</t>
  </si>
  <si>
    <t>Small Business,Canada,VTT</t>
  </si>
  <si>
    <t>Channel Partners,Germany,VTT</t>
  </si>
  <si>
    <t>Midmarket,France,VTT</t>
  </si>
  <si>
    <t>Midmarket,Germany,VTT</t>
  </si>
  <si>
    <t>Government,France,VTT</t>
  </si>
  <si>
    <t>Small Business,France,VTT</t>
  </si>
  <si>
    <t>Government,Canada,VTT</t>
  </si>
  <si>
    <t>Government,France,Amarilla</t>
  </si>
  <si>
    <t>Channel Partners,USA,Amarilla</t>
  </si>
  <si>
    <t>Enterprise,Germany,Amarilla</t>
  </si>
  <si>
    <t>Government,Germany,Amarilla</t>
  </si>
  <si>
    <t>Government,USA,Amarilla</t>
  </si>
  <si>
    <t>Midmarket,USA,Amarilla</t>
  </si>
  <si>
    <t>Government,France,Paseo</t>
  </si>
  <si>
    <t>Government,France,Velo</t>
  </si>
  <si>
    <t>Channel Partners,USA,Carretera</t>
  </si>
  <si>
    <t>Government,Mexico,Carretera</t>
  </si>
  <si>
    <t>Government,USA,Carretera</t>
  </si>
  <si>
    <t>Channel Partners,Canada,Carretera</t>
  </si>
  <si>
    <t>Enterprise,USA,Carretera</t>
  </si>
  <si>
    <t>Channel Partners,France,Carretera</t>
  </si>
  <si>
    <t>Channel Partners,Germany,Carretera</t>
  </si>
  <si>
    <t>Small Business,Mexico,Carretera</t>
  </si>
  <si>
    <t>Government,France,Carretera</t>
  </si>
  <si>
    <t>Small Business,USA,Montana</t>
  </si>
  <si>
    <t>Government,Canada,Montana</t>
  </si>
  <si>
    <t>Enterprise,USA,Montana</t>
  </si>
  <si>
    <t>Midmarket,USA,Paseo</t>
  </si>
  <si>
    <t>Enterprise,USA,Paseo</t>
  </si>
  <si>
    <t>Enterprise,France,Paseo</t>
  </si>
  <si>
    <t>Enterprise,Mexico,Paseo</t>
  </si>
  <si>
    <t>Midmarket,Germany,Paseo</t>
  </si>
  <si>
    <t>Small Business,USA,Paseo</t>
  </si>
  <si>
    <t>Government,Canada,Velo</t>
  </si>
  <si>
    <t>Government,Germany,VTT</t>
  </si>
  <si>
    <t>Enterprise,USA,VTT</t>
  </si>
  <si>
    <t>Enterprise,France,VTT</t>
  </si>
  <si>
    <t>Small Business,Germany,VTT</t>
  </si>
  <si>
    <t>Small Business,Mexico,VTT</t>
  </si>
  <si>
    <t>Government,Mexico,VTT</t>
  </si>
  <si>
    <t>Midmarket,France,Amarilla</t>
  </si>
  <si>
    <t>Enterprise,Canada,Carretera</t>
  </si>
  <si>
    <t>Small Business,Germany,Carretera</t>
  </si>
  <si>
    <t>Channel Partners,USA,Montana</t>
  </si>
  <si>
    <t>Government,USA,Montana</t>
  </si>
  <si>
    <t>Channel Partners,Mexico,Montana</t>
  </si>
  <si>
    <t>Enterprise,Mexico,Montana</t>
  </si>
  <si>
    <t>Small Business,France,Paseo</t>
  </si>
  <si>
    <t>Small Business,Germany,Paseo</t>
  </si>
  <si>
    <t>Enterprise,Germany,Paseo</t>
  </si>
  <si>
    <t>Channel Partners,France,Paseo</t>
  </si>
  <si>
    <t>Small Business,Canada,Paseo</t>
  </si>
  <si>
    <t>Enterprise,Canada,Paseo</t>
  </si>
  <si>
    <t>Channel Partners,Mexico,Paseo</t>
  </si>
  <si>
    <t>Government,USA,Velo</t>
  </si>
  <si>
    <t>Enterprise,Germany,Velo</t>
  </si>
  <si>
    <t>Enterprise,Mexico,Velo</t>
  </si>
  <si>
    <t>Channel Partners,France,Velo</t>
  </si>
  <si>
    <t>Channel Partners,Mexico,Velo</t>
  </si>
  <si>
    <t>Enterprise,Mexico,VTT</t>
  </si>
  <si>
    <t>Enterprise,Canada,VTT</t>
  </si>
  <si>
    <t>Government,USA,VTT</t>
  </si>
  <si>
    <t>Small Business,Germany,Amarilla</t>
  </si>
  <si>
    <t>Small Business,Mexico,Amarilla</t>
  </si>
  <si>
    <t>Small Business,Canada,Amarilla</t>
  </si>
  <si>
    <t>Enterprise,France,Carretera</t>
  </si>
  <si>
    <t>Channel Partners,France,Montana</t>
  </si>
  <si>
    <t>Enterprise,France,Montana</t>
  </si>
  <si>
    <t>Enterprise,Germany,Montana</t>
  </si>
  <si>
    <t>Small Business,USA,VTT</t>
  </si>
  <si>
    <t>Channel Partners,Mexico,VTT</t>
  </si>
  <si>
    <t>Enterprise,Germany,VTT</t>
  </si>
  <si>
    <t>Midmarket,Canada,Montana</t>
  </si>
  <si>
    <t>Small Business,Germany,Montana</t>
  </si>
  <si>
    <t>Channel Partners,USA,Velo</t>
  </si>
  <si>
    <t>Channel Partners,France,VTT</t>
  </si>
  <si>
    <t>Midmarket,Mexico,VTT</t>
  </si>
  <si>
    <t>Government,Mexico,Amarilla</t>
  </si>
  <si>
    <t>Enterprise,Mexico,Amarilla</t>
  </si>
  <si>
    <t>Government,Canada,Amarilla</t>
  </si>
  <si>
    <t>Channel Partners,Canada,Velo</t>
  </si>
  <si>
    <t>Channel Partners,Mexico,Amarilla</t>
  </si>
  <si>
    <t>Small Business,USA,Carretera</t>
  </si>
  <si>
    <t>Government,Mexico,Montana</t>
  </si>
  <si>
    <t>Midmarket,USA,Velo</t>
  </si>
  <si>
    <t>Midmarket,Mexico,Velo</t>
  </si>
  <si>
    <t>Small Business,Germany,Velo</t>
  </si>
  <si>
    <t>Midmarket,Canada,Carretera</t>
  </si>
  <si>
    <t>Channel Partners,Mexico,Carretera</t>
  </si>
  <si>
    <t>Midmarket,USA,Carretera</t>
  </si>
  <si>
    <t>Enterprise,Germany,Carretera</t>
  </si>
  <si>
    <t>Midmarket,Germany,Velo</t>
  </si>
  <si>
    <t>Small Business,France,Velo</t>
  </si>
  <si>
    <t>Midmarket,Canada,VTT</t>
  </si>
  <si>
    <t>Enterprise,France,Amarilla</t>
  </si>
  <si>
    <t>Midmarket,USA,VTT</t>
  </si>
  <si>
    <t>Midmarket,Canada,Velo</t>
  </si>
  <si>
    <t>Small Business,France,Carretera</t>
  </si>
  <si>
    <t>Small Business,France,Montana</t>
  </si>
  <si>
    <t>Small Business,USA,Velo</t>
  </si>
  <si>
    <t>Channel Partners,Canada,VTT</t>
  </si>
  <si>
    <t>Enterprise,Canada,Amarilla</t>
  </si>
  <si>
    <t>Small Business,USA,Amarilla</t>
  </si>
  <si>
    <t>Enterprise,Mexico,Carretera</t>
  </si>
  <si>
    <t>Midmarket,France,Montana</t>
  </si>
  <si>
    <t>Small Business,Canada,Montana</t>
  </si>
  <si>
    <t>Small Business,Mexico,Velo</t>
  </si>
  <si>
    <t>Midmarket,Germany,Amarilla</t>
  </si>
  <si>
    <t>Small Business,Canada,Carretera</t>
  </si>
  <si>
    <t>Small Business,Canada,Velo</t>
  </si>
  <si>
    <t>Channel Partners,USA,VTT</t>
  </si>
  <si>
    <t>Midmarket,Canada,Amarilla</t>
  </si>
  <si>
    <t>Channel Partners,France,Amarilla</t>
  </si>
  <si>
    <t>Enterprise,USA,Amarilla</t>
  </si>
  <si>
    <t>Channel Partners,Canada,Amarilla</t>
  </si>
  <si>
    <t>Channel Partners,Germany,Amarilla</t>
  </si>
  <si>
    <t>Small Business,France,Amarilla</t>
  </si>
  <si>
    <t>Midmarket,Mexico,Amarilla</t>
  </si>
  <si>
    <t>Midmarket,France,Velo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</si>
</sst>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Q1401" totalsRowShown="0" headerRowDxfId="15" dataDxfId="14" headerRowCellStyle="Currency" dataCellStyle="Currency">
  <autoFilter ref="A1:Q1401" xr:uid="{00000000-0009-0000-0100-000001000000}"/>
  <tableColumns count="17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3" dataCellStyle="Currency"/>
    <tableColumn id="5" xr3:uid="{5CF1DC9B-8538-4208-9BDD-F3B0B37AA443}" name="ID" dataDxfId="12" dataCellStyle="Currency">
      <calculatedColumnFormula>CONCATENATE(financials[[#This Row],[Segment]],",",financials[[#This Row],[Country]],",",financials[[#This Row],[Product]])</calculatedColumnFormula>
    </tableColumn>
    <tableColumn id="19" xr3:uid="{00000000-0010-0000-0000-000013000000}" name="Discount Band" dataDxfId="11" dataCellStyle="Currency"/>
    <tableColumn id="6" xr3:uid="{00000000-0010-0000-0000-000006000000}" name="Units Sold">
      <calculatedColumnFormula>RANDBETWEEN(10,1000)</calculatedColumnFormula>
    </tableColumn>
    <tableColumn id="7" xr3:uid="{00000000-0010-0000-0000-000007000000}" name="Manufacturing Price" dataDxfId="10" dataCellStyle="Currency">
      <calculatedColumnFormula>VLOOKUP(financials[[#This Row],[ID]],Prices!D:F,2,FALSE)</calculatedColumnFormula>
    </tableColumn>
    <tableColumn id="8" xr3:uid="{00000000-0010-0000-0000-000008000000}" name="Sale Price" dataDxfId="9" dataCellStyle="Currency">
      <calculatedColumnFormula>VLOOKUP(financials[[#This Row],[ID]],Prices!D:F,3,FALSE)</calculatedColumnFormula>
    </tableColumn>
    <tableColumn id="9" xr3:uid="{00000000-0010-0000-0000-000009000000}" name="Gross Sales" dataDxfId="8" dataCellStyle="Currency">
      <calculatedColumnFormula>financials[[#This Row],[Units Sold]]*financials[[#This Row],[Sale Price]]</calculatedColumnFormula>
    </tableColumn>
    <tableColumn id="10" xr3:uid="{00000000-0010-0000-0000-00000A000000}" name="Discounts" dataDxfId="7" dataCellStyle="Currency">
      <calculatedColumnFormula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calculatedColumnFormula>
    </tableColumn>
    <tableColumn id="11" xr3:uid="{00000000-0010-0000-0000-00000B000000}" name="Sales" dataDxfId="6" dataCellStyle="Currency">
      <calculatedColumnFormula>financials[[#This Row],[Gross Sales]]-financials[[#This Row],[Discounts]]</calculatedColumnFormula>
    </tableColumn>
    <tableColumn id="12" xr3:uid="{00000000-0010-0000-0000-00000C000000}" name="COGS" dataDxfId="5" dataCellStyle="Currency">
      <calculatedColumnFormula>financials[[#This Row],[Units Sold]]*financials[[#This Row],[Manufacturing Price]]</calculatedColumnFormula>
    </tableColumn>
    <tableColumn id="13" xr3:uid="{00000000-0010-0000-0000-00000D000000}" name="Profit" dataDxfId="4" dataCellStyle="Currency">
      <calculatedColumnFormula>financials[[#This Row],[Sales]]-financials[[#This Row],[COGS]]</calculatedColumnFormula>
    </tableColumn>
    <tableColumn id="4" xr3:uid="{00000000-0010-0000-0000-000004000000}" name="Date" dataDxfId="3" dataCellStyle="Currency">
      <calculatedColumnFormula>TODAY()-RANDBETWEEN(1,732)</calculatedColumnFormula>
    </tableColumn>
    <tableColumn id="17" xr3:uid="{00000000-0010-0000-0000-000011000000}" name="Month Number" dataDxfId="2" dataCellStyle="Currency">
      <calculatedColumnFormula>MONTH(financials[[#This Row],[Date]])</calculatedColumnFormula>
    </tableColumn>
    <tableColumn id="18" xr3:uid="{00000000-0010-0000-0000-000012000000}" name="Month Name" dataDxfId="1" dataCellStyle="Currency">
      <calculatedColumnFormula>TEXT(financials[[#This Row],[Date]],"MMM")</calculatedColumnFormula>
    </tableColumn>
    <tableColumn id="20" xr3:uid="{00000000-0010-0000-0000-000014000000}" name="Year" dataDxfId="0" dataCellStyle="Currency">
      <calculatedColumnFormula>YEAR(financials[[#This Row],[Date]])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CA3557-991B-4531-A4E7-DBC1DD33D258}" name="Table6" displayName="Table6" ref="A1:F151" totalsRowShown="0">
  <autoFilter ref="A1:F151" xr:uid="{A6CA3557-991B-4531-A4E7-DBC1DD33D258}"/>
  <tableColumns count="6">
    <tableColumn id="1" xr3:uid="{A1938254-BFAA-4442-911A-6888A6ED3559}" name="Segment"/>
    <tableColumn id="2" xr3:uid="{55D16DD7-C062-4E15-ABCE-6BF652A6EC8F}" name="Country"/>
    <tableColumn id="3" xr3:uid="{F9EAC66F-431F-4C30-8447-0B18D6E9701F}" name="Product"/>
    <tableColumn id="4" xr3:uid="{7FF5FFA8-06E0-4000-8121-47C3176B0BFE}" name="ID">
      <calculatedColumnFormula>CONCATENATE(A2,",",B2,",",C2)</calculatedColumnFormula>
    </tableColumn>
    <tableColumn id="5" xr3:uid="{A67FD556-EF2D-4FAA-B3D8-E9201C1A34D8}" name="Manufacturing Price">
      <calculatedColumnFormula>RANDBETWEEN(10,20)</calculatedColumnFormula>
    </tableColumn>
    <tableColumn id="6" xr3:uid="{F64B528E-6F20-487C-BACE-F91D19D25A67}" name="Sale Price">
      <calculatedColumnFormula>RANDBETWEEN(16,38)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1"/>
  <sheetViews>
    <sheetView tabSelected="1" zoomScale="70" zoomScaleNormal="70" workbookViewId="0"/>
  </sheetViews>
  <sheetFormatPr defaultRowHeight="14.4" x14ac:dyDescent="0.3"/>
  <cols>
    <col min="1" max="1" width="16.33203125" bestFit="1" customWidth="1"/>
    <col min="2" max="2" width="11.21875" bestFit="1" customWidth="1"/>
    <col min="3" max="3" width="12.33203125" style="3" bestFit="1" customWidth="1"/>
    <col min="4" max="4" width="35.21875" bestFit="1" customWidth="1"/>
    <col min="5" max="5" width="17.88671875" style="1" bestFit="1" customWidth="1"/>
    <col min="6" max="6" width="12.77734375" style="1" bestFit="1" customWidth="1"/>
    <col min="7" max="7" width="23.109375" style="1" bestFit="1" customWidth="1"/>
    <col min="8" max="8" width="13.77734375" style="1" bestFit="1" customWidth="1"/>
    <col min="9" max="9" width="15" style="1" bestFit="1" customWidth="1"/>
    <col min="10" max="10" width="13.77734375" style="1" bestFit="1" customWidth="1"/>
    <col min="11" max="12" width="12.21875" bestFit="1" customWidth="1"/>
    <col min="13" max="13" width="12.21875" style="4" bestFit="1" customWidth="1"/>
    <col min="14" max="14" width="11.5546875" style="5" bestFit="1" customWidth="1"/>
    <col min="15" max="15" width="18" bestFit="1" customWidth="1"/>
    <col min="16" max="16" width="17.109375" style="2" bestFit="1" customWidth="1"/>
    <col min="17" max="17" width="8.21875" bestFit="1" customWidth="1"/>
    <col min="18" max="18" width="13.88671875" bestFit="1" customWidth="1"/>
    <col min="19" max="19" width="10.21875" bestFit="1" customWidth="1"/>
  </cols>
  <sheetData>
    <row r="1" spans="1:19" x14ac:dyDescent="0.3">
      <c r="A1" t="s">
        <v>0</v>
      </c>
      <c r="B1" t="s">
        <v>1</v>
      </c>
      <c r="C1" s="6" t="s">
        <v>2</v>
      </c>
      <c r="D1" s="1" t="s">
        <v>35</v>
      </c>
      <c r="E1" s="6" t="s">
        <v>3</v>
      </c>
      <c r="F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12</v>
      </c>
      <c r="O1" s="8" t="s">
        <v>13</v>
      </c>
      <c r="P1" s="6" t="s">
        <v>14</v>
      </c>
      <c r="Q1" s="9" t="s">
        <v>15</v>
      </c>
    </row>
    <row r="2" spans="1:19" x14ac:dyDescent="0.3">
      <c r="A2" t="s">
        <v>16</v>
      </c>
      <c r="B2" t="s">
        <v>17</v>
      </c>
      <c r="C2" s="6" t="s">
        <v>18</v>
      </c>
      <c r="D2" s="6" t="str">
        <f>CONCATENATE(financials[[#This Row],[Segment]],",",financials[[#This Row],[Country]],",",financials[[#This Row],[Product]])</f>
        <v>Government,Canada,Carretera</v>
      </c>
      <c r="E2" s="6" t="s">
        <v>19</v>
      </c>
      <c r="F2">
        <f ca="1">RANDBETWEEN(10,1000)</f>
        <v>828</v>
      </c>
      <c r="G2" s="1">
        <f ca="1">VLOOKUP(financials[[#This Row],[ID]],Prices!D:F,2,FALSE)</f>
        <v>20</v>
      </c>
      <c r="H2" s="1">
        <f ca="1">VLOOKUP(financials[[#This Row],[ID]],Prices!D:F,3,FALSE)</f>
        <v>29</v>
      </c>
      <c r="I2" s="1">
        <f ca="1">financials[[#This Row],[Units Sold]]*financials[[#This Row],[Sale Price]]</f>
        <v>24012</v>
      </c>
      <c r="J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1200.6000000000001</v>
      </c>
      <c r="K2" s="1">
        <f ca="1">financials[[#This Row],[Gross Sales]]-financials[[#This Row],[Discounts]]</f>
        <v>22811.4</v>
      </c>
      <c r="L2" s="1">
        <f ca="1">financials[[#This Row],[Units Sold]]*financials[[#This Row],[Manufacturing Price]]</f>
        <v>16560</v>
      </c>
      <c r="M2" s="1">
        <f ca="1">financials[[#This Row],[Sales]]-financials[[#This Row],[COGS]]</f>
        <v>6251.4000000000015</v>
      </c>
      <c r="N2" s="7">
        <f ca="1">TODAY()-RANDBETWEEN(1,732)</f>
        <v>45097</v>
      </c>
      <c r="O2" s="8">
        <f ca="1">MONTH(financials[[#This Row],[Date]])</f>
        <v>6</v>
      </c>
      <c r="P2" s="6" t="str">
        <f ca="1">TEXT(financials[[#This Row],[Date]],"MMM")</f>
        <v>Jun</v>
      </c>
      <c r="Q2">
        <f ca="1">YEAR(financials[[#This Row],[Date]])</f>
        <v>2023</v>
      </c>
      <c r="S2" s="10"/>
    </row>
    <row r="3" spans="1:19" x14ac:dyDescent="0.3">
      <c r="A3" t="s">
        <v>16</v>
      </c>
      <c r="B3" t="s">
        <v>20</v>
      </c>
      <c r="C3" s="6" t="s">
        <v>18</v>
      </c>
      <c r="D3" s="6" t="str">
        <f>CONCATENATE(financials[[#This Row],[Segment]],",",financials[[#This Row],[Country]],",",financials[[#This Row],[Product]])</f>
        <v>Government,Germany,Carretera</v>
      </c>
      <c r="E3" s="6" t="s">
        <v>19</v>
      </c>
      <c r="F3">
        <f t="shared" ref="F3:F66" ca="1" si="0">RANDBETWEEN(10,1000)</f>
        <v>368</v>
      </c>
      <c r="G3" s="1">
        <f ca="1">VLOOKUP(financials[[#This Row],[ID]],Prices!D:F,2,FALSE)</f>
        <v>13</v>
      </c>
      <c r="H3" s="1">
        <f ca="1">VLOOKUP(financials[[#This Row],[ID]],Prices!D:F,3,FALSE)</f>
        <v>22</v>
      </c>
      <c r="I3" s="1">
        <f ca="1">financials[[#This Row],[Units Sold]]*financials[[#This Row],[Sale Price]]</f>
        <v>8096</v>
      </c>
      <c r="J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404.8</v>
      </c>
      <c r="K3" s="1">
        <f ca="1">financials[[#This Row],[Gross Sales]]-financials[[#This Row],[Discounts]]</f>
        <v>7691.2</v>
      </c>
      <c r="L3" s="1">
        <f ca="1">financials[[#This Row],[Units Sold]]*financials[[#This Row],[Manufacturing Price]]</f>
        <v>4784</v>
      </c>
      <c r="M3" s="1">
        <f ca="1">financials[[#This Row],[Sales]]-financials[[#This Row],[COGS]]</f>
        <v>2907.2</v>
      </c>
      <c r="N3" s="7">
        <f t="shared" ref="N3:N66" ca="1" si="1">TODAY()-RANDBETWEEN(1,732)</f>
        <v>45758</v>
      </c>
      <c r="O3" s="8">
        <f ca="1">MONTH(financials[[#This Row],[Date]])</f>
        <v>4</v>
      </c>
      <c r="P3" s="6" t="str">
        <f ca="1">TEXT(financials[[#This Row],[Date]],"MMM")</f>
        <v>Apr</v>
      </c>
      <c r="Q3">
        <f ca="1">YEAR(financials[[#This Row],[Date]])</f>
        <v>2025</v>
      </c>
      <c r="S3" s="10"/>
    </row>
    <row r="4" spans="1:19" x14ac:dyDescent="0.3">
      <c r="A4" t="s">
        <v>21</v>
      </c>
      <c r="B4" t="s">
        <v>22</v>
      </c>
      <c r="C4" s="6" t="s">
        <v>18</v>
      </c>
      <c r="D4" s="6" t="str">
        <f>CONCATENATE(financials[[#This Row],[Segment]],",",financials[[#This Row],[Country]],",",financials[[#This Row],[Product]])</f>
        <v>Midmarket,France,Carretera</v>
      </c>
      <c r="E4" s="6" t="s">
        <v>19</v>
      </c>
      <c r="F4">
        <f t="shared" ca="1" si="0"/>
        <v>20</v>
      </c>
      <c r="G4" s="1">
        <f ca="1">VLOOKUP(financials[[#This Row],[ID]],Prices!D:F,2,FALSE)</f>
        <v>19</v>
      </c>
      <c r="H4" s="1">
        <f ca="1">VLOOKUP(financials[[#This Row],[ID]],Prices!D:F,3,FALSE)</f>
        <v>32</v>
      </c>
      <c r="I4" s="1">
        <f ca="1">financials[[#This Row],[Units Sold]]*financials[[#This Row],[Sale Price]]</f>
        <v>640</v>
      </c>
      <c r="J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6.4</v>
      </c>
      <c r="K4" s="1">
        <f ca="1">financials[[#This Row],[Gross Sales]]-financials[[#This Row],[Discounts]]</f>
        <v>633.6</v>
      </c>
      <c r="L4" s="1">
        <f ca="1">financials[[#This Row],[Units Sold]]*financials[[#This Row],[Manufacturing Price]]</f>
        <v>380</v>
      </c>
      <c r="M4" s="1">
        <f ca="1">financials[[#This Row],[Sales]]-financials[[#This Row],[COGS]]</f>
        <v>253.60000000000002</v>
      </c>
      <c r="N4" s="7">
        <f t="shared" ca="1" si="1"/>
        <v>45486</v>
      </c>
      <c r="O4" s="8">
        <f ca="1">MONTH(financials[[#This Row],[Date]])</f>
        <v>7</v>
      </c>
      <c r="P4" s="6" t="str">
        <f ca="1">TEXT(financials[[#This Row],[Date]],"MMM")</f>
        <v>Jul</v>
      </c>
      <c r="Q4">
        <f ca="1">YEAR(financials[[#This Row],[Date]])</f>
        <v>2024</v>
      </c>
      <c r="S4" s="10"/>
    </row>
    <row r="5" spans="1:19" x14ac:dyDescent="0.3">
      <c r="A5" t="s">
        <v>21</v>
      </c>
      <c r="B5" t="s">
        <v>20</v>
      </c>
      <c r="C5" s="6" t="s">
        <v>18</v>
      </c>
      <c r="D5" s="6" t="str">
        <f>CONCATENATE(financials[[#This Row],[Segment]],",",financials[[#This Row],[Country]],",",financials[[#This Row],[Product]])</f>
        <v>Midmarket,Germany,Carretera</v>
      </c>
      <c r="E5" s="6" t="s">
        <v>19</v>
      </c>
      <c r="F5">
        <f t="shared" ca="1" si="0"/>
        <v>216</v>
      </c>
      <c r="G5" s="1">
        <f ca="1">VLOOKUP(financials[[#This Row],[ID]],Prices!D:F,2,FALSE)</f>
        <v>17</v>
      </c>
      <c r="H5" s="1">
        <f ca="1">VLOOKUP(financials[[#This Row],[ID]],Prices!D:F,3,FALSE)</f>
        <v>28</v>
      </c>
      <c r="I5" s="1">
        <f ca="1">financials[[#This Row],[Units Sold]]*financials[[#This Row],[Sale Price]]</f>
        <v>6048</v>
      </c>
      <c r="J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302.40000000000003</v>
      </c>
      <c r="K5" s="1">
        <f ca="1">financials[[#This Row],[Gross Sales]]-financials[[#This Row],[Discounts]]</f>
        <v>5745.6</v>
      </c>
      <c r="L5" s="1">
        <f ca="1">financials[[#This Row],[Units Sold]]*financials[[#This Row],[Manufacturing Price]]</f>
        <v>3672</v>
      </c>
      <c r="M5" s="1">
        <f ca="1">financials[[#This Row],[Sales]]-financials[[#This Row],[COGS]]</f>
        <v>2073.6000000000004</v>
      </c>
      <c r="N5" s="7">
        <f t="shared" ca="1" si="1"/>
        <v>45678</v>
      </c>
      <c r="O5" s="8">
        <f ca="1">MONTH(financials[[#This Row],[Date]])</f>
        <v>1</v>
      </c>
      <c r="P5" s="6" t="str">
        <f ca="1">TEXT(financials[[#This Row],[Date]],"MMM")</f>
        <v>Jan</v>
      </c>
      <c r="Q5">
        <f ca="1">YEAR(financials[[#This Row],[Date]])</f>
        <v>2025</v>
      </c>
      <c r="S5" s="10"/>
    </row>
    <row r="6" spans="1:19" x14ac:dyDescent="0.3">
      <c r="A6" t="s">
        <v>21</v>
      </c>
      <c r="B6" t="s">
        <v>23</v>
      </c>
      <c r="C6" s="6" t="s">
        <v>18</v>
      </c>
      <c r="D6" s="6" t="str">
        <f>CONCATENATE(financials[[#This Row],[Segment]],",",financials[[#This Row],[Country]],",",financials[[#This Row],[Product]])</f>
        <v>Midmarket,Mexico,Carretera</v>
      </c>
      <c r="E6" s="6" t="s">
        <v>19</v>
      </c>
      <c r="F6">
        <f t="shared" ca="1" si="0"/>
        <v>511</v>
      </c>
      <c r="G6" s="1">
        <f ca="1">VLOOKUP(financials[[#This Row],[ID]],Prices!D:F,2,FALSE)</f>
        <v>16</v>
      </c>
      <c r="H6" s="1">
        <f ca="1">VLOOKUP(financials[[#This Row],[ID]],Prices!D:F,3,FALSE)</f>
        <v>21</v>
      </c>
      <c r="I6" s="1">
        <f ca="1">financials[[#This Row],[Units Sold]]*financials[[#This Row],[Sale Price]]</f>
        <v>10731</v>
      </c>
      <c r="J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536.55000000000007</v>
      </c>
      <c r="K6" s="1">
        <f ca="1">financials[[#This Row],[Gross Sales]]-financials[[#This Row],[Discounts]]</f>
        <v>10194.450000000001</v>
      </c>
      <c r="L6" s="1">
        <f ca="1">financials[[#This Row],[Units Sold]]*financials[[#This Row],[Manufacturing Price]]</f>
        <v>8176</v>
      </c>
      <c r="M6" s="1">
        <f ca="1">financials[[#This Row],[Sales]]-financials[[#This Row],[COGS]]</f>
        <v>2018.4500000000007</v>
      </c>
      <c r="N6" s="7">
        <f t="shared" ca="1" si="1"/>
        <v>45633</v>
      </c>
      <c r="O6" s="8">
        <f ca="1">MONTH(financials[[#This Row],[Date]])</f>
        <v>12</v>
      </c>
      <c r="P6" s="6" t="str">
        <f ca="1">TEXT(financials[[#This Row],[Date]],"MMM")</f>
        <v>Dec</v>
      </c>
      <c r="Q6">
        <f ca="1">YEAR(financials[[#This Row],[Date]])</f>
        <v>2024</v>
      </c>
      <c r="S6" s="10"/>
    </row>
    <row r="7" spans="1:19" x14ac:dyDescent="0.3">
      <c r="A7" t="s">
        <v>16</v>
      </c>
      <c r="B7" t="s">
        <v>20</v>
      </c>
      <c r="C7" s="6" t="s">
        <v>18</v>
      </c>
      <c r="D7" s="6" t="str">
        <f>CONCATENATE(financials[[#This Row],[Segment]],",",financials[[#This Row],[Country]],",",financials[[#This Row],[Product]])</f>
        <v>Government,Germany,Carretera</v>
      </c>
      <c r="E7" s="6" t="s">
        <v>19</v>
      </c>
      <c r="F7">
        <f t="shared" ca="1" si="0"/>
        <v>73</v>
      </c>
      <c r="G7" s="1">
        <f ca="1">VLOOKUP(financials[[#This Row],[ID]],Prices!D:F,2,FALSE)</f>
        <v>13</v>
      </c>
      <c r="H7" s="1">
        <f ca="1">VLOOKUP(financials[[#This Row],[ID]],Prices!D:F,3,FALSE)</f>
        <v>22</v>
      </c>
      <c r="I7" s="1">
        <f ca="1">financials[[#This Row],[Units Sold]]*financials[[#This Row],[Sale Price]]</f>
        <v>1606</v>
      </c>
      <c r="J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80.300000000000011</v>
      </c>
      <c r="K7" s="1">
        <f ca="1">financials[[#This Row],[Gross Sales]]-financials[[#This Row],[Discounts]]</f>
        <v>1525.7</v>
      </c>
      <c r="L7" s="1">
        <f ca="1">financials[[#This Row],[Units Sold]]*financials[[#This Row],[Manufacturing Price]]</f>
        <v>949</v>
      </c>
      <c r="M7" s="1">
        <f ca="1">financials[[#This Row],[Sales]]-financials[[#This Row],[COGS]]</f>
        <v>576.70000000000005</v>
      </c>
      <c r="N7" s="7">
        <f t="shared" ca="1" si="1"/>
        <v>45123</v>
      </c>
      <c r="O7" s="8">
        <f ca="1">MONTH(financials[[#This Row],[Date]])</f>
        <v>7</v>
      </c>
      <c r="P7" s="6" t="str">
        <f ca="1">TEXT(financials[[#This Row],[Date]],"MMM")</f>
        <v>Jul</v>
      </c>
      <c r="Q7">
        <f ca="1">YEAR(financials[[#This Row],[Date]])</f>
        <v>2023</v>
      </c>
      <c r="S7" s="10"/>
    </row>
    <row r="8" spans="1:19" x14ac:dyDescent="0.3">
      <c r="A8" t="s">
        <v>21</v>
      </c>
      <c r="B8" t="s">
        <v>20</v>
      </c>
      <c r="C8" s="6" t="s">
        <v>24</v>
      </c>
      <c r="D8" s="6" t="str">
        <f>CONCATENATE(financials[[#This Row],[Segment]],",",financials[[#This Row],[Country]],",",financials[[#This Row],[Product]])</f>
        <v>Midmarket,Germany,Montana</v>
      </c>
      <c r="E8" s="6" t="s">
        <v>19</v>
      </c>
      <c r="F8">
        <f t="shared" ca="1" si="0"/>
        <v>121</v>
      </c>
      <c r="G8" s="1">
        <f ca="1">VLOOKUP(financials[[#This Row],[ID]],Prices!D:F,2,FALSE)</f>
        <v>19</v>
      </c>
      <c r="H8" s="1">
        <f ca="1">VLOOKUP(financials[[#This Row],[ID]],Prices!D:F,3,FALSE)</f>
        <v>34</v>
      </c>
      <c r="I8" s="1">
        <f ca="1">financials[[#This Row],[Units Sold]]*financials[[#This Row],[Sale Price]]</f>
        <v>4114</v>
      </c>
      <c r="J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205.70000000000002</v>
      </c>
      <c r="K8" s="1">
        <f ca="1">financials[[#This Row],[Gross Sales]]-financials[[#This Row],[Discounts]]</f>
        <v>3908.3</v>
      </c>
      <c r="L8" s="1">
        <f ca="1">financials[[#This Row],[Units Sold]]*financials[[#This Row],[Manufacturing Price]]</f>
        <v>2299</v>
      </c>
      <c r="M8" s="1">
        <f ca="1">financials[[#This Row],[Sales]]-financials[[#This Row],[COGS]]</f>
        <v>1609.3000000000002</v>
      </c>
      <c r="N8" s="7">
        <f t="shared" ca="1" si="1"/>
        <v>45578</v>
      </c>
      <c r="O8" s="8">
        <f ca="1">MONTH(financials[[#This Row],[Date]])</f>
        <v>10</v>
      </c>
      <c r="P8" s="6" t="str">
        <f ca="1">TEXT(financials[[#This Row],[Date]],"MMM")</f>
        <v>Oct</v>
      </c>
      <c r="Q8">
        <f ca="1">YEAR(financials[[#This Row],[Date]])</f>
        <v>2024</v>
      </c>
      <c r="S8" s="10"/>
    </row>
    <row r="9" spans="1:19" x14ac:dyDescent="0.3">
      <c r="A9" t="s">
        <v>25</v>
      </c>
      <c r="B9" t="s">
        <v>17</v>
      </c>
      <c r="C9" s="6" t="s">
        <v>24</v>
      </c>
      <c r="D9" s="6" t="str">
        <f>CONCATENATE(financials[[#This Row],[Segment]],",",financials[[#This Row],[Country]],",",financials[[#This Row],[Product]])</f>
        <v>Channel Partners,Canada,Montana</v>
      </c>
      <c r="E9" s="6" t="s">
        <v>19</v>
      </c>
      <c r="F9">
        <f t="shared" ca="1" si="0"/>
        <v>25</v>
      </c>
      <c r="G9" s="1">
        <f ca="1">VLOOKUP(financials[[#This Row],[ID]],Prices!D:F,2,FALSE)</f>
        <v>17</v>
      </c>
      <c r="H9" s="1">
        <f ca="1">VLOOKUP(financials[[#This Row],[ID]],Prices!D:F,3,FALSE)</f>
        <v>26</v>
      </c>
      <c r="I9" s="1">
        <f ca="1">financials[[#This Row],[Units Sold]]*financials[[#This Row],[Sale Price]]</f>
        <v>650</v>
      </c>
      <c r="J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6.5</v>
      </c>
      <c r="K9" s="1">
        <f ca="1">financials[[#This Row],[Gross Sales]]-financials[[#This Row],[Discounts]]</f>
        <v>643.5</v>
      </c>
      <c r="L9" s="1">
        <f ca="1">financials[[#This Row],[Units Sold]]*financials[[#This Row],[Manufacturing Price]]</f>
        <v>425</v>
      </c>
      <c r="M9" s="1">
        <f ca="1">financials[[#This Row],[Sales]]-financials[[#This Row],[COGS]]</f>
        <v>218.5</v>
      </c>
      <c r="N9" s="7">
        <f t="shared" ca="1" si="1"/>
        <v>45316</v>
      </c>
      <c r="O9" s="8">
        <f ca="1">MONTH(financials[[#This Row],[Date]])</f>
        <v>1</v>
      </c>
      <c r="P9" s="6" t="str">
        <f ca="1">TEXT(financials[[#This Row],[Date]],"MMM")</f>
        <v>Jan</v>
      </c>
      <c r="Q9">
        <f ca="1">YEAR(financials[[#This Row],[Date]])</f>
        <v>2024</v>
      </c>
      <c r="S9" s="10"/>
    </row>
    <row r="10" spans="1:19" x14ac:dyDescent="0.3">
      <c r="A10" t="s">
        <v>16</v>
      </c>
      <c r="B10" t="s">
        <v>22</v>
      </c>
      <c r="C10" s="6" t="s">
        <v>24</v>
      </c>
      <c r="D10" s="6" t="str">
        <f>CONCATENATE(financials[[#This Row],[Segment]],",",financials[[#This Row],[Country]],",",financials[[#This Row],[Product]])</f>
        <v>Government,France,Montana</v>
      </c>
      <c r="E10" s="6" t="s">
        <v>19</v>
      </c>
      <c r="F10">
        <f t="shared" ca="1" si="0"/>
        <v>639</v>
      </c>
      <c r="G10" s="1">
        <f ca="1">VLOOKUP(financials[[#This Row],[ID]],Prices!D:F,2,FALSE)</f>
        <v>19</v>
      </c>
      <c r="H10" s="1">
        <f ca="1">VLOOKUP(financials[[#This Row],[ID]],Prices!D:F,3,FALSE)</f>
        <v>22</v>
      </c>
      <c r="I10" s="1">
        <f ca="1">financials[[#This Row],[Units Sold]]*financials[[#This Row],[Sale Price]]</f>
        <v>14058</v>
      </c>
      <c r="J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702.90000000000009</v>
      </c>
      <c r="K10" s="1">
        <f ca="1">financials[[#This Row],[Gross Sales]]-financials[[#This Row],[Discounts]]</f>
        <v>13355.1</v>
      </c>
      <c r="L10" s="1">
        <f ca="1">financials[[#This Row],[Units Sold]]*financials[[#This Row],[Manufacturing Price]]</f>
        <v>12141</v>
      </c>
      <c r="M10" s="1">
        <f ca="1">financials[[#This Row],[Sales]]-financials[[#This Row],[COGS]]</f>
        <v>1214.1000000000004</v>
      </c>
      <c r="N10" s="7">
        <f t="shared" ca="1" si="1"/>
        <v>45586</v>
      </c>
      <c r="O10" s="8">
        <f ca="1">MONTH(financials[[#This Row],[Date]])</f>
        <v>10</v>
      </c>
      <c r="P10" s="6" t="str">
        <f ca="1">TEXT(financials[[#This Row],[Date]],"MMM")</f>
        <v>Oct</v>
      </c>
      <c r="Q10">
        <f ca="1">YEAR(financials[[#This Row],[Date]])</f>
        <v>2024</v>
      </c>
      <c r="S10" s="10"/>
    </row>
    <row r="11" spans="1:19" x14ac:dyDescent="0.3">
      <c r="A11" t="s">
        <v>25</v>
      </c>
      <c r="B11" t="s">
        <v>20</v>
      </c>
      <c r="C11" s="6" t="s">
        <v>24</v>
      </c>
      <c r="D11" s="6" t="str">
        <f>CONCATENATE(financials[[#This Row],[Segment]],",",financials[[#This Row],[Country]],",",financials[[#This Row],[Product]])</f>
        <v>Channel Partners,Germany,Montana</v>
      </c>
      <c r="E11" s="6" t="s">
        <v>19</v>
      </c>
      <c r="F11">
        <f t="shared" ca="1" si="0"/>
        <v>188</v>
      </c>
      <c r="G11" s="1">
        <f ca="1">VLOOKUP(financials[[#This Row],[ID]],Prices!D:F,2,FALSE)</f>
        <v>12</v>
      </c>
      <c r="H11" s="1">
        <f ca="1">VLOOKUP(financials[[#This Row],[ID]],Prices!D:F,3,FALSE)</f>
        <v>33</v>
      </c>
      <c r="I11" s="1">
        <f ca="1">financials[[#This Row],[Units Sold]]*financials[[#This Row],[Sale Price]]</f>
        <v>6204</v>
      </c>
      <c r="J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310.20000000000005</v>
      </c>
      <c r="K11" s="1">
        <f ca="1">financials[[#This Row],[Gross Sales]]-financials[[#This Row],[Discounts]]</f>
        <v>5893.8</v>
      </c>
      <c r="L11" s="1">
        <f ca="1">financials[[#This Row],[Units Sold]]*financials[[#This Row],[Manufacturing Price]]</f>
        <v>2256</v>
      </c>
      <c r="M11" s="1">
        <f ca="1">financials[[#This Row],[Sales]]-financials[[#This Row],[COGS]]</f>
        <v>3637.8</v>
      </c>
      <c r="N11" s="7">
        <f t="shared" ca="1" si="1"/>
        <v>45479</v>
      </c>
      <c r="O11" s="8">
        <f ca="1">MONTH(financials[[#This Row],[Date]])</f>
        <v>7</v>
      </c>
      <c r="P11" s="6" t="str">
        <f ca="1">TEXT(financials[[#This Row],[Date]],"MMM")</f>
        <v>Jul</v>
      </c>
      <c r="Q11">
        <f ca="1">YEAR(financials[[#This Row],[Date]])</f>
        <v>2024</v>
      </c>
      <c r="S11" s="10"/>
    </row>
    <row r="12" spans="1:19" x14ac:dyDescent="0.3">
      <c r="A12" t="s">
        <v>21</v>
      </c>
      <c r="B12" t="s">
        <v>23</v>
      </c>
      <c r="C12" s="6" t="s">
        <v>24</v>
      </c>
      <c r="D12" s="6" t="str">
        <f>CONCATENATE(financials[[#This Row],[Segment]],",",financials[[#This Row],[Country]],",",financials[[#This Row],[Product]])</f>
        <v>Midmarket,Mexico,Montana</v>
      </c>
      <c r="E12" s="6" t="s">
        <v>19</v>
      </c>
      <c r="F12">
        <f t="shared" ca="1" si="0"/>
        <v>711</v>
      </c>
      <c r="G12" s="1">
        <f ca="1">VLOOKUP(financials[[#This Row],[ID]],Prices!D:F,2,FALSE)</f>
        <v>19</v>
      </c>
      <c r="H12" s="1">
        <f ca="1">VLOOKUP(financials[[#This Row],[ID]],Prices!D:F,3,FALSE)</f>
        <v>17</v>
      </c>
      <c r="I12" s="1">
        <f ca="1">financials[[#This Row],[Units Sold]]*financials[[#This Row],[Sale Price]]</f>
        <v>12087</v>
      </c>
      <c r="J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604.35</v>
      </c>
      <c r="K12" s="1">
        <f ca="1">financials[[#This Row],[Gross Sales]]-financials[[#This Row],[Discounts]]</f>
        <v>11482.65</v>
      </c>
      <c r="L12" s="1">
        <f ca="1">financials[[#This Row],[Units Sold]]*financials[[#This Row],[Manufacturing Price]]</f>
        <v>13509</v>
      </c>
      <c r="M12" s="1">
        <f ca="1">financials[[#This Row],[Sales]]-financials[[#This Row],[COGS]]</f>
        <v>-2026.3500000000004</v>
      </c>
      <c r="N12" s="7">
        <f t="shared" ca="1" si="1"/>
        <v>45242</v>
      </c>
      <c r="O12" s="8">
        <f ca="1">MONTH(financials[[#This Row],[Date]])</f>
        <v>11</v>
      </c>
      <c r="P12" s="6" t="str">
        <f ca="1">TEXT(financials[[#This Row],[Date]],"MMM")</f>
        <v>Nov</v>
      </c>
      <c r="Q12">
        <f ca="1">YEAR(financials[[#This Row],[Date]])</f>
        <v>2023</v>
      </c>
      <c r="S12" s="10"/>
    </row>
    <row r="13" spans="1:19" x14ac:dyDescent="0.3">
      <c r="A13" t="s">
        <v>26</v>
      </c>
      <c r="B13" t="s">
        <v>17</v>
      </c>
      <c r="C13" s="6" t="s">
        <v>24</v>
      </c>
      <c r="D13" s="6" t="str">
        <f>CONCATENATE(financials[[#This Row],[Segment]],",",financials[[#This Row],[Country]],",",financials[[#This Row],[Product]])</f>
        <v>Enterprise,Canada,Montana</v>
      </c>
      <c r="E13" s="6" t="s">
        <v>19</v>
      </c>
      <c r="F13">
        <f t="shared" ca="1" si="0"/>
        <v>902</v>
      </c>
      <c r="G13" s="1">
        <f ca="1">VLOOKUP(financials[[#This Row],[ID]],Prices!D:F,2,FALSE)</f>
        <v>13</v>
      </c>
      <c r="H13" s="1">
        <f ca="1">VLOOKUP(financials[[#This Row],[ID]],Prices!D:F,3,FALSE)</f>
        <v>23</v>
      </c>
      <c r="I13" s="1">
        <f ca="1">financials[[#This Row],[Units Sold]]*financials[[#This Row],[Sale Price]]</f>
        <v>20746</v>
      </c>
      <c r="J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1037.3</v>
      </c>
      <c r="K13" s="1">
        <f ca="1">financials[[#This Row],[Gross Sales]]-financials[[#This Row],[Discounts]]</f>
        <v>19708.7</v>
      </c>
      <c r="L13" s="1">
        <f ca="1">financials[[#This Row],[Units Sold]]*financials[[#This Row],[Manufacturing Price]]</f>
        <v>11726</v>
      </c>
      <c r="M13" s="1">
        <f ca="1">financials[[#This Row],[Sales]]-financials[[#This Row],[COGS]]</f>
        <v>7982.7000000000007</v>
      </c>
      <c r="N13" s="7">
        <f t="shared" ca="1" si="1"/>
        <v>45031</v>
      </c>
      <c r="O13" s="8">
        <f ca="1">MONTH(financials[[#This Row],[Date]])</f>
        <v>4</v>
      </c>
      <c r="P13" s="6" t="str">
        <f ca="1">TEXT(financials[[#This Row],[Date]],"MMM")</f>
        <v>Apr</v>
      </c>
      <c r="Q13">
        <f ca="1">YEAR(financials[[#This Row],[Date]])</f>
        <v>2023</v>
      </c>
      <c r="S13" s="10"/>
    </row>
    <row r="14" spans="1:19" x14ac:dyDescent="0.3">
      <c r="A14" t="s">
        <v>27</v>
      </c>
      <c r="B14" t="s">
        <v>23</v>
      </c>
      <c r="C14" s="6" t="s">
        <v>24</v>
      </c>
      <c r="D14" s="6" t="str">
        <f>CONCATENATE(financials[[#This Row],[Segment]],",",financials[[#This Row],[Country]],",",financials[[#This Row],[Product]])</f>
        <v>Small Business,Mexico,Montana</v>
      </c>
      <c r="E14" s="6" t="s">
        <v>19</v>
      </c>
      <c r="F14">
        <f t="shared" ca="1" si="0"/>
        <v>768</v>
      </c>
      <c r="G14" s="1">
        <f ca="1">VLOOKUP(financials[[#This Row],[ID]],Prices!D:F,2,FALSE)</f>
        <v>20</v>
      </c>
      <c r="H14" s="1">
        <f ca="1">VLOOKUP(financials[[#This Row],[ID]],Prices!D:F,3,FALSE)</f>
        <v>37</v>
      </c>
      <c r="I14" s="1">
        <f ca="1">financials[[#This Row],[Units Sold]]*financials[[#This Row],[Sale Price]]</f>
        <v>28416</v>
      </c>
      <c r="J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1420.8000000000002</v>
      </c>
      <c r="K14" s="1">
        <f ca="1">financials[[#This Row],[Gross Sales]]-financials[[#This Row],[Discounts]]</f>
        <v>26995.200000000001</v>
      </c>
      <c r="L14" s="1">
        <f ca="1">financials[[#This Row],[Units Sold]]*financials[[#This Row],[Manufacturing Price]]</f>
        <v>15360</v>
      </c>
      <c r="M14" s="1">
        <f ca="1">financials[[#This Row],[Sales]]-financials[[#This Row],[COGS]]</f>
        <v>11635.2</v>
      </c>
      <c r="N14" s="7">
        <f t="shared" ca="1" si="1"/>
        <v>45287</v>
      </c>
      <c r="O14" s="8">
        <f ca="1">MONTH(financials[[#This Row],[Date]])</f>
        <v>12</v>
      </c>
      <c r="P14" s="6" t="str">
        <f ca="1">TEXT(financials[[#This Row],[Date]],"MMM")</f>
        <v>Dec</v>
      </c>
      <c r="Q14">
        <f ca="1">YEAR(financials[[#This Row],[Date]])</f>
        <v>2023</v>
      </c>
      <c r="S14" s="10"/>
    </row>
    <row r="15" spans="1:19" x14ac:dyDescent="0.3">
      <c r="A15" t="s">
        <v>16</v>
      </c>
      <c r="B15" t="s">
        <v>20</v>
      </c>
      <c r="C15" s="6" t="s">
        <v>24</v>
      </c>
      <c r="D15" s="6" t="str">
        <f>CONCATENATE(financials[[#This Row],[Segment]],",",financials[[#This Row],[Country]],",",financials[[#This Row],[Product]])</f>
        <v>Government,Germany,Montana</v>
      </c>
      <c r="E15" s="6" t="s">
        <v>19</v>
      </c>
      <c r="F15">
        <f t="shared" ca="1" si="0"/>
        <v>911</v>
      </c>
      <c r="G15" s="1">
        <f ca="1">VLOOKUP(financials[[#This Row],[ID]],Prices!D:F,2,FALSE)</f>
        <v>20</v>
      </c>
      <c r="H15" s="1">
        <f ca="1">VLOOKUP(financials[[#This Row],[ID]],Prices!D:F,3,FALSE)</f>
        <v>27</v>
      </c>
      <c r="I15" s="1">
        <f ca="1">financials[[#This Row],[Units Sold]]*financials[[#This Row],[Sale Price]]</f>
        <v>24597</v>
      </c>
      <c r="J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1229.8500000000001</v>
      </c>
      <c r="K15" s="1">
        <f ca="1">financials[[#This Row],[Gross Sales]]-financials[[#This Row],[Discounts]]</f>
        <v>23367.15</v>
      </c>
      <c r="L15" s="1">
        <f ca="1">financials[[#This Row],[Units Sold]]*financials[[#This Row],[Manufacturing Price]]</f>
        <v>18220</v>
      </c>
      <c r="M15" s="1">
        <f ca="1">financials[[#This Row],[Sales]]-financials[[#This Row],[COGS]]</f>
        <v>5147.1500000000015</v>
      </c>
      <c r="N15" s="7">
        <f t="shared" ca="1" si="1"/>
        <v>45245</v>
      </c>
      <c r="O15" s="8">
        <f ca="1">MONTH(financials[[#This Row],[Date]])</f>
        <v>11</v>
      </c>
      <c r="P15" s="6" t="str">
        <f ca="1">TEXT(financials[[#This Row],[Date]],"MMM")</f>
        <v>Nov</v>
      </c>
      <c r="Q15">
        <f ca="1">YEAR(financials[[#This Row],[Date]])</f>
        <v>2023</v>
      </c>
      <c r="S15" s="10"/>
    </row>
    <row r="16" spans="1:19" x14ac:dyDescent="0.3">
      <c r="A16" t="s">
        <v>26</v>
      </c>
      <c r="B16" t="s">
        <v>17</v>
      </c>
      <c r="C16" s="6" t="s">
        <v>24</v>
      </c>
      <c r="D16" s="6" t="str">
        <f>CONCATENATE(financials[[#This Row],[Segment]],",",financials[[#This Row],[Country]],",",financials[[#This Row],[Product]])</f>
        <v>Enterprise,Canada,Montana</v>
      </c>
      <c r="E16" s="6" t="s">
        <v>19</v>
      </c>
      <c r="F16">
        <f t="shared" ca="1" si="0"/>
        <v>556</v>
      </c>
      <c r="G16" s="1">
        <f ca="1">VLOOKUP(financials[[#This Row],[ID]],Prices!D:F,2,FALSE)</f>
        <v>13</v>
      </c>
      <c r="H16" s="1">
        <f ca="1">VLOOKUP(financials[[#This Row],[ID]],Prices!D:F,3,FALSE)</f>
        <v>23</v>
      </c>
      <c r="I16" s="1">
        <f ca="1">financials[[#This Row],[Units Sold]]*financials[[#This Row],[Sale Price]]</f>
        <v>12788</v>
      </c>
      <c r="J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639.40000000000009</v>
      </c>
      <c r="K16" s="1">
        <f ca="1">financials[[#This Row],[Gross Sales]]-financials[[#This Row],[Discounts]]</f>
        <v>12148.6</v>
      </c>
      <c r="L16" s="1">
        <f ca="1">financials[[#This Row],[Units Sold]]*financials[[#This Row],[Manufacturing Price]]</f>
        <v>7228</v>
      </c>
      <c r="M16" s="1">
        <f ca="1">financials[[#This Row],[Sales]]-financials[[#This Row],[COGS]]</f>
        <v>4920.6000000000004</v>
      </c>
      <c r="N16" s="7">
        <f t="shared" ca="1" si="1"/>
        <v>45195</v>
      </c>
      <c r="O16" s="8">
        <f ca="1">MONTH(financials[[#This Row],[Date]])</f>
        <v>9</v>
      </c>
      <c r="P16" s="6" t="str">
        <f ca="1">TEXT(financials[[#This Row],[Date]],"MMM")</f>
        <v>Sep</v>
      </c>
      <c r="Q16">
        <f ca="1">YEAR(financials[[#This Row],[Date]])</f>
        <v>2023</v>
      </c>
      <c r="S16" s="10"/>
    </row>
    <row r="17" spans="1:19" x14ac:dyDescent="0.3">
      <c r="A17" t="s">
        <v>21</v>
      </c>
      <c r="B17" t="s">
        <v>36</v>
      </c>
      <c r="C17" s="6" t="s">
        <v>24</v>
      </c>
      <c r="D17" s="6" t="str">
        <f>CONCATENATE(financials[[#This Row],[Segment]],",",financials[[#This Row],[Country]],",",financials[[#This Row],[Product]])</f>
        <v>Midmarket,USA,Montana</v>
      </c>
      <c r="E17" s="6" t="s">
        <v>19</v>
      </c>
      <c r="F17">
        <f t="shared" ca="1" si="0"/>
        <v>235</v>
      </c>
      <c r="G17" s="1">
        <f ca="1">VLOOKUP(financials[[#This Row],[ID]],Prices!D:F,2,FALSE)</f>
        <v>10</v>
      </c>
      <c r="H17" s="1">
        <f ca="1">VLOOKUP(financials[[#This Row],[ID]],Prices!D:F,3,FALSE)</f>
        <v>24</v>
      </c>
      <c r="I17" s="1">
        <f ca="1">financials[[#This Row],[Units Sold]]*financials[[#This Row],[Sale Price]]</f>
        <v>5640</v>
      </c>
      <c r="J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282</v>
      </c>
      <c r="K17" s="1">
        <f ca="1">financials[[#This Row],[Gross Sales]]-financials[[#This Row],[Discounts]]</f>
        <v>5358</v>
      </c>
      <c r="L17" s="1">
        <f ca="1">financials[[#This Row],[Units Sold]]*financials[[#This Row],[Manufacturing Price]]</f>
        <v>2350</v>
      </c>
      <c r="M17" s="1">
        <f ca="1">financials[[#This Row],[Sales]]-financials[[#This Row],[COGS]]</f>
        <v>3008</v>
      </c>
      <c r="N17" s="7">
        <f t="shared" ca="1" si="1"/>
        <v>45257</v>
      </c>
      <c r="O17" s="8">
        <f ca="1">MONTH(financials[[#This Row],[Date]])</f>
        <v>11</v>
      </c>
      <c r="P17" s="6" t="str">
        <f ca="1">TEXT(financials[[#This Row],[Date]],"MMM")</f>
        <v>Nov</v>
      </c>
      <c r="Q17">
        <f ca="1">YEAR(financials[[#This Row],[Date]])</f>
        <v>2023</v>
      </c>
      <c r="S17" s="10"/>
    </row>
    <row r="18" spans="1:19" x14ac:dyDescent="0.3">
      <c r="A18" t="s">
        <v>16</v>
      </c>
      <c r="B18" t="s">
        <v>17</v>
      </c>
      <c r="C18" s="6" t="s">
        <v>28</v>
      </c>
      <c r="D18" s="6" t="str">
        <f>CONCATENATE(financials[[#This Row],[Segment]],",",financials[[#This Row],[Country]],",",financials[[#This Row],[Product]])</f>
        <v>Government,Canada,Paseo</v>
      </c>
      <c r="E18" s="6" t="s">
        <v>19</v>
      </c>
      <c r="F18">
        <f t="shared" ca="1" si="0"/>
        <v>478</v>
      </c>
      <c r="G18" s="1">
        <f ca="1">VLOOKUP(financials[[#This Row],[ID]],Prices!D:F,2,FALSE)</f>
        <v>10</v>
      </c>
      <c r="H18" s="1">
        <f ca="1">VLOOKUP(financials[[#This Row],[ID]],Prices!D:F,3,FALSE)</f>
        <v>23</v>
      </c>
      <c r="I18" s="1">
        <f ca="1">financials[[#This Row],[Units Sold]]*financials[[#This Row],[Sale Price]]</f>
        <v>10994</v>
      </c>
      <c r="J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549.70000000000005</v>
      </c>
      <c r="K18" s="1">
        <f ca="1">financials[[#This Row],[Gross Sales]]-financials[[#This Row],[Discounts]]</f>
        <v>10444.299999999999</v>
      </c>
      <c r="L18" s="1">
        <f ca="1">financials[[#This Row],[Units Sold]]*financials[[#This Row],[Manufacturing Price]]</f>
        <v>4780</v>
      </c>
      <c r="M18" s="1">
        <f ca="1">financials[[#This Row],[Sales]]-financials[[#This Row],[COGS]]</f>
        <v>5664.2999999999993</v>
      </c>
      <c r="N18" s="7">
        <f t="shared" ca="1" si="1"/>
        <v>45158</v>
      </c>
      <c r="O18" s="8">
        <f ca="1">MONTH(financials[[#This Row],[Date]])</f>
        <v>8</v>
      </c>
      <c r="P18" s="6" t="str">
        <f ca="1">TEXT(financials[[#This Row],[Date]],"MMM")</f>
        <v>Aug</v>
      </c>
      <c r="Q18">
        <f ca="1">YEAR(financials[[#This Row],[Date]])</f>
        <v>2023</v>
      </c>
      <c r="S18" s="10"/>
    </row>
    <row r="19" spans="1:19" x14ac:dyDescent="0.3">
      <c r="A19" t="s">
        <v>21</v>
      </c>
      <c r="B19" t="s">
        <v>23</v>
      </c>
      <c r="C19" s="6" t="s">
        <v>28</v>
      </c>
      <c r="D19" s="6" t="str">
        <f>CONCATENATE(financials[[#This Row],[Segment]],",",financials[[#This Row],[Country]],",",financials[[#This Row],[Product]])</f>
        <v>Midmarket,Mexico,Paseo</v>
      </c>
      <c r="E19" s="6" t="s">
        <v>19</v>
      </c>
      <c r="F19">
        <f t="shared" ca="1" si="0"/>
        <v>488</v>
      </c>
      <c r="G19" s="1">
        <f ca="1">VLOOKUP(financials[[#This Row],[ID]],Prices!D:F,2,FALSE)</f>
        <v>11</v>
      </c>
      <c r="H19" s="1">
        <f ca="1">VLOOKUP(financials[[#This Row],[ID]],Prices!D:F,3,FALSE)</f>
        <v>21</v>
      </c>
      <c r="I19" s="1">
        <f ca="1">financials[[#This Row],[Units Sold]]*financials[[#This Row],[Sale Price]]</f>
        <v>10248</v>
      </c>
      <c r="J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512.4</v>
      </c>
      <c r="K19" s="1">
        <f ca="1">financials[[#This Row],[Gross Sales]]-financials[[#This Row],[Discounts]]</f>
        <v>9735.6</v>
      </c>
      <c r="L19" s="1">
        <f ca="1">financials[[#This Row],[Units Sold]]*financials[[#This Row],[Manufacturing Price]]</f>
        <v>5368</v>
      </c>
      <c r="M19" s="1">
        <f ca="1">financials[[#This Row],[Sales]]-financials[[#This Row],[COGS]]</f>
        <v>4367.6000000000004</v>
      </c>
      <c r="N19" s="7">
        <f t="shared" ca="1" si="1"/>
        <v>45473</v>
      </c>
      <c r="O19" s="8">
        <f ca="1">MONTH(financials[[#This Row],[Date]])</f>
        <v>6</v>
      </c>
      <c r="P19" s="6" t="str">
        <f ca="1">TEXT(financials[[#This Row],[Date]],"MMM")</f>
        <v>Jun</v>
      </c>
      <c r="Q19">
        <f ca="1">YEAR(financials[[#This Row],[Date]])</f>
        <v>2024</v>
      </c>
      <c r="S19" s="10"/>
    </row>
    <row r="20" spans="1:19" x14ac:dyDescent="0.3">
      <c r="A20" t="s">
        <v>25</v>
      </c>
      <c r="B20" t="s">
        <v>17</v>
      </c>
      <c r="C20" s="6" t="s">
        <v>28</v>
      </c>
      <c r="D20" s="6" t="str">
        <f>CONCATENATE(financials[[#This Row],[Segment]],",",financials[[#This Row],[Country]],",",financials[[#This Row],[Product]])</f>
        <v>Channel Partners,Canada,Paseo</v>
      </c>
      <c r="E20" s="6" t="s">
        <v>19</v>
      </c>
      <c r="F20">
        <f t="shared" ca="1" si="0"/>
        <v>84</v>
      </c>
      <c r="G20" s="1">
        <f ca="1">VLOOKUP(financials[[#This Row],[ID]],Prices!D:F,2,FALSE)</f>
        <v>13</v>
      </c>
      <c r="H20" s="1">
        <f ca="1">VLOOKUP(financials[[#This Row],[ID]],Prices!D:F,3,FALSE)</f>
        <v>26</v>
      </c>
      <c r="I20" s="1">
        <f ca="1">financials[[#This Row],[Units Sold]]*financials[[#This Row],[Sale Price]]</f>
        <v>2184</v>
      </c>
      <c r="J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109.2</v>
      </c>
      <c r="K20" s="1">
        <f ca="1">financials[[#This Row],[Gross Sales]]-financials[[#This Row],[Discounts]]</f>
        <v>2074.8000000000002</v>
      </c>
      <c r="L20" s="1">
        <f ca="1">financials[[#This Row],[Units Sold]]*financials[[#This Row],[Manufacturing Price]]</f>
        <v>1092</v>
      </c>
      <c r="M20" s="1">
        <f ca="1">financials[[#This Row],[Sales]]-financials[[#This Row],[COGS]]</f>
        <v>982.80000000000018</v>
      </c>
      <c r="N20" s="7">
        <f t="shared" ca="1" si="1"/>
        <v>45080</v>
      </c>
      <c r="O20" s="8">
        <f ca="1">MONTH(financials[[#This Row],[Date]])</f>
        <v>6</v>
      </c>
      <c r="P20" s="6" t="str">
        <f ca="1">TEXT(financials[[#This Row],[Date]],"MMM")</f>
        <v>Jun</v>
      </c>
      <c r="Q20">
        <f ca="1">YEAR(financials[[#This Row],[Date]])</f>
        <v>2023</v>
      </c>
      <c r="S20" s="10"/>
    </row>
    <row r="21" spans="1:19" x14ac:dyDescent="0.3">
      <c r="A21" t="s">
        <v>16</v>
      </c>
      <c r="B21" t="s">
        <v>20</v>
      </c>
      <c r="C21" s="6" t="s">
        <v>28</v>
      </c>
      <c r="D21" s="6" t="str">
        <f>CONCATENATE(financials[[#This Row],[Segment]],",",financials[[#This Row],[Country]],",",financials[[#This Row],[Product]])</f>
        <v>Government,Germany,Paseo</v>
      </c>
      <c r="E21" s="6" t="s">
        <v>19</v>
      </c>
      <c r="F21">
        <f t="shared" ca="1" si="0"/>
        <v>737</v>
      </c>
      <c r="G21" s="1">
        <f ca="1">VLOOKUP(financials[[#This Row],[ID]],Prices!D:F,2,FALSE)</f>
        <v>19</v>
      </c>
      <c r="H21" s="1">
        <f ca="1">VLOOKUP(financials[[#This Row],[ID]],Prices!D:F,3,FALSE)</f>
        <v>37</v>
      </c>
      <c r="I21" s="1">
        <f ca="1">financials[[#This Row],[Units Sold]]*financials[[#This Row],[Sale Price]]</f>
        <v>27269</v>
      </c>
      <c r="J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1363.45</v>
      </c>
      <c r="K21" s="1">
        <f ca="1">financials[[#This Row],[Gross Sales]]-financials[[#This Row],[Discounts]]</f>
        <v>25905.55</v>
      </c>
      <c r="L21" s="1">
        <f ca="1">financials[[#This Row],[Units Sold]]*financials[[#This Row],[Manufacturing Price]]</f>
        <v>14003</v>
      </c>
      <c r="M21" s="1">
        <f ca="1">financials[[#This Row],[Sales]]-financials[[#This Row],[COGS]]</f>
        <v>11902.55</v>
      </c>
      <c r="N21" s="7">
        <f t="shared" ca="1" si="1"/>
        <v>45216</v>
      </c>
      <c r="O21" s="8">
        <f ca="1">MONTH(financials[[#This Row],[Date]])</f>
        <v>10</v>
      </c>
      <c r="P21" s="6" t="str">
        <f ca="1">TEXT(financials[[#This Row],[Date]],"MMM")</f>
        <v>Oct</v>
      </c>
      <c r="Q21">
        <f ca="1">YEAR(financials[[#This Row],[Date]])</f>
        <v>2023</v>
      </c>
      <c r="S21" s="10"/>
    </row>
    <row r="22" spans="1:19" x14ac:dyDescent="0.3">
      <c r="A22" t="s">
        <v>25</v>
      </c>
      <c r="B22" t="s">
        <v>20</v>
      </c>
      <c r="C22" s="6" t="s">
        <v>28</v>
      </c>
      <c r="D22" s="6" t="str">
        <f>CONCATENATE(financials[[#This Row],[Segment]],",",financials[[#This Row],[Country]],",",financials[[#This Row],[Product]])</f>
        <v>Channel Partners,Germany,Paseo</v>
      </c>
      <c r="E22" s="6" t="s">
        <v>19</v>
      </c>
      <c r="F22">
        <f t="shared" ca="1" si="0"/>
        <v>534</v>
      </c>
      <c r="G22" s="1">
        <f ca="1">VLOOKUP(financials[[#This Row],[ID]],Prices!D:F,2,FALSE)</f>
        <v>13</v>
      </c>
      <c r="H22" s="1">
        <f ca="1">VLOOKUP(financials[[#This Row],[ID]],Prices!D:F,3,FALSE)</f>
        <v>25</v>
      </c>
      <c r="I22" s="1">
        <f ca="1">financials[[#This Row],[Units Sold]]*financials[[#This Row],[Sale Price]]</f>
        <v>13350</v>
      </c>
      <c r="J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667.5</v>
      </c>
      <c r="K22" s="1">
        <f ca="1">financials[[#This Row],[Gross Sales]]-financials[[#This Row],[Discounts]]</f>
        <v>12682.5</v>
      </c>
      <c r="L22" s="1">
        <f ca="1">financials[[#This Row],[Units Sold]]*financials[[#This Row],[Manufacturing Price]]</f>
        <v>6942</v>
      </c>
      <c r="M22" s="1">
        <f ca="1">financials[[#This Row],[Sales]]-financials[[#This Row],[COGS]]</f>
        <v>5740.5</v>
      </c>
      <c r="N22" s="7">
        <f t="shared" ca="1" si="1"/>
        <v>45281</v>
      </c>
      <c r="O22" s="8">
        <f ca="1">MONTH(financials[[#This Row],[Date]])</f>
        <v>12</v>
      </c>
      <c r="P22" s="6" t="str">
        <f ca="1">TEXT(financials[[#This Row],[Date]],"MMM")</f>
        <v>Dec</v>
      </c>
      <c r="Q22">
        <f ca="1">YEAR(financials[[#This Row],[Date]])</f>
        <v>2023</v>
      </c>
      <c r="S22" s="10"/>
    </row>
    <row r="23" spans="1:19" x14ac:dyDescent="0.3">
      <c r="A23" t="s">
        <v>16</v>
      </c>
      <c r="B23" t="s">
        <v>23</v>
      </c>
      <c r="C23" s="6" t="s">
        <v>28</v>
      </c>
      <c r="D23" s="6" t="str">
        <f>CONCATENATE(financials[[#This Row],[Segment]],",",financials[[#This Row],[Country]],",",financials[[#This Row],[Product]])</f>
        <v>Government,Mexico,Paseo</v>
      </c>
      <c r="E23" s="6" t="s">
        <v>19</v>
      </c>
      <c r="F23">
        <f t="shared" ca="1" si="0"/>
        <v>612</v>
      </c>
      <c r="G23" s="1">
        <f ca="1">VLOOKUP(financials[[#This Row],[ID]],Prices!D:F,2,FALSE)</f>
        <v>18</v>
      </c>
      <c r="H23" s="1">
        <f ca="1">VLOOKUP(financials[[#This Row],[ID]],Prices!D:F,3,FALSE)</f>
        <v>19</v>
      </c>
      <c r="I23" s="1">
        <f ca="1">financials[[#This Row],[Units Sold]]*financials[[#This Row],[Sale Price]]</f>
        <v>11628</v>
      </c>
      <c r="J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581.4</v>
      </c>
      <c r="K23" s="1">
        <f ca="1">financials[[#This Row],[Gross Sales]]-financials[[#This Row],[Discounts]]</f>
        <v>11046.6</v>
      </c>
      <c r="L23" s="1">
        <f ca="1">financials[[#This Row],[Units Sold]]*financials[[#This Row],[Manufacturing Price]]</f>
        <v>11016</v>
      </c>
      <c r="M23" s="1">
        <f ca="1">financials[[#This Row],[Sales]]-financials[[#This Row],[COGS]]</f>
        <v>30.600000000000364</v>
      </c>
      <c r="N23" s="7">
        <f t="shared" ca="1" si="1"/>
        <v>45481</v>
      </c>
      <c r="O23" s="8">
        <f ca="1">MONTH(financials[[#This Row],[Date]])</f>
        <v>7</v>
      </c>
      <c r="P23" s="6" t="str">
        <f ca="1">TEXT(financials[[#This Row],[Date]],"MMM")</f>
        <v>Jul</v>
      </c>
      <c r="Q23">
        <f ca="1">YEAR(financials[[#This Row],[Date]])</f>
        <v>2024</v>
      </c>
      <c r="S23" s="10"/>
    </row>
    <row r="24" spans="1:19" x14ac:dyDescent="0.3">
      <c r="A24" t="s">
        <v>21</v>
      </c>
      <c r="B24" t="s">
        <v>22</v>
      </c>
      <c r="C24" s="6" t="s">
        <v>28</v>
      </c>
      <c r="D24" s="6" t="str">
        <f>CONCATENATE(financials[[#This Row],[Segment]],",",financials[[#This Row],[Country]],",",financials[[#This Row],[Product]])</f>
        <v>Midmarket,France,Paseo</v>
      </c>
      <c r="E24" s="6" t="s">
        <v>19</v>
      </c>
      <c r="F24">
        <f t="shared" ca="1" si="0"/>
        <v>948</v>
      </c>
      <c r="G24" s="1">
        <f ca="1">VLOOKUP(financials[[#This Row],[ID]],Prices!D:F,2,FALSE)</f>
        <v>20</v>
      </c>
      <c r="H24" s="1">
        <f ca="1">VLOOKUP(financials[[#This Row],[ID]],Prices!D:F,3,FALSE)</f>
        <v>38</v>
      </c>
      <c r="I24" s="1">
        <f ca="1">financials[[#This Row],[Units Sold]]*financials[[#This Row],[Sale Price]]</f>
        <v>36024</v>
      </c>
      <c r="J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1801.2</v>
      </c>
      <c r="K24" s="1">
        <f ca="1">financials[[#This Row],[Gross Sales]]-financials[[#This Row],[Discounts]]</f>
        <v>34222.800000000003</v>
      </c>
      <c r="L24" s="1">
        <f ca="1">financials[[#This Row],[Units Sold]]*financials[[#This Row],[Manufacturing Price]]</f>
        <v>18960</v>
      </c>
      <c r="M24" s="1">
        <f ca="1">financials[[#This Row],[Sales]]-financials[[#This Row],[COGS]]</f>
        <v>15262.800000000003</v>
      </c>
      <c r="N24" s="7">
        <f t="shared" ca="1" si="1"/>
        <v>45694</v>
      </c>
      <c r="O24" s="8">
        <f ca="1">MONTH(financials[[#This Row],[Date]])</f>
        <v>2</v>
      </c>
      <c r="P24" s="6" t="str">
        <f ca="1">TEXT(financials[[#This Row],[Date]],"MMM")</f>
        <v>Feb</v>
      </c>
      <c r="Q24">
        <f ca="1">YEAR(financials[[#This Row],[Date]])</f>
        <v>2025</v>
      </c>
      <c r="S24" s="10"/>
    </row>
    <row r="25" spans="1:19" x14ac:dyDescent="0.3">
      <c r="A25" t="s">
        <v>27</v>
      </c>
      <c r="B25" t="s">
        <v>23</v>
      </c>
      <c r="C25" s="6" t="s">
        <v>28</v>
      </c>
      <c r="D25" s="6" t="str">
        <f>CONCATENATE(financials[[#This Row],[Segment]],",",financials[[#This Row],[Country]],",",financials[[#This Row],[Product]])</f>
        <v>Small Business,Mexico,Paseo</v>
      </c>
      <c r="E25" s="6" t="s">
        <v>19</v>
      </c>
      <c r="F25">
        <f t="shared" ca="1" si="0"/>
        <v>754</v>
      </c>
      <c r="G25" s="1">
        <f ca="1">VLOOKUP(financials[[#This Row],[ID]],Prices!D:F,2,FALSE)</f>
        <v>20</v>
      </c>
      <c r="H25" s="1">
        <f ca="1">VLOOKUP(financials[[#This Row],[ID]],Prices!D:F,3,FALSE)</f>
        <v>20</v>
      </c>
      <c r="I25" s="1">
        <f ca="1">financials[[#This Row],[Units Sold]]*financials[[#This Row],[Sale Price]]</f>
        <v>15080</v>
      </c>
      <c r="J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754</v>
      </c>
      <c r="K25" s="1">
        <f ca="1">financials[[#This Row],[Gross Sales]]-financials[[#This Row],[Discounts]]</f>
        <v>14326</v>
      </c>
      <c r="L25" s="1">
        <f ca="1">financials[[#This Row],[Units Sold]]*financials[[#This Row],[Manufacturing Price]]</f>
        <v>15080</v>
      </c>
      <c r="M25" s="1">
        <f ca="1">financials[[#This Row],[Sales]]-financials[[#This Row],[COGS]]</f>
        <v>-754</v>
      </c>
      <c r="N25" s="7">
        <f t="shared" ca="1" si="1"/>
        <v>45577</v>
      </c>
      <c r="O25" s="8">
        <f ca="1">MONTH(financials[[#This Row],[Date]])</f>
        <v>10</v>
      </c>
      <c r="P25" s="6" t="str">
        <f ca="1">TEXT(financials[[#This Row],[Date]],"MMM")</f>
        <v>Oct</v>
      </c>
      <c r="Q25">
        <f ca="1">YEAR(financials[[#This Row],[Date]])</f>
        <v>2024</v>
      </c>
      <c r="S25" s="10"/>
    </row>
    <row r="26" spans="1:19" x14ac:dyDescent="0.3">
      <c r="A26" t="s">
        <v>21</v>
      </c>
      <c r="B26" t="s">
        <v>23</v>
      </c>
      <c r="C26" s="6" t="s">
        <v>28</v>
      </c>
      <c r="D26" s="6" t="str">
        <f>CONCATENATE(financials[[#This Row],[Segment]],",",financials[[#This Row],[Country]],",",financials[[#This Row],[Product]])</f>
        <v>Midmarket,Mexico,Paseo</v>
      </c>
      <c r="E26" s="6" t="s">
        <v>19</v>
      </c>
      <c r="F26">
        <f t="shared" ca="1" si="0"/>
        <v>492</v>
      </c>
      <c r="G26" s="1">
        <f ca="1">VLOOKUP(financials[[#This Row],[ID]],Prices!D:F,2,FALSE)</f>
        <v>11</v>
      </c>
      <c r="H26" s="1">
        <f ca="1">VLOOKUP(financials[[#This Row],[ID]],Prices!D:F,3,FALSE)</f>
        <v>21</v>
      </c>
      <c r="I26" s="1">
        <f ca="1">financials[[#This Row],[Units Sold]]*financials[[#This Row],[Sale Price]]</f>
        <v>10332</v>
      </c>
      <c r="J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516.6</v>
      </c>
      <c r="K26" s="1">
        <f ca="1">financials[[#This Row],[Gross Sales]]-financials[[#This Row],[Discounts]]</f>
        <v>9815.4</v>
      </c>
      <c r="L26" s="1">
        <f ca="1">financials[[#This Row],[Units Sold]]*financials[[#This Row],[Manufacturing Price]]</f>
        <v>5412</v>
      </c>
      <c r="M26" s="1">
        <f ca="1">financials[[#This Row],[Sales]]-financials[[#This Row],[COGS]]</f>
        <v>4403.3999999999996</v>
      </c>
      <c r="N26" s="7">
        <f t="shared" ca="1" si="1"/>
        <v>45664</v>
      </c>
      <c r="O26" s="8">
        <f ca="1">MONTH(financials[[#This Row],[Date]])</f>
        <v>1</v>
      </c>
      <c r="P26" s="6" t="str">
        <f ca="1">TEXT(financials[[#This Row],[Date]],"MMM")</f>
        <v>Jan</v>
      </c>
      <c r="Q26">
        <f ca="1">YEAR(financials[[#This Row],[Date]])</f>
        <v>2025</v>
      </c>
      <c r="S26" s="10"/>
    </row>
    <row r="27" spans="1:19" x14ac:dyDescent="0.3">
      <c r="A27" t="s">
        <v>16</v>
      </c>
      <c r="B27" t="s">
        <v>36</v>
      </c>
      <c r="C27" s="6" t="s">
        <v>28</v>
      </c>
      <c r="D27" s="6" t="str">
        <f>CONCATENATE(financials[[#This Row],[Segment]],",",financials[[#This Row],[Country]],",",financials[[#This Row],[Product]])</f>
        <v>Government,USA,Paseo</v>
      </c>
      <c r="E27" s="6" t="s">
        <v>19</v>
      </c>
      <c r="F27">
        <f t="shared" ca="1" si="0"/>
        <v>811</v>
      </c>
      <c r="G27" s="1">
        <f ca="1">VLOOKUP(financials[[#This Row],[ID]],Prices!D:F,2,FALSE)</f>
        <v>17</v>
      </c>
      <c r="H27" s="1">
        <f ca="1">VLOOKUP(financials[[#This Row],[ID]],Prices!D:F,3,FALSE)</f>
        <v>36</v>
      </c>
      <c r="I27" s="1">
        <f ca="1">financials[[#This Row],[Units Sold]]*financials[[#This Row],[Sale Price]]</f>
        <v>29196</v>
      </c>
      <c r="J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1459.8000000000002</v>
      </c>
      <c r="K27" s="1">
        <f ca="1">financials[[#This Row],[Gross Sales]]-financials[[#This Row],[Discounts]]</f>
        <v>27736.2</v>
      </c>
      <c r="L27" s="1">
        <f ca="1">financials[[#This Row],[Units Sold]]*financials[[#This Row],[Manufacturing Price]]</f>
        <v>13787</v>
      </c>
      <c r="M27" s="1">
        <f ca="1">financials[[#This Row],[Sales]]-financials[[#This Row],[COGS]]</f>
        <v>13949.2</v>
      </c>
      <c r="N27" s="7">
        <f t="shared" ca="1" si="1"/>
        <v>45389</v>
      </c>
      <c r="O27" s="8">
        <f ca="1">MONTH(financials[[#This Row],[Date]])</f>
        <v>4</v>
      </c>
      <c r="P27" s="6" t="str">
        <f ca="1">TEXT(financials[[#This Row],[Date]],"MMM")</f>
        <v>Apr</v>
      </c>
      <c r="Q27">
        <f ca="1">YEAR(financials[[#This Row],[Date]])</f>
        <v>2024</v>
      </c>
      <c r="S27" s="10"/>
    </row>
    <row r="28" spans="1:19" x14ac:dyDescent="0.3">
      <c r="A28" t="s">
        <v>16</v>
      </c>
      <c r="B28" t="s">
        <v>17</v>
      </c>
      <c r="C28" s="6" t="s">
        <v>28</v>
      </c>
      <c r="D28" s="6" t="str">
        <f>CONCATENATE(financials[[#This Row],[Segment]],",",financials[[#This Row],[Country]],",",financials[[#This Row],[Product]])</f>
        <v>Government,Canada,Paseo</v>
      </c>
      <c r="E28" s="6" t="s">
        <v>19</v>
      </c>
      <c r="F28">
        <f t="shared" ca="1" si="0"/>
        <v>535</v>
      </c>
      <c r="G28" s="1">
        <f ca="1">VLOOKUP(financials[[#This Row],[ID]],Prices!D:F,2,FALSE)</f>
        <v>10</v>
      </c>
      <c r="H28" s="1">
        <f ca="1">VLOOKUP(financials[[#This Row],[ID]],Prices!D:F,3,FALSE)</f>
        <v>23</v>
      </c>
      <c r="I28" s="1">
        <f ca="1">financials[[#This Row],[Units Sold]]*financials[[#This Row],[Sale Price]]</f>
        <v>12305</v>
      </c>
      <c r="J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615.25</v>
      </c>
      <c r="K28" s="1">
        <f ca="1">financials[[#This Row],[Gross Sales]]-financials[[#This Row],[Discounts]]</f>
        <v>11689.75</v>
      </c>
      <c r="L28" s="1">
        <f ca="1">financials[[#This Row],[Units Sold]]*financials[[#This Row],[Manufacturing Price]]</f>
        <v>5350</v>
      </c>
      <c r="M28" s="1">
        <f ca="1">financials[[#This Row],[Sales]]-financials[[#This Row],[COGS]]</f>
        <v>6339.75</v>
      </c>
      <c r="N28" s="7">
        <f t="shared" ca="1" si="1"/>
        <v>45393</v>
      </c>
      <c r="O28" s="8">
        <f ca="1">MONTH(financials[[#This Row],[Date]])</f>
        <v>4</v>
      </c>
      <c r="P28" s="6" t="str">
        <f ca="1">TEXT(financials[[#This Row],[Date]],"MMM")</f>
        <v>Apr</v>
      </c>
      <c r="Q28">
        <f ca="1">YEAR(financials[[#This Row],[Date]])</f>
        <v>2024</v>
      </c>
      <c r="S28" s="10"/>
    </row>
    <row r="29" spans="1:19" x14ac:dyDescent="0.3">
      <c r="A29" t="s">
        <v>25</v>
      </c>
      <c r="B29" t="s">
        <v>36</v>
      </c>
      <c r="C29" s="6" t="s">
        <v>28</v>
      </c>
      <c r="D29" s="6" t="str">
        <f>CONCATENATE(financials[[#This Row],[Segment]],",",financials[[#This Row],[Country]],",",financials[[#This Row],[Product]])</f>
        <v>Channel Partners,USA,Paseo</v>
      </c>
      <c r="E29" s="6" t="s">
        <v>19</v>
      </c>
      <c r="F29">
        <f t="shared" ca="1" si="0"/>
        <v>869</v>
      </c>
      <c r="G29" s="1">
        <f ca="1">VLOOKUP(financials[[#This Row],[ID]],Prices!D:F,2,FALSE)</f>
        <v>19</v>
      </c>
      <c r="H29" s="1">
        <f ca="1">VLOOKUP(financials[[#This Row],[ID]],Prices!D:F,3,FALSE)</f>
        <v>26</v>
      </c>
      <c r="I29" s="1">
        <f ca="1">financials[[#This Row],[Units Sold]]*financials[[#This Row],[Sale Price]]</f>
        <v>22594</v>
      </c>
      <c r="J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1129.7</v>
      </c>
      <c r="K29" s="1">
        <f ca="1">financials[[#This Row],[Gross Sales]]-financials[[#This Row],[Discounts]]</f>
        <v>21464.3</v>
      </c>
      <c r="L29" s="1">
        <f ca="1">financials[[#This Row],[Units Sold]]*financials[[#This Row],[Manufacturing Price]]</f>
        <v>16511</v>
      </c>
      <c r="M29" s="1">
        <f ca="1">financials[[#This Row],[Sales]]-financials[[#This Row],[COGS]]</f>
        <v>4953.2999999999993</v>
      </c>
      <c r="N29" s="7">
        <f t="shared" ca="1" si="1"/>
        <v>45164</v>
      </c>
      <c r="O29" s="8">
        <f ca="1">MONTH(financials[[#This Row],[Date]])</f>
        <v>8</v>
      </c>
      <c r="P29" s="6" t="str">
        <f ca="1">TEXT(financials[[#This Row],[Date]],"MMM")</f>
        <v>Aug</v>
      </c>
      <c r="Q29">
        <f ca="1">YEAR(financials[[#This Row],[Date]])</f>
        <v>2023</v>
      </c>
      <c r="S29" s="10"/>
    </row>
    <row r="30" spans="1:19" x14ac:dyDescent="0.3">
      <c r="A30" t="s">
        <v>21</v>
      </c>
      <c r="B30" t="s">
        <v>17</v>
      </c>
      <c r="C30" s="6" t="s">
        <v>28</v>
      </c>
      <c r="D30" s="6" t="str">
        <f>CONCATENATE(financials[[#This Row],[Segment]],",",financials[[#This Row],[Country]],",",financials[[#This Row],[Product]])</f>
        <v>Midmarket,Canada,Paseo</v>
      </c>
      <c r="E30" s="6" t="s">
        <v>19</v>
      </c>
      <c r="F30">
        <f t="shared" ca="1" si="0"/>
        <v>181</v>
      </c>
      <c r="G30" s="1">
        <f ca="1">VLOOKUP(financials[[#This Row],[ID]],Prices!D:F,2,FALSE)</f>
        <v>15</v>
      </c>
      <c r="H30" s="1">
        <f ca="1">VLOOKUP(financials[[#This Row],[ID]],Prices!D:F,3,FALSE)</f>
        <v>36</v>
      </c>
      <c r="I30" s="1">
        <f ca="1">financials[[#This Row],[Units Sold]]*financials[[#This Row],[Sale Price]]</f>
        <v>6516</v>
      </c>
      <c r="J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325.8</v>
      </c>
      <c r="K30" s="1">
        <f ca="1">financials[[#This Row],[Gross Sales]]-financials[[#This Row],[Discounts]]</f>
        <v>6190.2</v>
      </c>
      <c r="L30" s="1">
        <f ca="1">financials[[#This Row],[Units Sold]]*financials[[#This Row],[Manufacturing Price]]</f>
        <v>2715</v>
      </c>
      <c r="M30" s="1">
        <f ca="1">financials[[#This Row],[Sales]]-financials[[#This Row],[COGS]]</f>
        <v>3475.2</v>
      </c>
      <c r="N30" s="7">
        <f t="shared" ca="1" si="1"/>
        <v>45222</v>
      </c>
      <c r="O30" s="8">
        <f ca="1">MONTH(financials[[#This Row],[Date]])</f>
        <v>10</v>
      </c>
      <c r="P30" s="6" t="str">
        <f ca="1">TEXT(financials[[#This Row],[Date]],"MMM")</f>
        <v>Oct</v>
      </c>
      <c r="Q30">
        <f ca="1">YEAR(financials[[#This Row],[Date]])</f>
        <v>2023</v>
      </c>
      <c r="S30" s="10"/>
    </row>
    <row r="31" spans="1:19" x14ac:dyDescent="0.3">
      <c r="A31" t="s">
        <v>16</v>
      </c>
      <c r="B31" t="s">
        <v>17</v>
      </c>
      <c r="C31" s="6" t="s">
        <v>28</v>
      </c>
      <c r="D31" s="6" t="str">
        <f>CONCATENATE(financials[[#This Row],[Segment]],",",financials[[#This Row],[Country]],",",financials[[#This Row],[Product]])</f>
        <v>Government,Canada,Paseo</v>
      </c>
      <c r="E31" s="6" t="s">
        <v>19</v>
      </c>
      <c r="F31">
        <f t="shared" ca="1" si="0"/>
        <v>119</v>
      </c>
      <c r="G31" s="1">
        <f ca="1">VLOOKUP(financials[[#This Row],[ID]],Prices!D:F,2,FALSE)</f>
        <v>10</v>
      </c>
      <c r="H31" s="1">
        <f ca="1">VLOOKUP(financials[[#This Row],[ID]],Prices!D:F,3,FALSE)</f>
        <v>23</v>
      </c>
      <c r="I31" s="1">
        <f ca="1">financials[[#This Row],[Units Sold]]*financials[[#This Row],[Sale Price]]</f>
        <v>2737</v>
      </c>
      <c r="J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136.85</v>
      </c>
      <c r="K31" s="1">
        <f ca="1">financials[[#This Row],[Gross Sales]]-financials[[#This Row],[Discounts]]</f>
        <v>2600.15</v>
      </c>
      <c r="L31" s="1">
        <f ca="1">financials[[#This Row],[Units Sold]]*financials[[#This Row],[Manufacturing Price]]</f>
        <v>1190</v>
      </c>
      <c r="M31" s="1">
        <f ca="1">financials[[#This Row],[Sales]]-financials[[#This Row],[COGS]]</f>
        <v>1410.15</v>
      </c>
      <c r="N31" s="7">
        <f t="shared" ca="1" si="1"/>
        <v>45068</v>
      </c>
      <c r="O31" s="8">
        <f ca="1">MONTH(financials[[#This Row],[Date]])</f>
        <v>5</v>
      </c>
      <c r="P31" s="6" t="str">
        <f ca="1">TEXT(financials[[#This Row],[Date]],"MMM")</f>
        <v>May</v>
      </c>
      <c r="Q31">
        <f ca="1">YEAR(financials[[#This Row],[Date]])</f>
        <v>2023</v>
      </c>
      <c r="S31" s="10"/>
    </row>
    <row r="32" spans="1:19" x14ac:dyDescent="0.3">
      <c r="A32" t="s">
        <v>16</v>
      </c>
      <c r="B32" t="s">
        <v>20</v>
      </c>
      <c r="C32" s="6" t="s">
        <v>28</v>
      </c>
      <c r="D32" s="6" t="str">
        <f>CONCATENATE(financials[[#This Row],[Segment]],",",financials[[#This Row],[Country]],",",financials[[#This Row],[Product]])</f>
        <v>Government,Germany,Paseo</v>
      </c>
      <c r="E32" s="6" t="s">
        <v>19</v>
      </c>
      <c r="F32">
        <f t="shared" ca="1" si="0"/>
        <v>715</v>
      </c>
      <c r="G32" s="1">
        <f ca="1">VLOOKUP(financials[[#This Row],[ID]],Prices!D:F,2,FALSE)</f>
        <v>19</v>
      </c>
      <c r="H32" s="1">
        <f ca="1">VLOOKUP(financials[[#This Row],[ID]],Prices!D:F,3,FALSE)</f>
        <v>37</v>
      </c>
      <c r="I32" s="1">
        <f ca="1">financials[[#This Row],[Units Sold]]*financials[[#This Row],[Sale Price]]</f>
        <v>26455</v>
      </c>
      <c r="J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1322.75</v>
      </c>
      <c r="K32" s="1">
        <f ca="1">financials[[#This Row],[Gross Sales]]-financials[[#This Row],[Discounts]]</f>
        <v>25132.25</v>
      </c>
      <c r="L32" s="1">
        <f ca="1">financials[[#This Row],[Units Sold]]*financials[[#This Row],[Manufacturing Price]]</f>
        <v>13585</v>
      </c>
      <c r="M32" s="1">
        <f ca="1">financials[[#This Row],[Sales]]-financials[[#This Row],[COGS]]</f>
        <v>11547.25</v>
      </c>
      <c r="N32" s="7">
        <f t="shared" ca="1" si="1"/>
        <v>45642</v>
      </c>
      <c r="O32" s="8">
        <f ca="1">MONTH(financials[[#This Row],[Date]])</f>
        <v>12</v>
      </c>
      <c r="P32" s="6" t="str">
        <f ca="1">TEXT(financials[[#This Row],[Date]],"MMM")</f>
        <v>Dec</v>
      </c>
      <c r="Q32">
        <f ca="1">YEAR(financials[[#This Row],[Date]])</f>
        <v>2024</v>
      </c>
      <c r="S32" s="10"/>
    </row>
    <row r="33" spans="1:19" x14ac:dyDescent="0.3">
      <c r="A33" t="s">
        <v>16</v>
      </c>
      <c r="B33" t="s">
        <v>23</v>
      </c>
      <c r="C33" s="6" t="s">
        <v>29</v>
      </c>
      <c r="D33" s="6" t="str">
        <f>CONCATENATE(financials[[#This Row],[Segment]],",",financials[[#This Row],[Country]],",",financials[[#This Row],[Product]])</f>
        <v>Government,Mexico,Velo</v>
      </c>
      <c r="E33" s="6" t="s">
        <v>19</v>
      </c>
      <c r="F33">
        <f t="shared" ca="1" si="0"/>
        <v>755</v>
      </c>
      <c r="G33" s="1">
        <f ca="1">VLOOKUP(financials[[#This Row],[ID]],Prices!D:F,2,FALSE)</f>
        <v>18</v>
      </c>
      <c r="H33" s="1">
        <f ca="1">VLOOKUP(financials[[#This Row],[ID]],Prices!D:F,3,FALSE)</f>
        <v>36</v>
      </c>
      <c r="I33" s="1">
        <f ca="1">financials[[#This Row],[Units Sold]]*financials[[#This Row],[Sale Price]]</f>
        <v>27180</v>
      </c>
      <c r="J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1359</v>
      </c>
      <c r="K33" s="1">
        <f ca="1">financials[[#This Row],[Gross Sales]]-financials[[#This Row],[Discounts]]</f>
        <v>25821</v>
      </c>
      <c r="L33" s="1">
        <f ca="1">financials[[#This Row],[Units Sold]]*financials[[#This Row],[Manufacturing Price]]</f>
        <v>13590</v>
      </c>
      <c r="M33" s="1">
        <f ca="1">financials[[#This Row],[Sales]]-financials[[#This Row],[COGS]]</f>
        <v>12231</v>
      </c>
      <c r="N33" s="7">
        <f t="shared" ca="1" si="1"/>
        <v>45091</v>
      </c>
      <c r="O33" s="8">
        <f ca="1">MONTH(financials[[#This Row],[Date]])</f>
        <v>6</v>
      </c>
      <c r="P33" s="6" t="str">
        <f ca="1">TEXT(financials[[#This Row],[Date]],"MMM")</f>
        <v>Jun</v>
      </c>
      <c r="Q33">
        <f ca="1">YEAR(financials[[#This Row],[Date]])</f>
        <v>2023</v>
      </c>
      <c r="S33" s="10"/>
    </row>
    <row r="34" spans="1:19" x14ac:dyDescent="0.3">
      <c r="A34" t="s">
        <v>26</v>
      </c>
      <c r="B34" t="s">
        <v>22</v>
      </c>
      <c r="C34" s="6" t="s">
        <v>29</v>
      </c>
      <c r="D34" s="6" t="str">
        <f>CONCATENATE(financials[[#This Row],[Segment]],",",financials[[#This Row],[Country]],",",financials[[#This Row],[Product]])</f>
        <v>Enterprise,France,Velo</v>
      </c>
      <c r="E34" s="6" t="s">
        <v>19</v>
      </c>
      <c r="F34">
        <f t="shared" ca="1" si="0"/>
        <v>598</v>
      </c>
      <c r="G34" s="1">
        <f ca="1">VLOOKUP(financials[[#This Row],[ID]],Prices!D:F,2,FALSE)</f>
        <v>20</v>
      </c>
      <c r="H34" s="1">
        <f ca="1">VLOOKUP(financials[[#This Row],[ID]],Prices!D:F,3,FALSE)</f>
        <v>27</v>
      </c>
      <c r="I34" s="1">
        <f ca="1">financials[[#This Row],[Units Sold]]*financials[[#This Row],[Sale Price]]</f>
        <v>16146</v>
      </c>
      <c r="J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807.30000000000007</v>
      </c>
      <c r="K34" s="1">
        <f ca="1">financials[[#This Row],[Gross Sales]]-financials[[#This Row],[Discounts]]</f>
        <v>15338.7</v>
      </c>
      <c r="L34" s="1">
        <f ca="1">financials[[#This Row],[Units Sold]]*financials[[#This Row],[Manufacturing Price]]</f>
        <v>11960</v>
      </c>
      <c r="M34" s="1">
        <f ca="1">financials[[#This Row],[Sales]]-financials[[#This Row],[COGS]]</f>
        <v>3378.7000000000007</v>
      </c>
      <c r="N34" s="7">
        <f t="shared" ca="1" si="1"/>
        <v>45386</v>
      </c>
      <c r="O34" s="8">
        <f ca="1">MONTH(financials[[#This Row],[Date]])</f>
        <v>4</v>
      </c>
      <c r="P34" s="6" t="str">
        <f ca="1">TEXT(financials[[#This Row],[Date]],"MMM")</f>
        <v>Apr</v>
      </c>
      <c r="Q34">
        <f ca="1">YEAR(financials[[#This Row],[Date]])</f>
        <v>2024</v>
      </c>
      <c r="S34" s="10"/>
    </row>
    <row r="35" spans="1:19" x14ac:dyDescent="0.3">
      <c r="A35" t="s">
        <v>25</v>
      </c>
      <c r="B35" t="s">
        <v>20</v>
      </c>
      <c r="C35" s="6" t="s">
        <v>29</v>
      </c>
      <c r="D35" s="6" t="str">
        <f>CONCATENATE(financials[[#This Row],[Segment]],",",financials[[#This Row],[Country]],",",financials[[#This Row],[Product]])</f>
        <v>Channel Partners,Germany,Velo</v>
      </c>
      <c r="E35" s="6" t="s">
        <v>19</v>
      </c>
      <c r="F35">
        <f t="shared" ca="1" si="0"/>
        <v>571</v>
      </c>
      <c r="G35" s="1">
        <f ca="1">VLOOKUP(financials[[#This Row],[ID]],Prices!D:F,2,FALSE)</f>
        <v>17</v>
      </c>
      <c r="H35" s="1">
        <f ca="1">VLOOKUP(financials[[#This Row],[ID]],Prices!D:F,3,FALSE)</f>
        <v>23</v>
      </c>
      <c r="I35" s="1">
        <f ca="1">financials[[#This Row],[Units Sold]]*financials[[#This Row],[Sale Price]]</f>
        <v>13133</v>
      </c>
      <c r="J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656.65000000000009</v>
      </c>
      <c r="K35" s="1">
        <f ca="1">financials[[#This Row],[Gross Sales]]-financials[[#This Row],[Discounts]]</f>
        <v>12476.35</v>
      </c>
      <c r="L35" s="1">
        <f ca="1">financials[[#This Row],[Units Sold]]*financials[[#This Row],[Manufacturing Price]]</f>
        <v>9707</v>
      </c>
      <c r="M35" s="1">
        <f ca="1">financials[[#This Row],[Sales]]-financials[[#This Row],[COGS]]</f>
        <v>2769.3500000000004</v>
      </c>
      <c r="N35" s="7">
        <f t="shared" ca="1" si="1"/>
        <v>45090</v>
      </c>
      <c r="O35" s="8">
        <f ca="1">MONTH(financials[[#This Row],[Date]])</f>
        <v>6</v>
      </c>
      <c r="P35" s="6" t="str">
        <f ca="1">TEXT(financials[[#This Row],[Date]],"MMM")</f>
        <v>Jun</v>
      </c>
      <c r="Q35">
        <f ca="1">YEAR(financials[[#This Row],[Date]])</f>
        <v>2023</v>
      </c>
      <c r="S35" s="10"/>
    </row>
    <row r="36" spans="1:19" x14ac:dyDescent="0.3">
      <c r="A36" t="s">
        <v>16</v>
      </c>
      <c r="B36" t="s">
        <v>20</v>
      </c>
      <c r="C36" s="6" t="s">
        <v>29</v>
      </c>
      <c r="D36" s="6" t="str">
        <f>CONCATENATE(financials[[#This Row],[Segment]],",",financials[[#This Row],[Country]],",",financials[[#This Row],[Product]])</f>
        <v>Government,Germany,Velo</v>
      </c>
      <c r="E36" s="6" t="s">
        <v>19</v>
      </c>
      <c r="F36">
        <f t="shared" ca="1" si="0"/>
        <v>263</v>
      </c>
      <c r="G36" s="1">
        <f ca="1">VLOOKUP(financials[[#This Row],[ID]],Prices!D:F,2,FALSE)</f>
        <v>13</v>
      </c>
      <c r="H36" s="1">
        <f ca="1">VLOOKUP(financials[[#This Row],[ID]],Prices!D:F,3,FALSE)</f>
        <v>19</v>
      </c>
      <c r="I36" s="1">
        <f ca="1">financials[[#This Row],[Units Sold]]*financials[[#This Row],[Sale Price]]</f>
        <v>4997</v>
      </c>
      <c r="J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249.85000000000002</v>
      </c>
      <c r="K36" s="1">
        <f ca="1">financials[[#This Row],[Gross Sales]]-financials[[#This Row],[Discounts]]</f>
        <v>4747.1499999999996</v>
      </c>
      <c r="L36" s="1">
        <f ca="1">financials[[#This Row],[Units Sold]]*financials[[#This Row],[Manufacturing Price]]</f>
        <v>3419</v>
      </c>
      <c r="M36" s="1">
        <f ca="1">financials[[#This Row],[Sales]]-financials[[#This Row],[COGS]]</f>
        <v>1328.1499999999996</v>
      </c>
      <c r="N36" s="7">
        <f t="shared" ca="1" si="1"/>
        <v>45175</v>
      </c>
      <c r="O36" s="8">
        <f ca="1">MONTH(financials[[#This Row],[Date]])</f>
        <v>9</v>
      </c>
      <c r="P36" s="6" t="str">
        <f ca="1">TEXT(financials[[#This Row],[Date]],"MMM")</f>
        <v>Sep</v>
      </c>
      <c r="Q36">
        <f ca="1">YEAR(financials[[#This Row],[Date]])</f>
        <v>2023</v>
      </c>
      <c r="S36" s="10"/>
    </row>
    <row r="37" spans="1:19" x14ac:dyDescent="0.3">
      <c r="A37" t="s">
        <v>25</v>
      </c>
      <c r="B37" t="s">
        <v>20</v>
      </c>
      <c r="C37" s="6" t="s">
        <v>29</v>
      </c>
      <c r="D37" s="6" t="str">
        <f>CONCATENATE(financials[[#This Row],[Segment]],",",financials[[#This Row],[Country]],",",financials[[#This Row],[Product]])</f>
        <v>Channel Partners,Germany,Velo</v>
      </c>
      <c r="E37" s="6" t="s">
        <v>19</v>
      </c>
      <c r="F37">
        <f t="shared" ca="1" si="0"/>
        <v>916</v>
      </c>
      <c r="G37" s="1">
        <f ca="1">VLOOKUP(financials[[#This Row],[ID]],Prices!D:F,2,FALSE)</f>
        <v>17</v>
      </c>
      <c r="H37" s="1">
        <f ca="1">VLOOKUP(financials[[#This Row],[ID]],Prices!D:F,3,FALSE)</f>
        <v>23</v>
      </c>
      <c r="I37" s="1">
        <f ca="1">financials[[#This Row],[Units Sold]]*financials[[#This Row],[Sale Price]]</f>
        <v>21068</v>
      </c>
      <c r="J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1053.4000000000001</v>
      </c>
      <c r="K37" s="1">
        <f ca="1">financials[[#This Row],[Gross Sales]]-financials[[#This Row],[Discounts]]</f>
        <v>20014.599999999999</v>
      </c>
      <c r="L37" s="1">
        <f ca="1">financials[[#This Row],[Units Sold]]*financials[[#This Row],[Manufacturing Price]]</f>
        <v>15572</v>
      </c>
      <c r="M37" s="1">
        <f ca="1">financials[[#This Row],[Sales]]-financials[[#This Row],[COGS]]</f>
        <v>4442.5999999999985</v>
      </c>
      <c r="N37" s="7">
        <f t="shared" ca="1" si="1"/>
        <v>45414</v>
      </c>
      <c r="O37" s="8">
        <f ca="1">MONTH(financials[[#This Row],[Date]])</f>
        <v>5</v>
      </c>
      <c r="P37" s="6" t="str">
        <f ca="1">TEXT(financials[[#This Row],[Date]],"MMM")</f>
        <v>May</v>
      </c>
      <c r="Q37">
        <f ca="1">YEAR(financials[[#This Row],[Date]])</f>
        <v>2024</v>
      </c>
      <c r="S37" s="10"/>
    </row>
    <row r="38" spans="1:19" x14ac:dyDescent="0.3">
      <c r="A38" t="s">
        <v>26</v>
      </c>
      <c r="B38" t="s">
        <v>36</v>
      </c>
      <c r="C38" s="6" t="s">
        <v>29</v>
      </c>
      <c r="D38" s="6" t="str">
        <f>CONCATENATE(financials[[#This Row],[Segment]],",",financials[[#This Row],[Country]],",",financials[[#This Row],[Product]])</f>
        <v>Enterprise,USA,Velo</v>
      </c>
      <c r="E38" s="6" t="s">
        <v>19</v>
      </c>
      <c r="F38">
        <f t="shared" ca="1" si="0"/>
        <v>15</v>
      </c>
      <c r="G38" s="1">
        <f ca="1">VLOOKUP(financials[[#This Row],[ID]],Prices!D:F,2,FALSE)</f>
        <v>20</v>
      </c>
      <c r="H38" s="1">
        <f ca="1">VLOOKUP(financials[[#This Row],[ID]],Prices!D:F,3,FALSE)</f>
        <v>24</v>
      </c>
      <c r="I38" s="1">
        <f ca="1">financials[[#This Row],[Units Sold]]*financials[[#This Row],[Sale Price]]</f>
        <v>360</v>
      </c>
      <c r="J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3.6</v>
      </c>
      <c r="K38" s="1">
        <f ca="1">financials[[#This Row],[Gross Sales]]-financials[[#This Row],[Discounts]]</f>
        <v>356.4</v>
      </c>
      <c r="L38" s="1">
        <f ca="1">financials[[#This Row],[Units Sold]]*financials[[#This Row],[Manufacturing Price]]</f>
        <v>300</v>
      </c>
      <c r="M38" s="1">
        <f ca="1">financials[[#This Row],[Sales]]-financials[[#This Row],[COGS]]</f>
        <v>56.399999999999977</v>
      </c>
      <c r="N38" s="7">
        <f t="shared" ca="1" si="1"/>
        <v>45369</v>
      </c>
      <c r="O38" s="8">
        <f ca="1">MONTH(financials[[#This Row],[Date]])</f>
        <v>3</v>
      </c>
      <c r="P38" s="6" t="str">
        <f ca="1">TEXT(financials[[#This Row],[Date]],"MMM")</f>
        <v>Mar</v>
      </c>
      <c r="Q38">
        <f ca="1">YEAR(financials[[#This Row],[Date]])</f>
        <v>2024</v>
      </c>
      <c r="S38" s="10"/>
    </row>
    <row r="39" spans="1:19" x14ac:dyDescent="0.3">
      <c r="A39" t="s">
        <v>26</v>
      </c>
      <c r="B39" t="s">
        <v>17</v>
      </c>
      <c r="C39" s="6" t="s">
        <v>29</v>
      </c>
      <c r="D39" s="6" t="str">
        <f>CONCATENATE(financials[[#This Row],[Segment]],",",financials[[#This Row],[Country]],",",financials[[#This Row],[Product]])</f>
        <v>Enterprise,Canada,Velo</v>
      </c>
      <c r="E39" s="6" t="s">
        <v>19</v>
      </c>
      <c r="F39">
        <f t="shared" ca="1" si="0"/>
        <v>918</v>
      </c>
      <c r="G39" s="1">
        <f ca="1">VLOOKUP(financials[[#This Row],[ID]],Prices!D:F,2,FALSE)</f>
        <v>11</v>
      </c>
      <c r="H39" s="1">
        <f ca="1">VLOOKUP(financials[[#This Row],[ID]],Prices!D:F,3,FALSE)</f>
        <v>34</v>
      </c>
      <c r="I39" s="1">
        <f ca="1">financials[[#This Row],[Units Sold]]*financials[[#This Row],[Sale Price]]</f>
        <v>31212</v>
      </c>
      <c r="J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1560.6000000000001</v>
      </c>
      <c r="K39" s="1">
        <f ca="1">financials[[#This Row],[Gross Sales]]-financials[[#This Row],[Discounts]]</f>
        <v>29651.4</v>
      </c>
      <c r="L39" s="1">
        <f ca="1">financials[[#This Row],[Units Sold]]*financials[[#This Row],[Manufacturing Price]]</f>
        <v>10098</v>
      </c>
      <c r="M39" s="1">
        <f ca="1">financials[[#This Row],[Sales]]-financials[[#This Row],[COGS]]</f>
        <v>19553.400000000001</v>
      </c>
      <c r="N39" s="7">
        <f t="shared" ca="1" si="1"/>
        <v>45040</v>
      </c>
      <c r="O39" s="8">
        <f ca="1">MONTH(financials[[#This Row],[Date]])</f>
        <v>4</v>
      </c>
      <c r="P39" s="6" t="str">
        <f ca="1">TEXT(financials[[#This Row],[Date]],"MMM")</f>
        <v>Apr</v>
      </c>
      <c r="Q39">
        <f ca="1">YEAR(financials[[#This Row],[Date]])</f>
        <v>2023</v>
      </c>
      <c r="S39" s="10"/>
    </row>
    <row r="40" spans="1:19" x14ac:dyDescent="0.3">
      <c r="A40" t="s">
        <v>27</v>
      </c>
      <c r="B40" t="s">
        <v>17</v>
      </c>
      <c r="C40" s="6" t="s">
        <v>30</v>
      </c>
      <c r="D40" s="6" t="str">
        <f>CONCATENATE(financials[[#This Row],[Segment]],",",financials[[#This Row],[Country]],",",financials[[#This Row],[Product]])</f>
        <v>Small Business,Canada,VTT</v>
      </c>
      <c r="E40" s="6" t="s">
        <v>19</v>
      </c>
      <c r="F40">
        <f t="shared" ca="1" si="0"/>
        <v>164</v>
      </c>
      <c r="G40" s="1">
        <f ca="1">VLOOKUP(financials[[#This Row],[ID]],Prices!D:F,2,FALSE)</f>
        <v>10</v>
      </c>
      <c r="H40" s="1">
        <f ca="1">VLOOKUP(financials[[#This Row],[ID]],Prices!D:F,3,FALSE)</f>
        <v>21</v>
      </c>
      <c r="I40" s="1">
        <f ca="1">financials[[#This Row],[Units Sold]]*financials[[#This Row],[Sale Price]]</f>
        <v>3444</v>
      </c>
      <c r="J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172.20000000000002</v>
      </c>
      <c r="K40" s="1">
        <f ca="1">financials[[#This Row],[Gross Sales]]-financials[[#This Row],[Discounts]]</f>
        <v>3271.8</v>
      </c>
      <c r="L40" s="1">
        <f ca="1">financials[[#This Row],[Units Sold]]*financials[[#This Row],[Manufacturing Price]]</f>
        <v>1640</v>
      </c>
      <c r="M40" s="1">
        <f ca="1">financials[[#This Row],[Sales]]-financials[[#This Row],[COGS]]</f>
        <v>1631.8000000000002</v>
      </c>
      <c r="N40" s="7">
        <f t="shared" ca="1" si="1"/>
        <v>45146</v>
      </c>
      <c r="O40" s="8">
        <f ca="1">MONTH(financials[[#This Row],[Date]])</f>
        <v>8</v>
      </c>
      <c r="P40" s="6" t="str">
        <f ca="1">TEXT(financials[[#This Row],[Date]],"MMM")</f>
        <v>Aug</v>
      </c>
      <c r="Q40">
        <f ca="1">YEAR(financials[[#This Row],[Date]])</f>
        <v>2023</v>
      </c>
      <c r="S40" s="10"/>
    </row>
    <row r="41" spans="1:19" x14ac:dyDescent="0.3">
      <c r="A41" t="s">
        <v>25</v>
      </c>
      <c r="B41" t="s">
        <v>20</v>
      </c>
      <c r="C41" s="6" t="s">
        <v>30</v>
      </c>
      <c r="D41" s="6" t="str">
        <f>CONCATENATE(financials[[#This Row],[Segment]],",",financials[[#This Row],[Country]],",",financials[[#This Row],[Product]])</f>
        <v>Channel Partners,Germany,VTT</v>
      </c>
      <c r="E41" s="6" t="s">
        <v>19</v>
      </c>
      <c r="F41">
        <f t="shared" ca="1" si="0"/>
        <v>781</v>
      </c>
      <c r="G41" s="1">
        <f ca="1">VLOOKUP(financials[[#This Row],[ID]],Prices!D:F,2,FALSE)</f>
        <v>20</v>
      </c>
      <c r="H41" s="1">
        <f ca="1">VLOOKUP(financials[[#This Row],[ID]],Prices!D:F,3,FALSE)</f>
        <v>32</v>
      </c>
      <c r="I41" s="1">
        <f ca="1">financials[[#This Row],[Units Sold]]*financials[[#This Row],[Sale Price]]</f>
        <v>24992</v>
      </c>
      <c r="J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1249.6000000000001</v>
      </c>
      <c r="K41" s="1">
        <f ca="1">financials[[#This Row],[Gross Sales]]-financials[[#This Row],[Discounts]]</f>
        <v>23742.400000000001</v>
      </c>
      <c r="L41" s="1">
        <f ca="1">financials[[#This Row],[Units Sold]]*financials[[#This Row],[Manufacturing Price]]</f>
        <v>15620</v>
      </c>
      <c r="M41" s="1">
        <f ca="1">financials[[#This Row],[Sales]]-financials[[#This Row],[COGS]]</f>
        <v>8122.4000000000015</v>
      </c>
      <c r="N41" s="7">
        <f t="shared" ca="1" si="1"/>
        <v>45151</v>
      </c>
      <c r="O41" s="8">
        <f ca="1">MONTH(financials[[#This Row],[Date]])</f>
        <v>8</v>
      </c>
      <c r="P41" s="6" t="str">
        <f ca="1">TEXT(financials[[#This Row],[Date]],"MMM")</f>
        <v>Aug</v>
      </c>
      <c r="Q41">
        <f ca="1">YEAR(financials[[#This Row],[Date]])</f>
        <v>2023</v>
      </c>
      <c r="S41" s="10"/>
    </row>
    <row r="42" spans="1:19" x14ac:dyDescent="0.3">
      <c r="A42" t="s">
        <v>21</v>
      </c>
      <c r="B42" t="s">
        <v>22</v>
      </c>
      <c r="C42" s="6" t="s">
        <v>30</v>
      </c>
      <c r="D42" s="6" t="str">
        <f>CONCATENATE(financials[[#This Row],[Segment]],",",financials[[#This Row],[Country]],",",financials[[#This Row],[Product]])</f>
        <v>Midmarket,France,VTT</v>
      </c>
      <c r="E42" s="6" t="s">
        <v>19</v>
      </c>
      <c r="F42">
        <f t="shared" ca="1" si="0"/>
        <v>920</v>
      </c>
      <c r="G42" s="1">
        <f ca="1">VLOOKUP(financials[[#This Row],[ID]],Prices!D:F,2,FALSE)</f>
        <v>11</v>
      </c>
      <c r="H42" s="1">
        <f ca="1">VLOOKUP(financials[[#This Row],[ID]],Prices!D:F,3,FALSE)</f>
        <v>25</v>
      </c>
      <c r="I42" s="1">
        <f ca="1">financials[[#This Row],[Units Sold]]*financials[[#This Row],[Sale Price]]</f>
        <v>23000</v>
      </c>
      <c r="J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1150</v>
      </c>
      <c r="K42" s="1">
        <f ca="1">financials[[#This Row],[Gross Sales]]-financials[[#This Row],[Discounts]]</f>
        <v>21850</v>
      </c>
      <c r="L42" s="1">
        <f ca="1">financials[[#This Row],[Units Sold]]*financials[[#This Row],[Manufacturing Price]]</f>
        <v>10120</v>
      </c>
      <c r="M42" s="1">
        <f ca="1">financials[[#This Row],[Sales]]-financials[[#This Row],[COGS]]</f>
        <v>11730</v>
      </c>
      <c r="N42" s="7">
        <f t="shared" ca="1" si="1"/>
        <v>45480</v>
      </c>
      <c r="O42" s="8">
        <f ca="1">MONTH(financials[[#This Row],[Date]])</f>
        <v>7</v>
      </c>
      <c r="P42" s="6" t="str">
        <f ca="1">TEXT(financials[[#This Row],[Date]],"MMM")</f>
        <v>Jul</v>
      </c>
      <c r="Q42">
        <f ca="1">YEAR(financials[[#This Row],[Date]])</f>
        <v>2024</v>
      </c>
      <c r="S42" s="10"/>
    </row>
    <row r="43" spans="1:19" x14ac:dyDescent="0.3">
      <c r="A43" t="s">
        <v>21</v>
      </c>
      <c r="B43" t="s">
        <v>20</v>
      </c>
      <c r="C43" s="6" t="s">
        <v>30</v>
      </c>
      <c r="D43" s="6" t="str">
        <f>CONCATENATE(financials[[#This Row],[Segment]],",",financials[[#This Row],[Country]],",",financials[[#This Row],[Product]])</f>
        <v>Midmarket,Germany,VTT</v>
      </c>
      <c r="E43" s="6" t="s">
        <v>19</v>
      </c>
      <c r="F43">
        <f t="shared" ca="1" si="0"/>
        <v>217</v>
      </c>
      <c r="G43" s="1">
        <f ca="1">VLOOKUP(financials[[#This Row],[ID]],Prices!D:F,2,FALSE)</f>
        <v>12</v>
      </c>
      <c r="H43" s="1">
        <f ca="1">VLOOKUP(financials[[#This Row],[ID]],Prices!D:F,3,FALSE)</f>
        <v>17</v>
      </c>
      <c r="I43" s="1">
        <f ca="1">financials[[#This Row],[Units Sold]]*financials[[#This Row],[Sale Price]]</f>
        <v>3689</v>
      </c>
      <c r="J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184.45000000000002</v>
      </c>
      <c r="K43" s="1">
        <f ca="1">financials[[#This Row],[Gross Sales]]-financials[[#This Row],[Discounts]]</f>
        <v>3504.55</v>
      </c>
      <c r="L43" s="1">
        <f ca="1">financials[[#This Row],[Units Sold]]*financials[[#This Row],[Manufacturing Price]]</f>
        <v>2604</v>
      </c>
      <c r="M43" s="1">
        <f ca="1">financials[[#This Row],[Sales]]-financials[[#This Row],[COGS]]</f>
        <v>900.55000000000018</v>
      </c>
      <c r="N43" s="7">
        <f t="shared" ca="1" si="1"/>
        <v>45635</v>
      </c>
      <c r="O43" s="8">
        <f ca="1">MONTH(financials[[#This Row],[Date]])</f>
        <v>12</v>
      </c>
      <c r="P43" s="6" t="str">
        <f ca="1">TEXT(financials[[#This Row],[Date]],"MMM")</f>
        <v>Dec</v>
      </c>
      <c r="Q43">
        <f ca="1">YEAR(financials[[#This Row],[Date]])</f>
        <v>2024</v>
      </c>
      <c r="S43" s="10"/>
    </row>
    <row r="44" spans="1:19" x14ac:dyDescent="0.3">
      <c r="A44" t="s">
        <v>16</v>
      </c>
      <c r="B44" t="s">
        <v>22</v>
      </c>
      <c r="C44" s="6" t="s">
        <v>30</v>
      </c>
      <c r="D44" s="6" t="str">
        <f>CONCATENATE(financials[[#This Row],[Segment]],",",financials[[#This Row],[Country]],",",financials[[#This Row],[Product]])</f>
        <v>Government,France,VTT</v>
      </c>
      <c r="E44" s="6" t="s">
        <v>19</v>
      </c>
      <c r="F44">
        <f t="shared" ca="1" si="0"/>
        <v>177</v>
      </c>
      <c r="G44" s="1">
        <f ca="1">VLOOKUP(financials[[#This Row],[ID]],Prices!D:F,2,FALSE)</f>
        <v>18</v>
      </c>
      <c r="H44" s="1">
        <f ca="1">VLOOKUP(financials[[#This Row],[ID]],Prices!D:F,3,FALSE)</f>
        <v>32</v>
      </c>
      <c r="I44" s="1">
        <f ca="1">financials[[#This Row],[Units Sold]]*financials[[#This Row],[Sale Price]]</f>
        <v>5664</v>
      </c>
      <c r="J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283.2</v>
      </c>
      <c r="K44" s="1">
        <f ca="1">financials[[#This Row],[Gross Sales]]-financials[[#This Row],[Discounts]]</f>
        <v>5380.8</v>
      </c>
      <c r="L44" s="1">
        <f ca="1">financials[[#This Row],[Units Sold]]*financials[[#This Row],[Manufacturing Price]]</f>
        <v>3186</v>
      </c>
      <c r="M44" s="1">
        <f ca="1">financials[[#This Row],[Sales]]-financials[[#This Row],[COGS]]</f>
        <v>2194.8000000000002</v>
      </c>
      <c r="N44" s="7">
        <f t="shared" ca="1" si="1"/>
        <v>45663</v>
      </c>
      <c r="O44" s="8">
        <f ca="1">MONTH(financials[[#This Row],[Date]])</f>
        <v>1</v>
      </c>
      <c r="P44" s="6" t="str">
        <f ca="1">TEXT(financials[[#This Row],[Date]],"MMM")</f>
        <v>Jan</v>
      </c>
      <c r="Q44">
        <f ca="1">YEAR(financials[[#This Row],[Date]])</f>
        <v>2025</v>
      </c>
      <c r="S44" s="10"/>
    </row>
    <row r="45" spans="1:19" x14ac:dyDescent="0.3">
      <c r="A45" t="s">
        <v>27</v>
      </c>
      <c r="B45" t="s">
        <v>22</v>
      </c>
      <c r="C45" s="6" t="s">
        <v>30</v>
      </c>
      <c r="D45" s="6" t="str">
        <f>CONCATENATE(financials[[#This Row],[Segment]],",",financials[[#This Row],[Country]],",",financials[[#This Row],[Product]])</f>
        <v>Small Business,France,VTT</v>
      </c>
      <c r="E45" s="6" t="s">
        <v>19</v>
      </c>
      <c r="F45">
        <f t="shared" ca="1" si="0"/>
        <v>864</v>
      </c>
      <c r="G45" s="1">
        <f ca="1">VLOOKUP(financials[[#This Row],[ID]],Prices!D:F,2,FALSE)</f>
        <v>20</v>
      </c>
      <c r="H45" s="1">
        <f ca="1">VLOOKUP(financials[[#This Row],[ID]],Prices!D:F,3,FALSE)</f>
        <v>24</v>
      </c>
      <c r="I45" s="1">
        <f ca="1">financials[[#This Row],[Units Sold]]*financials[[#This Row],[Sale Price]]</f>
        <v>20736</v>
      </c>
      <c r="J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1036.8</v>
      </c>
      <c r="K45" s="1">
        <f ca="1">financials[[#This Row],[Gross Sales]]-financials[[#This Row],[Discounts]]</f>
        <v>19699.2</v>
      </c>
      <c r="L45" s="1">
        <f ca="1">financials[[#This Row],[Units Sold]]*financials[[#This Row],[Manufacturing Price]]</f>
        <v>17280</v>
      </c>
      <c r="M45" s="1">
        <f ca="1">financials[[#This Row],[Sales]]-financials[[#This Row],[COGS]]</f>
        <v>2419.2000000000007</v>
      </c>
      <c r="N45" s="7">
        <f t="shared" ca="1" si="1"/>
        <v>45751</v>
      </c>
      <c r="O45" s="8">
        <f ca="1">MONTH(financials[[#This Row],[Date]])</f>
        <v>4</v>
      </c>
      <c r="P45" s="6" t="str">
        <f ca="1">TEXT(financials[[#This Row],[Date]],"MMM")</f>
        <v>Apr</v>
      </c>
      <c r="Q45">
        <f ca="1">YEAR(financials[[#This Row],[Date]])</f>
        <v>2025</v>
      </c>
      <c r="S45" s="10"/>
    </row>
    <row r="46" spans="1:19" x14ac:dyDescent="0.3">
      <c r="A46" t="s">
        <v>16</v>
      </c>
      <c r="B46" t="s">
        <v>17</v>
      </c>
      <c r="C46" s="6" t="s">
        <v>30</v>
      </c>
      <c r="D46" s="6" t="str">
        <f>CONCATENATE(financials[[#This Row],[Segment]],",",financials[[#This Row],[Country]],",",financials[[#This Row],[Product]])</f>
        <v>Government,Canada,VTT</v>
      </c>
      <c r="E46" s="6" t="s">
        <v>19</v>
      </c>
      <c r="F46">
        <f t="shared" ca="1" si="0"/>
        <v>133</v>
      </c>
      <c r="G46" s="1">
        <f ca="1">VLOOKUP(financials[[#This Row],[ID]],Prices!D:F,2,FALSE)</f>
        <v>17</v>
      </c>
      <c r="H46" s="1">
        <f ca="1">VLOOKUP(financials[[#This Row],[ID]],Prices!D:F,3,FALSE)</f>
        <v>38</v>
      </c>
      <c r="I46" s="1">
        <f ca="1">financials[[#This Row],[Units Sold]]*financials[[#This Row],[Sale Price]]</f>
        <v>5054</v>
      </c>
      <c r="J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252.70000000000002</v>
      </c>
      <c r="K46" s="1">
        <f ca="1">financials[[#This Row],[Gross Sales]]-financials[[#This Row],[Discounts]]</f>
        <v>4801.3</v>
      </c>
      <c r="L46" s="1">
        <f ca="1">financials[[#This Row],[Units Sold]]*financials[[#This Row],[Manufacturing Price]]</f>
        <v>2261</v>
      </c>
      <c r="M46" s="1">
        <f ca="1">financials[[#This Row],[Sales]]-financials[[#This Row],[COGS]]</f>
        <v>2540.3000000000002</v>
      </c>
      <c r="N46" s="7">
        <f t="shared" ca="1" si="1"/>
        <v>45644</v>
      </c>
      <c r="O46" s="8">
        <f ca="1">MONTH(financials[[#This Row],[Date]])</f>
        <v>12</v>
      </c>
      <c r="P46" s="6" t="str">
        <f ca="1">TEXT(financials[[#This Row],[Date]],"MMM")</f>
        <v>Dec</v>
      </c>
      <c r="Q46">
        <f ca="1">YEAR(financials[[#This Row],[Date]])</f>
        <v>2024</v>
      </c>
      <c r="S46" s="10"/>
    </row>
    <row r="47" spans="1:19" x14ac:dyDescent="0.3">
      <c r="A47" t="s">
        <v>16</v>
      </c>
      <c r="B47" t="s">
        <v>22</v>
      </c>
      <c r="C47" s="6" t="s">
        <v>31</v>
      </c>
      <c r="D47" s="6" t="str">
        <f>CONCATENATE(financials[[#This Row],[Segment]],",",financials[[#This Row],[Country]],",",financials[[#This Row],[Product]])</f>
        <v>Government,France,Amarilla</v>
      </c>
      <c r="E47" s="6" t="s">
        <v>19</v>
      </c>
      <c r="F47">
        <f t="shared" ca="1" si="0"/>
        <v>760</v>
      </c>
      <c r="G47" s="1">
        <f ca="1">VLOOKUP(financials[[#This Row],[ID]],Prices!D:F,2,FALSE)</f>
        <v>10</v>
      </c>
      <c r="H47" s="1">
        <f ca="1">VLOOKUP(financials[[#This Row],[ID]],Prices!D:F,3,FALSE)</f>
        <v>25</v>
      </c>
      <c r="I47" s="1">
        <f ca="1">financials[[#This Row],[Units Sold]]*financials[[#This Row],[Sale Price]]</f>
        <v>19000</v>
      </c>
      <c r="J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950</v>
      </c>
      <c r="K47" s="1">
        <f ca="1">financials[[#This Row],[Gross Sales]]-financials[[#This Row],[Discounts]]</f>
        <v>18050</v>
      </c>
      <c r="L47" s="1">
        <f ca="1">financials[[#This Row],[Units Sold]]*financials[[#This Row],[Manufacturing Price]]</f>
        <v>7600</v>
      </c>
      <c r="M47" s="1">
        <f ca="1">financials[[#This Row],[Sales]]-financials[[#This Row],[COGS]]</f>
        <v>10450</v>
      </c>
      <c r="N47" s="7">
        <f t="shared" ca="1" si="1"/>
        <v>45249</v>
      </c>
      <c r="O47" s="8">
        <f ca="1">MONTH(financials[[#This Row],[Date]])</f>
        <v>11</v>
      </c>
      <c r="P47" s="6" t="str">
        <f ca="1">TEXT(financials[[#This Row],[Date]],"MMM")</f>
        <v>Nov</v>
      </c>
      <c r="Q47">
        <f ca="1">YEAR(financials[[#This Row],[Date]])</f>
        <v>2023</v>
      </c>
      <c r="S47" s="10"/>
    </row>
    <row r="48" spans="1:19" x14ac:dyDescent="0.3">
      <c r="A48" t="s">
        <v>25</v>
      </c>
      <c r="B48" t="s">
        <v>36</v>
      </c>
      <c r="C48" s="6" t="s">
        <v>31</v>
      </c>
      <c r="D48" s="6" t="str">
        <f>CONCATENATE(financials[[#This Row],[Segment]],",",financials[[#This Row],[Country]],",",financials[[#This Row],[Product]])</f>
        <v>Channel Partners,USA,Amarilla</v>
      </c>
      <c r="E48" s="6" t="s">
        <v>19</v>
      </c>
      <c r="F48">
        <f t="shared" ca="1" si="0"/>
        <v>870</v>
      </c>
      <c r="G48" s="1">
        <f ca="1">VLOOKUP(financials[[#This Row],[ID]],Prices!D:F,2,FALSE)</f>
        <v>11</v>
      </c>
      <c r="H48" s="1">
        <f ca="1">VLOOKUP(financials[[#This Row],[ID]],Prices!D:F,3,FALSE)</f>
        <v>17</v>
      </c>
      <c r="I48" s="1">
        <f ca="1">financials[[#This Row],[Units Sold]]*financials[[#This Row],[Sale Price]]</f>
        <v>14790</v>
      </c>
      <c r="J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739.5</v>
      </c>
      <c r="K48" s="1">
        <f ca="1">financials[[#This Row],[Gross Sales]]-financials[[#This Row],[Discounts]]</f>
        <v>14050.5</v>
      </c>
      <c r="L48" s="1">
        <f ca="1">financials[[#This Row],[Units Sold]]*financials[[#This Row],[Manufacturing Price]]</f>
        <v>9570</v>
      </c>
      <c r="M48" s="1">
        <f ca="1">financials[[#This Row],[Sales]]-financials[[#This Row],[COGS]]</f>
        <v>4480.5</v>
      </c>
      <c r="N48" s="7">
        <f t="shared" ca="1" si="1"/>
        <v>45276</v>
      </c>
      <c r="O48" s="8">
        <f ca="1">MONTH(financials[[#This Row],[Date]])</f>
        <v>12</v>
      </c>
      <c r="P48" s="6" t="str">
        <f ca="1">TEXT(financials[[#This Row],[Date]],"MMM")</f>
        <v>Dec</v>
      </c>
      <c r="Q48">
        <f ca="1">YEAR(financials[[#This Row],[Date]])</f>
        <v>2023</v>
      </c>
      <c r="S48" s="10"/>
    </row>
    <row r="49" spans="1:19" x14ac:dyDescent="0.3">
      <c r="A49" t="s">
        <v>26</v>
      </c>
      <c r="B49" t="s">
        <v>20</v>
      </c>
      <c r="C49" s="6" t="s">
        <v>31</v>
      </c>
      <c r="D49" s="6" t="str">
        <f>CONCATENATE(financials[[#This Row],[Segment]],",",financials[[#This Row],[Country]],",",financials[[#This Row],[Product]])</f>
        <v>Enterprise,Germany,Amarilla</v>
      </c>
      <c r="E49" s="6" t="s">
        <v>19</v>
      </c>
      <c r="F49">
        <f t="shared" ca="1" si="0"/>
        <v>903</v>
      </c>
      <c r="G49" s="1">
        <f ca="1">VLOOKUP(financials[[#This Row],[ID]],Prices!D:F,2,FALSE)</f>
        <v>13</v>
      </c>
      <c r="H49" s="1">
        <f ca="1">VLOOKUP(financials[[#This Row],[ID]],Prices!D:F,3,FALSE)</f>
        <v>21</v>
      </c>
      <c r="I49" s="1">
        <f ca="1">financials[[#This Row],[Units Sold]]*financials[[#This Row],[Sale Price]]</f>
        <v>18963</v>
      </c>
      <c r="J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948.15000000000009</v>
      </c>
      <c r="K49" s="1">
        <f ca="1">financials[[#This Row],[Gross Sales]]-financials[[#This Row],[Discounts]]</f>
        <v>18014.849999999999</v>
      </c>
      <c r="L49" s="1">
        <f ca="1">financials[[#This Row],[Units Sold]]*financials[[#This Row],[Manufacturing Price]]</f>
        <v>11739</v>
      </c>
      <c r="M49" s="1">
        <f ca="1">financials[[#This Row],[Sales]]-financials[[#This Row],[COGS]]</f>
        <v>6275.8499999999985</v>
      </c>
      <c r="N49" s="7">
        <f t="shared" ca="1" si="1"/>
        <v>45186</v>
      </c>
      <c r="O49" s="8">
        <f ca="1">MONTH(financials[[#This Row],[Date]])</f>
        <v>9</v>
      </c>
      <c r="P49" s="6" t="str">
        <f ca="1">TEXT(financials[[#This Row],[Date]],"MMM")</f>
        <v>Sep</v>
      </c>
      <c r="Q49">
        <f ca="1">YEAR(financials[[#This Row],[Date]])</f>
        <v>2023</v>
      </c>
      <c r="S49" s="10"/>
    </row>
    <row r="50" spans="1:19" x14ac:dyDescent="0.3">
      <c r="A50" t="s">
        <v>16</v>
      </c>
      <c r="B50" t="s">
        <v>22</v>
      </c>
      <c r="C50" s="6" t="s">
        <v>31</v>
      </c>
      <c r="D50" s="6" t="str">
        <f>CONCATENATE(financials[[#This Row],[Segment]],",",financials[[#This Row],[Country]],",",financials[[#This Row],[Product]])</f>
        <v>Government,France,Amarilla</v>
      </c>
      <c r="E50" s="6" t="s">
        <v>19</v>
      </c>
      <c r="F50">
        <f t="shared" ca="1" si="0"/>
        <v>211</v>
      </c>
      <c r="G50" s="1">
        <f ca="1">VLOOKUP(financials[[#This Row],[ID]],Prices!D:F,2,FALSE)</f>
        <v>10</v>
      </c>
      <c r="H50" s="1">
        <f ca="1">VLOOKUP(financials[[#This Row],[ID]],Prices!D:F,3,FALSE)</f>
        <v>25</v>
      </c>
      <c r="I50" s="1">
        <f ca="1">financials[[#This Row],[Units Sold]]*financials[[#This Row],[Sale Price]]</f>
        <v>5275</v>
      </c>
      <c r="J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263.75</v>
      </c>
      <c r="K50" s="1">
        <f ca="1">financials[[#This Row],[Gross Sales]]-financials[[#This Row],[Discounts]]</f>
        <v>5011.25</v>
      </c>
      <c r="L50" s="1">
        <f ca="1">financials[[#This Row],[Units Sold]]*financials[[#This Row],[Manufacturing Price]]</f>
        <v>2110</v>
      </c>
      <c r="M50" s="1">
        <f ca="1">financials[[#This Row],[Sales]]-financials[[#This Row],[COGS]]</f>
        <v>2901.25</v>
      </c>
      <c r="N50" s="7">
        <f t="shared" ca="1" si="1"/>
        <v>45183</v>
      </c>
      <c r="O50" s="8">
        <f ca="1">MONTH(financials[[#This Row],[Date]])</f>
        <v>9</v>
      </c>
      <c r="P50" s="6" t="str">
        <f ca="1">TEXT(financials[[#This Row],[Date]],"MMM")</f>
        <v>Sep</v>
      </c>
      <c r="Q50">
        <f ca="1">YEAR(financials[[#This Row],[Date]])</f>
        <v>2023</v>
      </c>
      <c r="S50" s="10"/>
    </row>
    <row r="51" spans="1:19" x14ac:dyDescent="0.3">
      <c r="A51" t="s">
        <v>16</v>
      </c>
      <c r="B51" t="s">
        <v>20</v>
      </c>
      <c r="C51" s="6" t="s">
        <v>31</v>
      </c>
      <c r="D51" s="6" t="str">
        <f>CONCATENATE(financials[[#This Row],[Segment]],",",financials[[#This Row],[Country]],",",financials[[#This Row],[Product]])</f>
        <v>Government,Germany,Amarilla</v>
      </c>
      <c r="E51" s="6" t="s">
        <v>19</v>
      </c>
      <c r="F51">
        <f t="shared" ca="1" si="0"/>
        <v>922</v>
      </c>
      <c r="G51" s="1">
        <f ca="1">VLOOKUP(financials[[#This Row],[ID]],Prices!D:F,2,FALSE)</f>
        <v>10</v>
      </c>
      <c r="H51" s="1">
        <f ca="1">VLOOKUP(financials[[#This Row],[ID]],Prices!D:F,3,FALSE)</f>
        <v>20</v>
      </c>
      <c r="I51" s="1">
        <f ca="1">financials[[#This Row],[Units Sold]]*financials[[#This Row],[Sale Price]]</f>
        <v>18440</v>
      </c>
      <c r="J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922</v>
      </c>
      <c r="K51" s="1">
        <f ca="1">financials[[#This Row],[Gross Sales]]-financials[[#This Row],[Discounts]]</f>
        <v>17518</v>
      </c>
      <c r="L51" s="1">
        <f ca="1">financials[[#This Row],[Units Sold]]*financials[[#This Row],[Manufacturing Price]]</f>
        <v>9220</v>
      </c>
      <c r="M51" s="1">
        <f ca="1">financials[[#This Row],[Sales]]-financials[[#This Row],[COGS]]</f>
        <v>8298</v>
      </c>
      <c r="N51" s="7">
        <f t="shared" ca="1" si="1"/>
        <v>45302</v>
      </c>
      <c r="O51" s="8">
        <f ca="1">MONTH(financials[[#This Row],[Date]])</f>
        <v>1</v>
      </c>
      <c r="P51" s="6" t="str">
        <f ca="1">TEXT(financials[[#This Row],[Date]],"MMM")</f>
        <v>Jan</v>
      </c>
      <c r="Q51">
        <f ca="1">YEAR(financials[[#This Row],[Date]])</f>
        <v>2024</v>
      </c>
      <c r="S51" s="10"/>
    </row>
    <row r="52" spans="1:19" x14ac:dyDescent="0.3">
      <c r="A52" t="s">
        <v>25</v>
      </c>
      <c r="B52" t="s">
        <v>36</v>
      </c>
      <c r="C52" s="6" t="s">
        <v>31</v>
      </c>
      <c r="D52" s="6" t="str">
        <f>CONCATENATE(financials[[#This Row],[Segment]],",",financials[[#This Row],[Country]],",",financials[[#This Row],[Product]])</f>
        <v>Channel Partners,USA,Amarilla</v>
      </c>
      <c r="E52" s="6" t="s">
        <v>19</v>
      </c>
      <c r="F52">
        <f t="shared" ca="1" si="0"/>
        <v>112</v>
      </c>
      <c r="G52" s="1">
        <f ca="1">VLOOKUP(financials[[#This Row],[ID]],Prices!D:F,2,FALSE)</f>
        <v>11</v>
      </c>
      <c r="H52" s="1">
        <f ca="1">VLOOKUP(financials[[#This Row],[ID]],Prices!D:F,3,FALSE)</f>
        <v>17</v>
      </c>
      <c r="I52" s="1">
        <f ca="1">financials[[#This Row],[Units Sold]]*financials[[#This Row],[Sale Price]]</f>
        <v>1904</v>
      </c>
      <c r="J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95.2</v>
      </c>
      <c r="K52" s="1">
        <f ca="1">financials[[#This Row],[Gross Sales]]-financials[[#This Row],[Discounts]]</f>
        <v>1808.8</v>
      </c>
      <c r="L52" s="1">
        <f ca="1">financials[[#This Row],[Units Sold]]*financials[[#This Row],[Manufacturing Price]]</f>
        <v>1232</v>
      </c>
      <c r="M52" s="1">
        <f ca="1">financials[[#This Row],[Sales]]-financials[[#This Row],[COGS]]</f>
        <v>576.79999999999995</v>
      </c>
      <c r="N52" s="7">
        <f t="shared" ca="1" si="1"/>
        <v>45590</v>
      </c>
      <c r="O52" s="8">
        <f ca="1">MONTH(financials[[#This Row],[Date]])</f>
        <v>10</v>
      </c>
      <c r="P52" s="6" t="str">
        <f ca="1">TEXT(financials[[#This Row],[Date]],"MMM")</f>
        <v>Oct</v>
      </c>
      <c r="Q52">
        <f ca="1">YEAR(financials[[#This Row],[Date]])</f>
        <v>2024</v>
      </c>
      <c r="S52" s="10"/>
    </row>
    <row r="53" spans="1:19" x14ac:dyDescent="0.3">
      <c r="A53" t="s">
        <v>16</v>
      </c>
      <c r="B53" t="s">
        <v>36</v>
      </c>
      <c r="C53" s="6" t="s">
        <v>31</v>
      </c>
      <c r="D53" s="6" t="str">
        <f>CONCATENATE(financials[[#This Row],[Segment]],",",financials[[#This Row],[Country]],",",financials[[#This Row],[Product]])</f>
        <v>Government,USA,Amarilla</v>
      </c>
      <c r="E53" s="6" t="s">
        <v>19</v>
      </c>
      <c r="F53">
        <f t="shared" ca="1" si="0"/>
        <v>698</v>
      </c>
      <c r="G53" s="1">
        <f ca="1">VLOOKUP(financials[[#This Row],[ID]],Prices!D:F,2,FALSE)</f>
        <v>20</v>
      </c>
      <c r="H53" s="1">
        <f ca="1">VLOOKUP(financials[[#This Row],[ID]],Prices!D:F,3,FALSE)</f>
        <v>37</v>
      </c>
      <c r="I53" s="1">
        <f ca="1">financials[[#This Row],[Units Sold]]*financials[[#This Row],[Sale Price]]</f>
        <v>25826</v>
      </c>
      <c r="J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1291.3000000000002</v>
      </c>
      <c r="K53" s="1">
        <f ca="1">financials[[#This Row],[Gross Sales]]-financials[[#This Row],[Discounts]]</f>
        <v>24534.7</v>
      </c>
      <c r="L53" s="1">
        <f ca="1">financials[[#This Row],[Units Sold]]*financials[[#This Row],[Manufacturing Price]]</f>
        <v>13960</v>
      </c>
      <c r="M53" s="1">
        <f ca="1">financials[[#This Row],[Sales]]-financials[[#This Row],[COGS]]</f>
        <v>10574.7</v>
      </c>
      <c r="N53" s="7">
        <f t="shared" ca="1" si="1"/>
        <v>45144</v>
      </c>
      <c r="O53" s="8">
        <f ca="1">MONTH(financials[[#This Row],[Date]])</f>
        <v>8</v>
      </c>
      <c r="P53" s="6" t="str">
        <f ca="1">TEXT(financials[[#This Row],[Date]],"MMM")</f>
        <v>Aug</v>
      </c>
      <c r="Q53">
        <f ca="1">YEAR(financials[[#This Row],[Date]])</f>
        <v>2023</v>
      </c>
      <c r="S53" s="10"/>
    </row>
    <row r="54" spans="1:19" x14ac:dyDescent="0.3">
      <c r="A54" t="s">
        <v>21</v>
      </c>
      <c r="B54" t="s">
        <v>36</v>
      </c>
      <c r="C54" s="6" t="s">
        <v>31</v>
      </c>
      <c r="D54" s="6" t="str">
        <f>CONCATENATE(financials[[#This Row],[Segment]],",",financials[[#This Row],[Country]],",",financials[[#This Row],[Product]])</f>
        <v>Midmarket,USA,Amarilla</v>
      </c>
      <c r="E54" s="6" t="s">
        <v>19</v>
      </c>
      <c r="F54">
        <f t="shared" ca="1" si="0"/>
        <v>60</v>
      </c>
      <c r="G54" s="1">
        <f ca="1">VLOOKUP(financials[[#This Row],[ID]],Prices!D:F,2,FALSE)</f>
        <v>12</v>
      </c>
      <c r="H54" s="1">
        <f ca="1">VLOOKUP(financials[[#This Row],[ID]],Prices!D:F,3,FALSE)</f>
        <v>21</v>
      </c>
      <c r="I54" s="1">
        <f ca="1">financials[[#This Row],[Units Sold]]*financials[[#This Row],[Sale Price]]</f>
        <v>1260</v>
      </c>
      <c r="J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</v>
      </c>
      <c r="K54" s="1">
        <f ca="1">financials[[#This Row],[Gross Sales]]-financials[[#This Row],[Discounts]]</f>
        <v>1197</v>
      </c>
      <c r="L54" s="1">
        <f ca="1">financials[[#This Row],[Units Sold]]*financials[[#This Row],[Manufacturing Price]]</f>
        <v>720</v>
      </c>
      <c r="M54" s="1">
        <f ca="1">financials[[#This Row],[Sales]]-financials[[#This Row],[COGS]]</f>
        <v>477</v>
      </c>
      <c r="N54" s="7">
        <f t="shared" ca="1" si="1"/>
        <v>45730</v>
      </c>
      <c r="O54" s="8">
        <f ca="1">MONTH(financials[[#This Row],[Date]])</f>
        <v>3</v>
      </c>
      <c r="P54" s="6" t="str">
        <f ca="1">TEXT(financials[[#This Row],[Date]],"MMM")</f>
        <v>Mar</v>
      </c>
      <c r="Q54">
        <f ca="1">YEAR(financials[[#This Row],[Date]])</f>
        <v>2025</v>
      </c>
      <c r="S54" s="10"/>
    </row>
    <row r="55" spans="1:19" x14ac:dyDescent="0.3">
      <c r="A55" t="s">
        <v>16</v>
      </c>
      <c r="B55" t="s">
        <v>22</v>
      </c>
      <c r="C55" s="6" t="s">
        <v>28</v>
      </c>
      <c r="D55" s="6" t="str">
        <f>CONCATENATE(financials[[#This Row],[Segment]],",",financials[[#This Row],[Country]],",",financials[[#This Row],[Product]])</f>
        <v>Government,France,Paseo</v>
      </c>
      <c r="E55" s="6" t="s">
        <v>32</v>
      </c>
      <c r="F55">
        <f t="shared" ca="1" si="0"/>
        <v>41</v>
      </c>
      <c r="G55" s="1">
        <f ca="1">VLOOKUP(financials[[#This Row],[ID]],Prices!D:F,2,FALSE)</f>
        <v>14</v>
      </c>
      <c r="H55" s="1">
        <f ca="1">VLOOKUP(financials[[#This Row],[ID]],Prices!D:F,3,FALSE)</f>
        <v>18</v>
      </c>
      <c r="I55" s="1">
        <f ca="1">financials[[#This Row],[Units Sold]]*financials[[#This Row],[Sale Price]]</f>
        <v>738</v>
      </c>
      <c r="J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7.38</v>
      </c>
      <c r="K55" s="1">
        <f ca="1">financials[[#This Row],[Gross Sales]]-financials[[#This Row],[Discounts]]</f>
        <v>730.62</v>
      </c>
      <c r="L55" s="1">
        <f ca="1">financials[[#This Row],[Units Sold]]*financials[[#This Row],[Manufacturing Price]]</f>
        <v>574</v>
      </c>
      <c r="M55" s="1">
        <f ca="1">financials[[#This Row],[Sales]]-financials[[#This Row],[COGS]]</f>
        <v>156.62</v>
      </c>
      <c r="N55" s="7">
        <f t="shared" ca="1" si="1"/>
        <v>45422</v>
      </c>
      <c r="O55" s="8">
        <f ca="1">MONTH(financials[[#This Row],[Date]])</f>
        <v>5</v>
      </c>
      <c r="P55" s="6" t="str">
        <f ca="1">TEXT(financials[[#This Row],[Date]],"MMM")</f>
        <v>May</v>
      </c>
      <c r="Q55">
        <f ca="1">YEAR(financials[[#This Row],[Date]])</f>
        <v>2024</v>
      </c>
      <c r="S55" s="10"/>
    </row>
    <row r="56" spans="1:19" x14ac:dyDescent="0.3">
      <c r="A56" t="s">
        <v>21</v>
      </c>
      <c r="B56" t="s">
        <v>22</v>
      </c>
      <c r="C56" s="6" t="s">
        <v>28</v>
      </c>
      <c r="D56" s="6" t="str">
        <f>CONCATENATE(financials[[#This Row],[Segment]],",",financials[[#This Row],[Country]],",",financials[[#This Row],[Product]])</f>
        <v>Midmarket,France,Paseo</v>
      </c>
      <c r="E56" s="6" t="s">
        <v>32</v>
      </c>
      <c r="F56">
        <f t="shared" ca="1" si="0"/>
        <v>328</v>
      </c>
      <c r="G56" s="1">
        <f ca="1">VLOOKUP(financials[[#This Row],[ID]],Prices!D:F,2,FALSE)</f>
        <v>20</v>
      </c>
      <c r="H56" s="1">
        <f ca="1">VLOOKUP(financials[[#This Row],[ID]],Prices!D:F,3,FALSE)</f>
        <v>38</v>
      </c>
      <c r="I56" s="1">
        <f ca="1">financials[[#This Row],[Units Sold]]*financials[[#This Row],[Sale Price]]</f>
        <v>12464</v>
      </c>
      <c r="J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623.20000000000005</v>
      </c>
      <c r="K56" s="1">
        <f ca="1">financials[[#This Row],[Gross Sales]]-financials[[#This Row],[Discounts]]</f>
        <v>11840.8</v>
      </c>
      <c r="L56" s="1">
        <f ca="1">financials[[#This Row],[Units Sold]]*financials[[#This Row],[Manufacturing Price]]</f>
        <v>6560</v>
      </c>
      <c r="M56" s="1">
        <f ca="1">financials[[#This Row],[Sales]]-financials[[#This Row],[COGS]]</f>
        <v>5280.7999999999993</v>
      </c>
      <c r="N56" s="7">
        <f t="shared" ca="1" si="1"/>
        <v>45744</v>
      </c>
      <c r="O56" s="8">
        <f ca="1">MONTH(financials[[#This Row],[Date]])</f>
        <v>3</v>
      </c>
      <c r="P56" s="6" t="str">
        <f ca="1">TEXT(financials[[#This Row],[Date]],"MMM")</f>
        <v>Mar</v>
      </c>
      <c r="Q56">
        <f ca="1">YEAR(financials[[#This Row],[Date]])</f>
        <v>2025</v>
      </c>
      <c r="S56" s="10"/>
    </row>
    <row r="57" spans="1:19" x14ac:dyDescent="0.3">
      <c r="A57" t="s">
        <v>16</v>
      </c>
      <c r="B57" t="s">
        <v>22</v>
      </c>
      <c r="C57" s="6" t="s">
        <v>28</v>
      </c>
      <c r="D57" s="6" t="str">
        <f>CONCATENATE(financials[[#This Row],[Segment]],",",financials[[#This Row],[Country]],",",financials[[#This Row],[Product]])</f>
        <v>Government,France,Paseo</v>
      </c>
      <c r="E57" s="6" t="s">
        <v>32</v>
      </c>
      <c r="F57">
        <f t="shared" ca="1" si="0"/>
        <v>385</v>
      </c>
      <c r="G57" s="1">
        <f ca="1">VLOOKUP(financials[[#This Row],[ID]],Prices!D:F,2,FALSE)</f>
        <v>14</v>
      </c>
      <c r="H57" s="1">
        <f ca="1">VLOOKUP(financials[[#This Row],[ID]],Prices!D:F,3,FALSE)</f>
        <v>18</v>
      </c>
      <c r="I57" s="1">
        <f ca="1">financials[[#This Row],[Units Sold]]*financials[[#This Row],[Sale Price]]</f>
        <v>6930</v>
      </c>
      <c r="J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346.5</v>
      </c>
      <c r="K57" s="1">
        <f ca="1">financials[[#This Row],[Gross Sales]]-financials[[#This Row],[Discounts]]</f>
        <v>6583.5</v>
      </c>
      <c r="L57" s="1">
        <f ca="1">financials[[#This Row],[Units Sold]]*financials[[#This Row],[Manufacturing Price]]</f>
        <v>5390</v>
      </c>
      <c r="M57" s="1">
        <f ca="1">financials[[#This Row],[Sales]]-financials[[#This Row],[COGS]]</f>
        <v>1193.5</v>
      </c>
      <c r="N57" s="7">
        <f t="shared" ca="1" si="1"/>
        <v>45535</v>
      </c>
      <c r="O57" s="8">
        <f ca="1">MONTH(financials[[#This Row],[Date]])</f>
        <v>8</v>
      </c>
      <c r="P57" s="6" t="str">
        <f ca="1">TEXT(financials[[#This Row],[Date]],"MMM")</f>
        <v>Aug</v>
      </c>
      <c r="Q57">
        <f ca="1">YEAR(financials[[#This Row],[Date]])</f>
        <v>2024</v>
      </c>
      <c r="S57" s="10"/>
    </row>
    <row r="58" spans="1:19" x14ac:dyDescent="0.3">
      <c r="A58" t="s">
        <v>16</v>
      </c>
      <c r="B58" t="s">
        <v>22</v>
      </c>
      <c r="C58" s="6" t="s">
        <v>29</v>
      </c>
      <c r="D58" s="6" t="str">
        <f>CONCATENATE(financials[[#This Row],[Segment]],",",financials[[#This Row],[Country]],",",financials[[#This Row],[Product]])</f>
        <v>Government,France,Velo</v>
      </c>
      <c r="E58" s="6" t="s">
        <v>32</v>
      </c>
      <c r="F58">
        <f t="shared" ca="1" si="0"/>
        <v>561</v>
      </c>
      <c r="G58" s="1">
        <f ca="1">VLOOKUP(financials[[#This Row],[ID]],Prices!D:F,2,FALSE)</f>
        <v>20</v>
      </c>
      <c r="H58" s="1">
        <f ca="1">VLOOKUP(financials[[#This Row],[ID]],Prices!D:F,3,FALSE)</f>
        <v>36</v>
      </c>
      <c r="I58" s="1">
        <f ca="1">financials[[#This Row],[Units Sold]]*financials[[#This Row],[Sale Price]]</f>
        <v>20196</v>
      </c>
      <c r="J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1009.8000000000001</v>
      </c>
      <c r="K58" s="1">
        <f ca="1">financials[[#This Row],[Gross Sales]]-financials[[#This Row],[Discounts]]</f>
        <v>19186.2</v>
      </c>
      <c r="L58" s="1">
        <f ca="1">financials[[#This Row],[Units Sold]]*financials[[#This Row],[Manufacturing Price]]</f>
        <v>11220</v>
      </c>
      <c r="M58" s="1">
        <f ca="1">financials[[#This Row],[Sales]]-financials[[#This Row],[COGS]]</f>
        <v>7966.2000000000007</v>
      </c>
      <c r="N58" s="7">
        <f t="shared" ca="1" si="1"/>
        <v>45040</v>
      </c>
      <c r="O58" s="8">
        <f ca="1">MONTH(financials[[#This Row],[Date]])</f>
        <v>4</v>
      </c>
      <c r="P58" s="6" t="str">
        <f ca="1">TEXT(financials[[#This Row],[Date]],"MMM")</f>
        <v>Apr</v>
      </c>
      <c r="Q58">
        <f ca="1">YEAR(financials[[#This Row],[Date]])</f>
        <v>2023</v>
      </c>
      <c r="S58" s="10"/>
    </row>
    <row r="59" spans="1:19" x14ac:dyDescent="0.3">
      <c r="A59" t="s">
        <v>16</v>
      </c>
      <c r="B59" t="s">
        <v>17</v>
      </c>
      <c r="C59" s="6" t="s">
        <v>30</v>
      </c>
      <c r="D59" s="6" t="str">
        <f>CONCATENATE(financials[[#This Row],[Segment]],",",financials[[#This Row],[Country]],",",financials[[#This Row],[Product]])</f>
        <v>Government,Canada,VTT</v>
      </c>
      <c r="E59" s="6" t="s">
        <v>32</v>
      </c>
      <c r="F59">
        <f t="shared" ca="1" si="0"/>
        <v>794</v>
      </c>
      <c r="G59" s="1">
        <f ca="1">VLOOKUP(financials[[#This Row],[ID]],Prices!D:F,2,FALSE)</f>
        <v>17</v>
      </c>
      <c r="H59" s="1">
        <f ca="1">VLOOKUP(financials[[#This Row],[ID]],Prices!D:F,3,FALSE)</f>
        <v>38</v>
      </c>
      <c r="I59" s="1">
        <f ca="1">financials[[#This Row],[Units Sold]]*financials[[#This Row],[Sale Price]]</f>
        <v>30172</v>
      </c>
      <c r="J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1508.6000000000001</v>
      </c>
      <c r="K59" s="1">
        <f ca="1">financials[[#This Row],[Gross Sales]]-financials[[#This Row],[Discounts]]</f>
        <v>28663.4</v>
      </c>
      <c r="L59" s="1">
        <f ca="1">financials[[#This Row],[Units Sold]]*financials[[#This Row],[Manufacturing Price]]</f>
        <v>13498</v>
      </c>
      <c r="M59" s="1">
        <f ca="1">financials[[#This Row],[Sales]]-financials[[#This Row],[COGS]]</f>
        <v>15165.400000000001</v>
      </c>
      <c r="N59" s="7">
        <f t="shared" ca="1" si="1"/>
        <v>45160</v>
      </c>
      <c r="O59" s="8">
        <f ca="1">MONTH(financials[[#This Row],[Date]])</f>
        <v>8</v>
      </c>
      <c r="P59" s="6" t="str">
        <f ca="1">TEXT(financials[[#This Row],[Date]],"MMM")</f>
        <v>Aug</v>
      </c>
      <c r="Q59">
        <f ca="1">YEAR(financials[[#This Row],[Date]])</f>
        <v>2023</v>
      </c>
      <c r="S59" s="10"/>
    </row>
    <row r="60" spans="1:19" x14ac:dyDescent="0.3">
      <c r="A60" t="s">
        <v>25</v>
      </c>
      <c r="B60" t="s">
        <v>36</v>
      </c>
      <c r="C60" s="6" t="s">
        <v>18</v>
      </c>
      <c r="D60" s="6" t="str">
        <f>CONCATENATE(financials[[#This Row],[Segment]],",",financials[[#This Row],[Country]],",",financials[[#This Row],[Product]])</f>
        <v>Channel Partners,USA,Carretera</v>
      </c>
      <c r="E60" s="6" t="s">
        <v>32</v>
      </c>
      <c r="F60">
        <f t="shared" ca="1" si="0"/>
        <v>806</v>
      </c>
      <c r="G60" s="1">
        <f ca="1">VLOOKUP(financials[[#This Row],[ID]],Prices!D:F,2,FALSE)</f>
        <v>13</v>
      </c>
      <c r="H60" s="1">
        <f ca="1">VLOOKUP(financials[[#This Row],[ID]],Prices!D:F,3,FALSE)</f>
        <v>27</v>
      </c>
      <c r="I60" s="1">
        <f ca="1">financials[[#This Row],[Units Sold]]*financials[[#This Row],[Sale Price]]</f>
        <v>21762</v>
      </c>
      <c r="J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1088.1000000000001</v>
      </c>
      <c r="K60" s="1">
        <f ca="1">financials[[#This Row],[Gross Sales]]-financials[[#This Row],[Discounts]]</f>
        <v>20673.900000000001</v>
      </c>
      <c r="L60" s="1">
        <f ca="1">financials[[#This Row],[Units Sold]]*financials[[#This Row],[Manufacturing Price]]</f>
        <v>10478</v>
      </c>
      <c r="M60" s="1">
        <f ca="1">financials[[#This Row],[Sales]]-financials[[#This Row],[COGS]]</f>
        <v>10195.900000000001</v>
      </c>
      <c r="N60" s="7">
        <f t="shared" ca="1" si="1"/>
        <v>45330</v>
      </c>
      <c r="O60" s="8">
        <f ca="1">MONTH(financials[[#This Row],[Date]])</f>
        <v>2</v>
      </c>
      <c r="P60" s="6" t="str">
        <f ca="1">TEXT(financials[[#This Row],[Date]],"MMM")</f>
        <v>Feb</v>
      </c>
      <c r="Q60">
        <f ca="1">YEAR(financials[[#This Row],[Date]])</f>
        <v>2024</v>
      </c>
      <c r="S60" s="10"/>
    </row>
    <row r="61" spans="1:19" x14ac:dyDescent="0.3">
      <c r="A61" t="s">
        <v>16</v>
      </c>
      <c r="B61" t="s">
        <v>23</v>
      </c>
      <c r="C61" s="6" t="s">
        <v>18</v>
      </c>
      <c r="D61" s="6" t="str">
        <f>CONCATENATE(financials[[#This Row],[Segment]],",",financials[[#This Row],[Country]],",",financials[[#This Row],[Product]])</f>
        <v>Government,Mexico,Carretera</v>
      </c>
      <c r="E61" s="6" t="s">
        <v>32</v>
      </c>
      <c r="F61">
        <f t="shared" ca="1" si="0"/>
        <v>784</v>
      </c>
      <c r="G61" s="1">
        <f ca="1">VLOOKUP(financials[[#This Row],[ID]],Prices!D:F,2,FALSE)</f>
        <v>16</v>
      </c>
      <c r="H61" s="1">
        <f ca="1">VLOOKUP(financials[[#This Row],[ID]],Prices!D:F,3,FALSE)</f>
        <v>31</v>
      </c>
      <c r="I61" s="1">
        <f ca="1">financials[[#This Row],[Units Sold]]*financials[[#This Row],[Sale Price]]</f>
        <v>24304</v>
      </c>
      <c r="J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1215.2</v>
      </c>
      <c r="K61" s="1">
        <f ca="1">financials[[#This Row],[Gross Sales]]-financials[[#This Row],[Discounts]]</f>
        <v>23088.799999999999</v>
      </c>
      <c r="L61" s="1">
        <f ca="1">financials[[#This Row],[Units Sold]]*financials[[#This Row],[Manufacturing Price]]</f>
        <v>12544</v>
      </c>
      <c r="M61" s="1">
        <f ca="1">financials[[#This Row],[Sales]]-financials[[#This Row],[COGS]]</f>
        <v>10544.8</v>
      </c>
      <c r="N61" s="7">
        <f t="shared" ca="1" si="1"/>
        <v>45258</v>
      </c>
      <c r="O61" s="8">
        <f ca="1">MONTH(financials[[#This Row],[Date]])</f>
        <v>11</v>
      </c>
      <c r="P61" s="6" t="str">
        <f ca="1">TEXT(financials[[#This Row],[Date]],"MMM")</f>
        <v>Nov</v>
      </c>
      <c r="Q61">
        <f ca="1">YEAR(financials[[#This Row],[Date]])</f>
        <v>2023</v>
      </c>
      <c r="S61" s="10"/>
    </row>
    <row r="62" spans="1:19" x14ac:dyDescent="0.3">
      <c r="A62" t="s">
        <v>16</v>
      </c>
      <c r="B62" t="s">
        <v>36</v>
      </c>
      <c r="C62" s="6" t="s">
        <v>18</v>
      </c>
      <c r="D62" s="6" t="str">
        <f>CONCATENATE(financials[[#This Row],[Segment]],",",financials[[#This Row],[Country]],",",financials[[#This Row],[Product]])</f>
        <v>Government,USA,Carretera</v>
      </c>
      <c r="E62" s="6" t="s">
        <v>32</v>
      </c>
      <c r="F62">
        <f t="shared" ca="1" si="0"/>
        <v>346</v>
      </c>
      <c r="G62" s="1">
        <f ca="1">VLOOKUP(financials[[#This Row],[ID]],Prices!D:F,2,FALSE)</f>
        <v>11</v>
      </c>
      <c r="H62" s="1">
        <f ca="1">VLOOKUP(financials[[#This Row],[ID]],Prices!D:F,3,FALSE)</f>
        <v>21</v>
      </c>
      <c r="I62" s="1">
        <f ca="1">financials[[#This Row],[Units Sold]]*financials[[#This Row],[Sale Price]]</f>
        <v>7266</v>
      </c>
      <c r="J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363.3</v>
      </c>
      <c r="K62" s="1">
        <f ca="1">financials[[#This Row],[Gross Sales]]-financials[[#This Row],[Discounts]]</f>
        <v>6902.7</v>
      </c>
      <c r="L62" s="1">
        <f ca="1">financials[[#This Row],[Units Sold]]*financials[[#This Row],[Manufacturing Price]]</f>
        <v>3806</v>
      </c>
      <c r="M62" s="1">
        <f ca="1">financials[[#This Row],[Sales]]-financials[[#This Row],[COGS]]</f>
        <v>3096.7</v>
      </c>
      <c r="N62" s="7">
        <f t="shared" ca="1" si="1"/>
        <v>45178</v>
      </c>
      <c r="O62" s="8">
        <f ca="1">MONTH(financials[[#This Row],[Date]])</f>
        <v>9</v>
      </c>
      <c r="P62" s="6" t="str">
        <f ca="1">TEXT(financials[[#This Row],[Date]],"MMM")</f>
        <v>Sep</v>
      </c>
      <c r="Q62">
        <f ca="1">YEAR(financials[[#This Row],[Date]])</f>
        <v>2023</v>
      </c>
      <c r="S62" s="10"/>
    </row>
    <row r="63" spans="1:19" x14ac:dyDescent="0.3">
      <c r="A63" t="s">
        <v>25</v>
      </c>
      <c r="B63" t="s">
        <v>17</v>
      </c>
      <c r="C63" s="6" t="s">
        <v>18</v>
      </c>
      <c r="D63" s="6" t="str">
        <f>CONCATENATE(financials[[#This Row],[Segment]],",",financials[[#This Row],[Country]],",",financials[[#This Row],[Product]])</f>
        <v>Channel Partners,Canada,Carretera</v>
      </c>
      <c r="E63" s="6" t="s">
        <v>32</v>
      </c>
      <c r="F63">
        <f t="shared" ca="1" si="0"/>
        <v>667</v>
      </c>
      <c r="G63" s="1">
        <f ca="1">VLOOKUP(financials[[#This Row],[ID]],Prices!D:F,2,FALSE)</f>
        <v>17</v>
      </c>
      <c r="H63" s="1">
        <f ca="1">VLOOKUP(financials[[#This Row],[ID]],Prices!D:F,3,FALSE)</f>
        <v>24</v>
      </c>
      <c r="I63" s="1">
        <f ca="1">financials[[#This Row],[Units Sold]]*financials[[#This Row],[Sale Price]]</f>
        <v>16008</v>
      </c>
      <c r="J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800.40000000000009</v>
      </c>
      <c r="K63" s="1">
        <f ca="1">financials[[#This Row],[Gross Sales]]-financials[[#This Row],[Discounts]]</f>
        <v>15207.6</v>
      </c>
      <c r="L63" s="1">
        <f ca="1">financials[[#This Row],[Units Sold]]*financials[[#This Row],[Manufacturing Price]]</f>
        <v>11339</v>
      </c>
      <c r="M63" s="1">
        <f ca="1">financials[[#This Row],[Sales]]-financials[[#This Row],[COGS]]</f>
        <v>3868.6000000000004</v>
      </c>
      <c r="N63" s="7">
        <f t="shared" ca="1" si="1"/>
        <v>45351</v>
      </c>
      <c r="O63" s="8">
        <f ca="1">MONTH(financials[[#This Row],[Date]])</f>
        <v>2</v>
      </c>
      <c r="P63" s="6" t="str">
        <f ca="1">TEXT(financials[[#This Row],[Date]],"MMM")</f>
        <v>Feb</v>
      </c>
      <c r="Q63">
        <f ca="1">YEAR(financials[[#This Row],[Date]])</f>
        <v>2024</v>
      </c>
      <c r="S63" s="10"/>
    </row>
    <row r="64" spans="1:19" x14ac:dyDescent="0.3">
      <c r="A64" t="s">
        <v>26</v>
      </c>
      <c r="B64" t="s">
        <v>36</v>
      </c>
      <c r="C64" s="6" t="s">
        <v>18</v>
      </c>
      <c r="D64" s="6" t="str">
        <f>CONCATENATE(financials[[#This Row],[Segment]],",",financials[[#This Row],[Country]],",",financials[[#This Row],[Product]])</f>
        <v>Enterprise,USA,Carretera</v>
      </c>
      <c r="E64" s="6" t="s">
        <v>32</v>
      </c>
      <c r="F64">
        <f t="shared" ca="1" si="0"/>
        <v>482</v>
      </c>
      <c r="G64" s="1">
        <f ca="1">VLOOKUP(financials[[#This Row],[ID]],Prices!D:F,2,FALSE)</f>
        <v>18</v>
      </c>
      <c r="H64" s="1">
        <f ca="1">VLOOKUP(financials[[#This Row],[ID]],Prices!D:F,3,FALSE)</f>
        <v>34</v>
      </c>
      <c r="I64" s="1">
        <f ca="1">financials[[#This Row],[Units Sold]]*financials[[#This Row],[Sale Price]]</f>
        <v>16388</v>
      </c>
      <c r="J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819.40000000000009</v>
      </c>
      <c r="K64" s="1">
        <f ca="1">financials[[#This Row],[Gross Sales]]-financials[[#This Row],[Discounts]]</f>
        <v>15568.6</v>
      </c>
      <c r="L64" s="1">
        <f ca="1">financials[[#This Row],[Units Sold]]*financials[[#This Row],[Manufacturing Price]]</f>
        <v>8676</v>
      </c>
      <c r="M64" s="1">
        <f ca="1">financials[[#This Row],[Sales]]-financials[[#This Row],[COGS]]</f>
        <v>6892.6</v>
      </c>
      <c r="N64" s="7">
        <f t="shared" ca="1" si="1"/>
        <v>45060</v>
      </c>
      <c r="O64" s="8">
        <f ca="1">MONTH(financials[[#This Row],[Date]])</f>
        <v>5</v>
      </c>
      <c r="P64" s="6" t="str">
        <f ca="1">TEXT(financials[[#This Row],[Date]],"MMM")</f>
        <v>May</v>
      </c>
      <c r="Q64">
        <f ca="1">YEAR(financials[[#This Row],[Date]])</f>
        <v>2023</v>
      </c>
      <c r="S64" s="10"/>
    </row>
    <row r="65" spans="1:19" x14ac:dyDescent="0.3">
      <c r="A65" t="s">
        <v>25</v>
      </c>
      <c r="B65" t="s">
        <v>22</v>
      </c>
      <c r="C65" s="6" t="s">
        <v>18</v>
      </c>
      <c r="D65" s="6" t="str">
        <f>CONCATENATE(financials[[#This Row],[Segment]],",",financials[[#This Row],[Country]],",",financials[[#This Row],[Product]])</f>
        <v>Channel Partners,France,Carretera</v>
      </c>
      <c r="E65" s="6" t="s">
        <v>32</v>
      </c>
      <c r="F65">
        <f t="shared" ca="1" si="0"/>
        <v>119</v>
      </c>
      <c r="G65" s="1">
        <f ca="1">VLOOKUP(financials[[#This Row],[ID]],Prices!D:F,2,FALSE)</f>
        <v>10</v>
      </c>
      <c r="H65" s="1">
        <f ca="1">VLOOKUP(financials[[#This Row],[ID]],Prices!D:F,3,FALSE)</f>
        <v>25</v>
      </c>
      <c r="I65" s="1">
        <f ca="1">financials[[#This Row],[Units Sold]]*financials[[#This Row],[Sale Price]]</f>
        <v>2975</v>
      </c>
      <c r="J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148.75</v>
      </c>
      <c r="K65" s="1">
        <f ca="1">financials[[#This Row],[Gross Sales]]-financials[[#This Row],[Discounts]]</f>
        <v>2826.25</v>
      </c>
      <c r="L65" s="1">
        <f ca="1">financials[[#This Row],[Units Sold]]*financials[[#This Row],[Manufacturing Price]]</f>
        <v>1190</v>
      </c>
      <c r="M65" s="1">
        <f ca="1">financials[[#This Row],[Sales]]-financials[[#This Row],[COGS]]</f>
        <v>1636.25</v>
      </c>
      <c r="N65" s="7">
        <f t="shared" ca="1" si="1"/>
        <v>45416</v>
      </c>
      <c r="O65" s="8">
        <f ca="1">MONTH(financials[[#This Row],[Date]])</f>
        <v>5</v>
      </c>
      <c r="P65" s="6" t="str">
        <f ca="1">TEXT(financials[[#This Row],[Date]],"MMM")</f>
        <v>May</v>
      </c>
      <c r="Q65">
        <f ca="1">YEAR(financials[[#This Row],[Date]])</f>
        <v>2024</v>
      </c>
      <c r="S65" s="10"/>
    </row>
    <row r="66" spans="1:19" x14ac:dyDescent="0.3">
      <c r="A66" t="s">
        <v>25</v>
      </c>
      <c r="B66" t="s">
        <v>20</v>
      </c>
      <c r="C66" s="6" t="s">
        <v>18</v>
      </c>
      <c r="D66" s="6" t="str">
        <f>CONCATENATE(financials[[#This Row],[Segment]],",",financials[[#This Row],[Country]],",",financials[[#This Row],[Product]])</f>
        <v>Channel Partners,Germany,Carretera</v>
      </c>
      <c r="E66" s="6" t="s">
        <v>32</v>
      </c>
      <c r="F66">
        <f t="shared" ca="1" si="0"/>
        <v>441</v>
      </c>
      <c r="G66" s="1">
        <f ca="1">VLOOKUP(financials[[#This Row],[ID]],Prices!D:F,2,FALSE)</f>
        <v>11</v>
      </c>
      <c r="H66" s="1">
        <f ca="1">VLOOKUP(financials[[#This Row],[ID]],Prices!D:F,3,FALSE)</f>
        <v>16</v>
      </c>
      <c r="I66" s="1">
        <f ca="1">financials[[#This Row],[Units Sold]]*financials[[#This Row],[Sale Price]]</f>
        <v>7056</v>
      </c>
      <c r="J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352.8</v>
      </c>
      <c r="K66" s="1">
        <f ca="1">financials[[#This Row],[Gross Sales]]-financials[[#This Row],[Discounts]]</f>
        <v>6703.2</v>
      </c>
      <c r="L66" s="1">
        <f ca="1">financials[[#This Row],[Units Sold]]*financials[[#This Row],[Manufacturing Price]]</f>
        <v>4851</v>
      </c>
      <c r="M66" s="1">
        <f ca="1">financials[[#This Row],[Sales]]-financials[[#This Row],[COGS]]</f>
        <v>1852.1999999999998</v>
      </c>
      <c r="N66" s="7">
        <f t="shared" ca="1" si="1"/>
        <v>45592</v>
      </c>
      <c r="O66" s="8">
        <f ca="1">MONTH(financials[[#This Row],[Date]])</f>
        <v>10</v>
      </c>
      <c r="P66" s="6" t="str">
        <f ca="1">TEXT(financials[[#This Row],[Date]],"MMM")</f>
        <v>Oct</v>
      </c>
      <c r="Q66">
        <f ca="1">YEAR(financials[[#This Row],[Date]])</f>
        <v>2024</v>
      </c>
      <c r="S66" s="10"/>
    </row>
    <row r="67" spans="1:19" x14ac:dyDescent="0.3">
      <c r="A67" t="s">
        <v>27</v>
      </c>
      <c r="B67" t="s">
        <v>23</v>
      </c>
      <c r="C67" s="6" t="s">
        <v>18</v>
      </c>
      <c r="D67" s="6" t="str">
        <f>CONCATENATE(financials[[#This Row],[Segment]],",",financials[[#This Row],[Country]],",",financials[[#This Row],[Product]])</f>
        <v>Small Business,Mexico,Carretera</v>
      </c>
      <c r="E67" s="6" t="s">
        <v>32</v>
      </c>
      <c r="F67">
        <f t="shared" ref="F67:F130" ca="1" si="2">RANDBETWEEN(10,1000)</f>
        <v>511</v>
      </c>
      <c r="G67" s="1">
        <f ca="1">VLOOKUP(financials[[#This Row],[ID]],Prices!D:F,2,FALSE)</f>
        <v>20</v>
      </c>
      <c r="H67" s="1">
        <f ca="1">VLOOKUP(financials[[#This Row],[ID]],Prices!D:F,3,FALSE)</f>
        <v>25</v>
      </c>
      <c r="I67" s="1">
        <f ca="1">financials[[#This Row],[Units Sold]]*financials[[#This Row],[Sale Price]]</f>
        <v>12775</v>
      </c>
      <c r="J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638.75</v>
      </c>
      <c r="K67" s="1">
        <f ca="1">financials[[#This Row],[Gross Sales]]-financials[[#This Row],[Discounts]]</f>
        <v>12136.25</v>
      </c>
      <c r="L67" s="1">
        <f ca="1">financials[[#This Row],[Units Sold]]*financials[[#This Row],[Manufacturing Price]]</f>
        <v>10220</v>
      </c>
      <c r="M67" s="1">
        <f ca="1">financials[[#This Row],[Sales]]-financials[[#This Row],[COGS]]</f>
        <v>1916.25</v>
      </c>
      <c r="N67" s="7">
        <f t="shared" ref="N67:N130" ca="1" si="3">TODAY()-RANDBETWEEN(1,732)</f>
        <v>45443</v>
      </c>
      <c r="O67" s="8">
        <f ca="1">MONTH(financials[[#This Row],[Date]])</f>
        <v>5</v>
      </c>
      <c r="P67" s="6" t="str">
        <f ca="1">TEXT(financials[[#This Row],[Date]],"MMM")</f>
        <v>May</v>
      </c>
      <c r="Q67">
        <f ca="1">YEAR(financials[[#This Row],[Date]])</f>
        <v>2024</v>
      </c>
      <c r="S67" s="10"/>
    </row>
    <row r="68" spans="1:19" x14ac:dyDescent="0.3">
      <c r="A68" t="s">
        <v>16</v>
      </c>
      <c r="B68" t="s">
        <v>23</v>
      </c>
      <c r="C68" s="6" t="s">
        <v>18</v>
      </c>
      <c r="D68" s="6" t="str">
        <f>CONCATENATE(financials[[#This Row],[Segment]],",",financials[[#This Row],[Country]],",",financials[[#This Row],[Product]])</f>
        <v>Government,Mexico,Carretera</v>
      </c>
      <c r="E68" s="6" t="s">
        <v>32</v>
      </c>
      <c r="F68">
        <f t="shared" ca="1" si="2"/>
        <v>736</v>
      </c>
      <c r="G68" s="1">
        <f ca="1">VLOOKUP(financials[[#This Row],[ID]],Prices!D:F,2,FALSE)</f>
        <v>16</v>
      </c>
      <c r="H68" s="1">
        <f ca="1">VLOOKUP(financials[[#This Row],[ID]],Prices!D:F,3,FALSE)</f>
        <v>31</v>
      </c>
      <c r="I68" s="1">
        <f ca="1">financials[[#This Row],[Units Sold]]*financials[[#This Row],[Sale Price]]</f>
        <v>22816</v>
      </c>
      <c r="J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1140.8</v>
      </c>
      <c r="K68" s="1">
        <f ca="1">financials[[#This Row],[Gross Sales]]-financials[[#This Row],[Discounts]]</f>
        <v>21675.200000000001</v>
      </c>
      <c r="L68" s="1">
        <f ca="1">financials[[#This Row],[Units Sold]]*financials[[#This Row],[Manufacturing Price]]</f>
        <v>11776</v>
      </c>
      <c r="M68" s="1">
        <f ca="1">financials[[#This Row],[Sales]]-financials[[#This Row],[COGS]]</f>
        <v>9899.2000000000007</v>
      </c>
      <c r="N68" s="7">
        <f t="shared" ca="1" si="3"/>
        <v>45266</v>
      </c>
      <c r="O68" s="8">
        <f ca="1">MONTH(financials[[#This Row],[Date]])</f>
        <v>12</v>
      </c>
      <c r="P68" s="6" t="str">
        <f ca="1">TEXT(financials[[#This Row],[Date]],"MMM")</f>
        <v>Dec</v>
      </c>
      <c r="Q68">
        <f ca="1">YEAR(financials[[#This Row],[Date]])</f>
        <v>2023</v>
      </c>
      <c r="S68" s="10"/>
    </row>
    <row r="69" spans="1:19" x14ac:dyDescent="0.3">
      <c r="A69" t="s">
        <v>16</v>
      </c>
      <c r="B69" t="s">
        <v>22</v>
      </c>
      <c r="C69" s="6" t="s">
        <v>18</v>
      </c>
      <c r="D69" s="6" t="str">
        <f>CONCATENATE(financials[[#This Row],[Segment]],",",financials[[#This Row],[Country]],",",financials[[#This Row],[Product]])</f>
        <v>Government,France,Carretera</v>
      </c>
      <c r="E69" s="6" t="s">
        <v>32</v>
      </c>
      <c r="F69">
        <f t="shared" ca="1" si="2"/>
        <v>880</v>
      </c>
      <c r="G69" s="1">
        <f ca="1">VLOOKUP(financials[[#This Row],[ID]],Prices!D:F,2,FALSE)</f>
        <v>12</v>
      </c>
      <c r="H69" s="1">
        <f ca="1">VLOOKUP(financials[[#This Row],[ID]],Prices!D:F,3,FALSE)</f>
        <v>38</v>
      </c>
      <c r="I69" s="1">
        <f ca="1">financials[[#This Row],[Units Sold]]*financials[[#This Row],[Sale Price]]</f>
        <v>33440</v>
      </c>
      <c r="J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1672</v>
      </c>
      <c r="K69" s="1">
        <f ca="1">financials[[#This Row],[Gross Sales]]-financials[[#This Row],[Discounts]]</f>
        <v>31768</v>
      </c>
      <c r="L69" s="1">
        <f ca="1">financials[[#This Row],[Units Sold]]*financials[[#This Row],[Manufacturing Price]]</f>
        <v>10560</v>
      </c>
      <c r="M69" s="1">
        <f ca="1">financials[[#This Row],[Sales]]-financials[[#This Row],[COGS]]</f>
        <v>21208</v>
      </c>
      <c r="N69" s="7">
        <f t="shared" ca="1" si="3"/>
        <v>45504</v>
      </c>
      <c r="O69" s="8">
        <f ca="1">MONTH(financials[[#This Row],[Date]])</f>
        <v>7</v>
      </c>
      <c r="P69" s="6" t="str">
        <f ca="1">TEXT(financials[[#This Row],[Date]],"MMM")</f>
        <v>Jul</v>
      </c>
      <c r="Q69">
        <f ca="1">YEAR(financials[[#This Row],[Date]])</f>
        <v>2024</v>
      </c>
      <c r="S69" s="10"/>
    </row>
    <row r="70" spans="1:19" x14ac:dyDescent="0.3">
      <c r="A70" t="s">
        <v>21</v>
      </c>
      <c r="B70" t="s">
        <v>23</v>
      </c>
      <c r="C70" s="6" t="s">
        <v>24</v>
      </c>
      <c r="D70" s="6" t="str">
        <f>CONCATENATE(financials[[#This Row],[Segment]],",",financials[[#This Row],[Country]],",",financials[[#This Row],[Product]])</f>
        <v>Midmarket,Mexico,Montana</v>
      </c>
      <c r="E70" s="6" t="s">
        <v>32</v>
      </c>
      <c r="F70">
        <f t="shared" ca="1" si="2"/>
        <v>436</v>
      </c>
      <c r="G70" s="1">
        <f ca="1">VLOOKUP(financials[[#This Row],[ID]],Prices!D:F,2,FALSE)</f>
        <v>19</v>
      </c>
      <c r="H70" s="1">
        <f ca="1">VLOOKUP(financials[[#This Row],[ID]],Prices!D:F,3,FALSE)</f>
        <v>17</v>
      </c>
      <c r="I70" s="1">
        <f ca="1">financials[[#This Row],[Units Sold]]*financials[[#This Row],[Sale Price]]</f>
        <v>7412</v>
      </c>
      <c r="J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370.6</v>
      </c>
      <c r="K70" s="1">
        <f ca="1">financials[[#This Row],[Gross Sales]]-financials[[#This Row],[Discounts]]</f>
        <v>7041.4</v>
      </c>
      <c r="L70" s="1">
        <f ca="1">financials[[#This Row],[Units Sold]]*financials[[#This Row],[Manufacturing Price]]</f>
        <v>8284</v>
      </c>
      <c r="M70" s="1">
        <f ca="1">financials[[#This Row],[Sales]]-financials[[#This Row],[COGS]]</f>
        <v>-1242.6000000000004</v>
      </c>
      <c r="N70" s="7">
        <f t="shared" ca="1" si="3"/>
        <v>45075</v>
      </c>
      <c r="O70" s="8">
        <f ca="1">MONTH(financials[[#This Row],[Date]])</f>
        <v>5</v>
      </c>
      <c r="P70" s="6" t="str">
        <f ca="1">TEXT(financials[[#This Row],[Date]],"MMM")</f>
        <v>May</v>
      </c>
      <c r="Q70">
        <f ca="1">YEAR(financials[[#This Row],[Date]])</f>
        <v>2023</v>
      </c>
      <c r="S70" s="10"/>
    </row>
    <row r="71" spans="1:19" x14ac:dyDescent="0.3">
      <c r="A71" t="s">
        <v>27</v>
      </c>
      <c r="B71" t="s">
        <v>36</v>
      </c>
      <c r="C71" s="6" t="s">
        <v>24</v>
      </c>
      <c r="D71" s="6" t="str">
        <f>CONCATENATE(financials[[#This Row],[Segment]],",",financials[[#This Row],[Country]],",",financials[[#This Row],[Product]])</f>
        <v>Small Business,USA,Montana</v>
      </c>
      <c r="E71" s="6" t="s">
        <v>32</v>
      </c>
      <c r="F71">
        <f t="shared" ca="1" si="2"/>
        <v>814</v>
      </c>
      <c r="G71" s="1">
        <f ca="1">VLOOKUP(financials[[#This Row],[ID]],Prices!D:F,2,FALSE)</f>
        <v>15</v>
      </c>
      <c r="H71" s="1">
        <f ca="1">VLOOKUP(financials[[#This Row],[ID]],Prices!D:F,3,FALSE)</f>
        <v>22</v>
      </c>
      <c r="I71" s="1">
        <f ca="1">financials[[#This Row],[Units Sold]]*financials[[#This Row],[Sale Price]]</f>
        <v>17908</v>
      </c>
      <c r="J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895.40000000000009</v>
      </c>
      <c r="K71" s="1">
        <f ca="1">financials[[#This Row],[Gross Sales]]-financials[[#This Row],[Discounts]]</f>
        <v>17012.599999999999</v>
      </c>
      <c r="L71" s="1">
        <f ca="1">financials[[#This Row],[Units Sold]]*financials[[#This Row],[Manufacturing Price]]</f>
        <v>12210</v>
      </c>
      <c r="M71" s="1">
        <f ca="1">financials[[#This Row],[Sales]]-financials[[#This Row],[COGS]]</f>
        <v>4802.5999999999985</v>
      </c>
      <c r="N71" s="7">
        <f t="shared" ca="1" si="3"/>
        <v>45435</v>
      </c>
      <c r="O71" s="8">
        <f ca="1">MONTH(financials[[#This Row],[Date]])</f>
        <v>5</v>
      </c>
      <c r="P71" s="6" t="str">
        <f ca="1">TEXT(financials[[#This Row],[Date]],"MMM")</f>
        <v>May</v>
      </c>
      <c r="Q71">
        <f ca="1">YEAR(financials[[#This Row],[Date]])</f>
        <v>2024</v>
      </c>
      <c r="S71" s="10"/>
    </row>
    <row r="72" spans="1:19" x14ac:dyDescent="0.3">
      <c r="A72" t="s">
        <v>16</v>
      </c>
      <c r="B72" t="s">
        <v>22</v>
      </c>
      <c r="C72" s="6" t="s">
        <v>24</v>
      </c>
      <c r="D72" s="6" t="str">
        <f>CONCATENATE(financials[[#This Row],[Segment]],",",financials[[#This Row],[Country]],",",financials[[#This Row],[Product]])</f>
        <v>Government,France,Montana</v>
      </c>
      <c r="E72" s="6" t="s">
        <v>32</v>
      </c>
      <c r="F72">
        <f t="shared" ca="1" si="2"/>
        <v>636</v>
      </c>
      <c r="G72" s="1">
        <f ca="1">VLOOKUP(financials[[#This Row],[ID]],Prices!D:F,2,FALSE)</f>
        <v>19</v>
      </c>
      <c r="H72" s="1">
        <f ca="1">VLOOKUP(financials[[#This Row],[ID]],Prices!D:F,3,FALSE)</f>
        <v>22</v>
      </c>
      <c r="I72" s="1">
        <f ca="1">financials[[#This Row],[Units Sold]]*financials[[#This Row],[Sale Price]]</f>
        <v>13992</v>
      </c>
      <c r="J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699.6</v>
      </c>
      <c r="K72" s="1">
        <f ca="1">financials[[#This Row],[Gross Sales]]-financials[[#This Row],[Discounts]]</f>
        <v>13292.4</v>
      </c>
      <c r="L72" s="1">
        <f ca="1">financials[[#This Row],[Units Sold]]*financials[[#This Row],[Manufacturing Price]]</f>
        <v>12084</v>
      </c>
      <c r="M72" s="1">
        <f ca="1">financials[[#This Row],[Sales]]-financials[[#This Row],[COGS]]</f>
        <v>1208.3999999999996</v>
      </c>
      <c r="N72" s="7">
        <f t="shared" ca="1" si="3"/>
        <v>45027</v>
      </c>
      <c r="O72" s="8">
        <f ca="1">MONTH(financials[[#This Row],[Date]])</f>
        <v>4</v>
      </c>
      <c r="P72" s="6" t="str">
        <f ca="1">TEXT(financials[[#This Row],[Date]],"MMM")</f>
        <v>Apr</v>
      </c>
      <c r="Q72">
        <f ca="1">YEAR(financials[[#This Row],[Date]])</f>
        <v>2023</v>
      </c>
      <c r="S72" s="10"/>
    </row>
    <row r="73" spans="1:19" x14ac:dyDescent="0.3">
      <c r="A73" t="s">
        <v>16</v>
      </c>
      <c r="B73" t="s">
        <v>17</v>
      </c>
      <c r="C73" s="6" t="s">
        <v>24</v>
      </c>
      <c r="D73" s="6" t="str">
        <f>CONCATENATE(financials[[#This Row],[Segment]],",",financials[[#This Row],[Country]],",",financials[[#This Row],[Product]])</f>
        <v>Government,Canada,Montana</v>
      </c>
      <c r="E73" s="6" t="s">
        <v>32</v>
      </c>
      <c r="F73">
        <f t="shared" ca="1" si="2"/>
        <v>700</v>
      </c>
      <c r="G73" s="1">
        <f ca="1">VLOOKUP(financials[[#This Row],[ID]],Prices!D:F,2,FALSE)</f>
        <v>12</v>
      </c>
      <c r="H73" s="1">
        <f ca="1">VLOOKUP(financials[[#This Row],[ID]],Prices!D:F,3,FALSE)</f>
        <v>30</v>
      </c>
      <c r="I73" s="1">
        <f ca="1">financials[[#This Row],[Units Sold]]*financials[[#This Row],[Sale Price]]</f>
        <v>21000</v>
      </c>
      <c r="J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1050</v>
      </c>
      <c r="K73" s="1">
        <f ca="1">financials[[#This Row],[Gross Sales]]-financials[[#This Row],[Discounts]]</f>
        <v>19950</v>
      </c>
      <c r="L73" s="1">
        <f ca="1">financials[[#This Row],[Units Sold]]*financials[[#This Row],[Manufacturing Price]]</f>
        <v>8400</v>
      </c>
      <c r="M73" s="1">
        <f ca="1">financials[[#This Row],[Sales]]-financials[[#This Row],[COGS]]</f>
        <v>11550</v>
      </c>
      <c r="N73" s="7">
        <f t="shared" ca="1" si="3"/>
        <v>45726</v>
      </c>
      <c r="O73" s="8">
        <f ca="1">MONTH(financials[[#This Row],[Date]])</f>
        <v>3</v>
      </c>
      <c r="P73" s="6" t="str">
        <f ca="1">TEXT(financials[[#This Row],[Date]],"MMM")</f>
        <v>Mar</v>
      </c>
      <c r="Q73">
        <f ca="1">YEAR(financials[[#This Row],[Date]])</f>
        <v>2025</v>
      </c>
      <c r="S73" s="10"/>
    </row>
    <row r="74" spans="1:19" x14ac:dyDescent="0.3">
      <c r="A74" t="s">
        <v>27</v>
      </c>
      <c r="B74" t="s">
        <v>36</v>
      </c>
      <c r="C74" s="6" t="s">
        <v>24</v>
      </c>
      <c r="D74" s="6" t="str">
        <f>CONCATENATE(financials[[#This Row],[Segment]],",",financials[[#This Row],[Country]],",",financials[[#This Row],[Product]])</f>
        <v>Small Business,USA,Montana</v>
      </c>
      <c r="E74" s="6" t="s">
        <v>32</v>
      </c>
      <c r="F74">
        <f t="shared" ca="1" si="2"/>
        <v>688</v>
      </c>
      <c r="G74" s="1">
        <f ca="1">VLOOKUP(financials[[#This Row],[ID]],Prices!D:F,2,FALSE)</f>
        <v>15</v>
      </c>
      <c r="H74" s="1">
        <f ca="1">VLOOKUP(financials[[#This Row],[ID]],Prices!D:F,3,FALSE)</f>
        <v>22</v>
      </c>
      <c r="I74" s="1">
        <f ca="1">financials[[#This Row],[Units Sold]]*financials[[#This Row],[Sale Price]]</f>
        <v>15136</v>
      </c>
      <c r="J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756.80000000000007</v>
      </c>
      <c r="K74" s="1">
        <f ca="1">financials[[#This Row],[Gross Sales]]-financials[[#This Row],[Discounts]]</f>
        <v>14379.2</v>
      </c>
      <c r="L74" s="1">
        <f ca="1">financials[[#This Row],[Units Sold]]*financials[[#This Row],[Manufacturing Price]]</f>
        <v>10320</v>
      </c>
      <c r="M74" s="1">
        <f ca="1">financials[[#This Row],[Sales]]-financials[[#This Row],[COGS]]</f>
        <v>4059.2000000000007</v>
      </c>
      <c r="N74" s="7">
        <f t="shared" ca="1" si="3"/>
        <v>45210</v>
      </c>
      <c r="O74" s="8">
        <f ca="1">MONTH(financials[[#This Row],[Date]])</f>
        <v>10</v>
      </c>
      <c r="P74" s="6" t="str">
        <f ca="1">TEXT(financials[[#This Row],[Date]],"MMM")</f>
        <v>Oct</v>
      </c>
      <c r="Q74">
        <f ca="1">YEAR(financials[[#This Row],[Date]])</f>
        <v>2023</v>
      </c>
      <c r="S74" s="10"/>
    </row>
    <row r="75" spans="1:19" x14ac:dyDescent="0.3">
      <c r="A75" t="s">
        <v>26</v>
      </c>
      <c r="B75" t="s">
        <v>36</v>
      </c>
      <c r="C75" s="6" t="s">
        <v>24</v>
      </c>
      <c r="D75" s="6" t="str">
        <f>CONCATENATE(financials[[#This Row],[Segment]],",",financials[[#This Row],[Country]],",",financials[[#This Row],[Product]])</f>
        <v>Enterprise,USA,Montana</v>
      </c>
      <c r="E75" s="6" t="s">
        <v>32</v>
      </c>
      <c r="F75">
        <f t="shared" ca="1" si="2"/>
        <v>359</v>
      </c>
      <c r="G75" s="1">
        <f ca="1">VLOOKUP(financials[[#This Row],[ID]],Prices!D:F,2,FALSE)</f>
        <v>14</v>
      </c>
      <c r="H75" s="1">
        <f ca="1">VLOOKUP(financials[[#This Row],[ID]],Prices!D:F,3,FALSE)</f>
        <v>29</v>
      </c>
      <c r="I75" s="1">
        <f ca="1">financials[[#This Row],[Units Sold]]*financials[[#This Row],[Sale Price]]</f>
        <v>10411</v>
      </c>
      <c r="J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520.55000000000007</v>
      </c>
      <c r="K75" s="1">
        <f ca="1">financials[[#This Row],[Gross Sales]]-financials[[#This Row],[Discounts]]</f>
        <v>9890.4500000000007</v>
      </c>
      <c r="L75" s="1">
        <f ca="1">financials[[#This Row],[Units Sold]]*financials[[#This Row],[Manufacturing Price]]</f>
        <v>5026</v>
      </c>
      <c r="M75" s="1">
        <f ca="1">financials[[#This Row],[Sales]]-financials[[#This Row],[COGS]]</f>
        <v>4864.4500000000007</v>
      </c>
      <c r="N75" s="7">
        <f t="shared" ca="1" si="3"/>
        <v>45564</v>
      </c>
      <c r="O75" s="8">
        <f ca="1">MONTH(financials[[#This Row],[Date]])</f>
        <v>9</v>
      </c>
      <c r="P75" s="6" t="str">
        <f ca="1">TEXT(financials[[#This Row],[Date]],"MMM")</f>
        <v>Sep</v>
      </c>
      <c r="Q75">
        <f ca="1">YEAR(financials[[#This Row],[Date]])</f>
        <v>2024</v>
      </c>
      <c r="S75" s="10"/>
    </row>
    <row r="76" spans="1:19" x14ac:dyDescent="0.3">
      <c r="A76" t="s">
        <v>21</v>
      </c>
      <c r="B76" t="s">
        <v>36</v>
      </c>
      <c r="C76" s="6" t="s">
        <v>28</v>
      </c>
      <c r="D76" s="6" t="str">
        <f>CONCATENATE(financials[[#This Row],[Segment]],",",financials[[#This Row],[Country]],",",financials[[#This Row],[Product]])</f>
        <v>Midmarket,USA,Paseo</v>
      </c>
      <c r="E76" s="6" t="s">
        <v>32</v>
      </c>
      <c r="F76">
        <f t="shared" ca="1" si="2"/>
        <v>741</v>
      </c>
      <c r="G76" s="1">
        <f ca="1">VLOOKUP(financials[[#This Row],[ID]],Prices!D:F,2,FALSE)</f>
        <v>13</v>
      </c>
      <c r="H76" s="1">
        <f ca="1">VLOOKUP(financials[[#This Row],[ID]],Prices!D:F,3,FALSE)</f>
        <v>25</v>
      </c>
      <c r="I76" s="1">
        <f ca="1">financials[[#This Row],[Units Sold]]*financials[[#This Row],[Sale Price]]</f>
        <v>18525</v>
      </c>
      <c r="J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926.25</v>
      </c>
      <c r="K76" s="1">
        <f ca="1">financials[[#This Row],[Gross Sales]]-financials[[#This Row],[Discounts]]</f>
        <v>17598.75</v>
      </c>
      <c r="L76" s="1">
        <f ca="1">financials[[#This Row],[Units Sold]]*financials[[#This Row],[Manufacturing Price]]</f>
        <v>9633</v>
      </c>
      <c r="M76" s="1">
        <f ca="1">financials[[#This Row],[Sales]]-financials[[#This Row],[COGS]]</f>
        <v>7965.75</v>
      </c>
      <c r="N76" s="7">
        <f t="shared" ca="1" si="3"/>
        <v>45426</v>
      </c>
      <c r="O76" s="8">
        <f ca="1">MONTH(financials[[#This Row],[Date]])</f>
        <v>5</v>
      </c>
      <c r="P76" s="6" t="str">
        <f ca="1">TEXT(financials[[#This Row],[Date]],"MMM")</f>
        <v>May</v>
      </c>
      <c r="Q76">
        <f ca="1">YEAR(financials[[#This Row],[Date]])</f>
        <v>2024</v>
      </c>
      <c r="S76" s="10"/>
    </row>
    <row r="77" spans="1:19" x14ac:dyDescent="0.3">
      <c r="A77" t="s">
        <v>16</v>
      </c>
      <c r="B77" t="s">
        <v>36</v>
      </c>
      <c r="C77" s="6" t="s">
        <v>28</v>
      </c>
      <c r="D77" s="6" t="str">
        <f>CONCATENATE(financials[[#This Row],[Segment]],",",financials[[#This Row],[Country]],",",financials[[#This Row],[Product]])</f>
        <v>Government,USA,Paseo</v>
      </c>
      <c r="E77" s="6" t="s">
        <v>32</v>
      </c>
      <c r="F77">
        <f t="shared" ca="1" si="2"/>
        <v>488</v>
      </c>
      <c r="G77" s="1">
        <f ca="1">VLOOKUP(financials[[#This Row],[ID]],Prices!D:F,2,FALSE)</f>
        <v>17</v>
      </c>
      <c r="H77" s="1">
        <f ca="1">VLOOKUP(financials[[#This Row],[ID]],Prices!D:F,3,FALSE)</f>
        <v>36</v>
      </c>
      <c r="I77" s="1">
        <f ca="1">financials[[#This Row],[Units Sold]]*financials[[#This Row],[Sale Price]]</f>
        <v>17568</v>
      </c>
      <c r="J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878.40000000000009</v>
      </c>
      <c r="K77" s="1">
        <f ca="1">financials[[#This Row],[Gross Sales]]-financials[[#This Row],[Discounts]]</f>
        <v>16689.599999999999</v>
      </c>
      <c r="L77" s="1">
        <f ca="1">financials[[#This Row],[Units Sold]]*financials[[#This Row],[Manufacturing Price]]</f>
        <v>8296</v>
      </c>
      <c r="M77" s="1">
        <f ca="1">financials[[#This Row],[Sales]]-financials[[#This Row],[COGS]]</f>
        <v>8393.5999999999985</v>
      </c>
      <c r="N77" s="7">
        <f t="shared" ca="1" si="3"/>
        <v>45079</v>
      </c>
      <c r="O77" s="8">
        <f ca="1">MONTH(financials[[#This Row],[Date]])</f>
        <v>6</v>
      </c>
      <c r="P77" s="6" t="str">
        <f ca="1">TEXT(financials[[#This Row],[Date]],"MMM")</f>
        <v>Jun</v>
      </c>
      <c r="Q77">
        <f ca="1">YEAR(financials[[#This Row],[Date]])</f>
        <v>2023</v>
      </c>
      <c r="S77" s="10"/>
    </row>
    <row r="78" spans="1:19" x14ac:dyDescent="0.3">
      <c r="A78" t="s">
        <v>26</v>
      </c>
      <c r="B78" t="s">
        <v>36</v>
      </c>
      <c r="C78" s="6" t="s">
        <v>28</v>
      </c>
      <c r="D78" s="6" t="str">
        <f>CONCATENATE(financials[[#This Row],[Segment]],",",financials[[#This Row],[Country]],",",financials[[#This Row],[Product]])</f>
        <v>Enterprise,USA,Paseo</v>
      </c>
      <c r="E78" s="6" t="s">
        <v>32</v>
      </c>
      <c r="F78">
        <f t="shared" ca="1" si="2"/>
        <v>488</v>
      </c>
      <c r="G78" s="1">
        <f ca="1">VLOOKUP(financials[[#This Row],[ID]],Prices!D:F,2,FALSE)</f>
        <v>17</v>
      </c>
      <c r="H78" s="1">
        <f ca="1">VLOOKUP(financials[[#This Row],[ID]],Prices!D:F,3,FALSE)</f>
        <v>30</v>
      </c>
      <c r="I78" s="1">
        <f ca="1">financials[[#This Row],[Units Sold]]*financials[[#This Row],[Sale Price]]</f>
        <v>14640</v>
      </c>
      <c r="J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732</v>
      </c>
      <c r="K78" s="1">
        <f ca="1">financials[[#This Row],[Gross Sales]]-financials[[#This Row],[Discounts]]</f>
        <v>13908</v>
      </c>
      <c r="L78" s="1">
        <f ca="1">financials[[#This Row],[Units Sold]]*financials[[#This Row],[Manufacturing Price]]</f>
        <v>8296</v>
      </c>
      <c r="M78" s="1">
        <f ca="1">financials[[#This Row],[Sales]]-financials[[#This Row],[COGS]]</f>
        <v>5612</v>
      </c>
      <c r="N78" s="7">
        <f t="shared" ca="1" si="3"/>
        <v>45109</v>
      </c>
      <c r="O78" s="8">
        <f ca="1">MONTH(financials[[#This Row],[Date]])</f>
        <v>7</v>
      </c>
      <c r="P78" s="6" t="str">
        <f ca="1">TEXT(financials[[#This Row],[Date]],"MMM")</f>
        <v>Jul</v>
      </c>
      <c r="Q78">
        <f ca="1">YEAR(financials[[#This Row],[Date]])</f>
        <v>2023</v>
      </c>
      <c r="S78" s="10"/>
    </row>
    <row r="79" spans="1:19" x14ac:dyDescent="0.3">
      <c r="A79" t="s">
        <v>26</v>
      </c>
      <c r="B79" t="s">
        <v>22</v>
      </c>
      <c r="C79" s="6" t="s">
        <v>28</v>
      </c>
      <c r="D79" s="6" t="str">
        <f>CONCATENATE(financials[[#This Row],[Segment]],",",financials[[#This Row],[Country]],",",financials[[#This Row],[Product]])</f>
        <v>Enterprise,France,Paseo</v>
      </c>
      <c r="E79" s="6" t="s">
        <v>32</v>
      </c>
      <c r="F79">
        <f t="shared" ca="1" si="2"/>
        <v>31</v>
      </c>
      <c r="G79" s="1">
        <f ca="1">VLOOKUP(financials[[#This Row],[ID]],Prices!D:F,2,FALSE)</f>
        <v>11</v>
      </c>
      <c r="H79" s="1">
        <f ca="1">VLOOKUP(financials[[#This Row],[ID]],Prices!D:F,3,FALSE)</f>
        <v>21</v>
      </c>
      <c r="I79" s="1">
        <f ca="1">financials[[#This Row],[Units Sold]]*financials[[#This Row],[Sale Price]]</f>
        <v>651</v>
      </c>
      <c r="J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6.51</v>
      </c>
      <c r="K79" s="1">
        <f ca="1">financials[[#This Row],[Gross Sales]]-financials[[#This Row],[Discounts]]</f>
        <v>644.49</v>
      </c>
      <c r="L79" s="1">
        <f ca="1">financials[[#This Row],[Units Sold]]*financials[[#This Row],[Manufacturing Price]]</f>
        <v>341</v>
      </c>
      <c r="M79" s="1">
        <f ca="1">financials[[#This Row],[Sales]]-financials[[#This Row],[COGS]]</f>
        <v>303.49</v>
      </c>
      <c r="N79" s="7">
        <f t="shared" ca="1" si="3"/>
        <v>45153</v>
      </c>
      <c r="O79" s="8">
        <f ca="1">MONTH(financials[[#This Row],[Date]])</f>
        <v>8</v>
      </c>
      <c r="P79" s="6" t="str">
        <f ca="1">TEXT(financials[[#This Row],[Date]],"MMM")</f>
        <v>Aug</v>
      </c>
      <c r="Q79">
        <f ca="1">YEAR(financials[[#This Row],[Date]])</f>
        <v>2023</v>
      </c>
      <c r="S79" s="10"/>
    </row>
    <row r="80" spans="1:19" x14ac:dyDescent="0.3">
      <c r="A80" t="s">
        <v>26</v>
      </c>
      <c r="B80" t="s">
        <v>23</v>
      </c>
      <c r="C80" s="6" t="s">
        <v>28</v>
      </c>
      <c r="D80" s="6" t="str">
        <f>CONCATENATE(financials[[#This Row],[Segment]],",",financials[[#This Row],[Country]],",",financials[[#This Row],[Product]])</f>
        <v>Enterprise,Mexico,Paseo</v>
      </c>
      <c r="E80" s="6" t="s">
        <v>32</v>
      </c>
      <c r="F80">
        <f t="shared" ca="1" si="2"/>
        <v>364</v>
      </c>
      <c r="G80" s="1">
        <f ca="1">VLOOKUP(financials[[#This Row],[ID]],Prices!D:F,2,FALSE)</f>
        <v>17</v>
      </c>
      <c r="H80" s="1">
        <f ca="1">VLOOKUP(financials[[#This Row],[ID]],Prices!D:F,3,FALSE)</f>
        <v>27</v>
      </c>
      <c r="I80" s="1">
        <f ca="1">financials[[#This Row],[Units Sold]]*financials[[#This Row],[Sale Price]]</f>
        <v>9828</v>
      </c>
      <c r="J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491.40000000000003</v>
      </c>
      <c r="K80" s="1">
        <f ca="1">financials[[#This Row],[Gross Sales]]-financials[[#This Row],[Discounts]]</f>
        <v>9336.6</v>
      </c>
      <c r="L80" s="1">
        <f ca="1">financials[[#This Row],[Units Sold]]*financials[[#This Row],[Manufacturing Price]]</f>
        <v>6188</v>
      </c>
      <c r="M80" s="1">
        <f ca="1">financials[[#This Row],[Sales]]-financials[[#This Row],[COGS]]</f>
        <v>3148.6000000000004</v>
      </c>
      <c r="N80" s="7">
        <f t="shared" ca="1" si="3"/>
        <v>45748</v>
      </c>
      <c r="O80" s="8">
        <f ca="1">MONTH(financials[[#This Row],[Date]])</f>
        <v>4</v>
      </c>
      <c r="P80" s="6" t="str">
        <f ca="1">TEXT(financials[[#This Row],[Date]],"MMM")</f>
        <v>Apr</v>
      </c>
      <c r="Q80">
        <f ca="1">YEAR(financials[[#This Row],[Date]])</f>
        <v>2025</v>
      </c>
      <c r="S80" s="10"/>
    </row>
    <row r="81" spans="1:19" x14ac:dyDescent="0.3">
      <c r="A81" t="s">
        <v>21</v>
      </c>
      <c r="B81" t="s">
        <v>20</v>
      </c>
      <c r="C81" s="6" t="s">
        <v>28</v>
      </c>
      <c r="D81" s="6" t="str">
        <f>CONCATENATE(financials[[#This Row],[Segment]],",",financials[[#This Row],[Country]],",",financials[[#This Row],[Product]])</f>
        <v>Midmarket,Germany,Paseo</v>
      </c>
      <c r="E81" s="6" t="s">
        <v>32</v>
      </c>
      <c r="F81">
        <f t="shared" ca="1" si="2"/>
        <v>175</v>
      </c>
      <c r="G81" s="1">
        <f ca="1">VLOOKUP(financials[[#This Row],[ID]],Prices!D:F,2,FALSE)</f>
        <v>19</v>
      </c>
      <c r="H81" s="1">
        <f ca="1">VLOOKUP(financials[[#This Row],[ID]],Prices!D:F,3,FALSE)</f>
        <v>25</v>
      </c>
      <c r="I81" s="1">
        <f ca="1">financials[[#This Row],[Units Sold]]*financials[[#This Row],[Sale Price]]</f>
        <v>4375</v>
      </c>
      <c r="J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218.75</v>
      </c>
      <c r="K81" s="1">
        <f ca="1">financials[[#This Row],[Gross Sales]]-financials[[#This Row],[Discounts]]</f>
        <v>4156.25</v>
      </c>
      <c r="L81" s="1">
        <f ca="1">financials[[#This Row],[Units Sold]]*financials[[#This Row],[Manufacturing Price]]</f>
        <v>3325</v>
      </c>
      <c r="M81" s="1">
        <f ca="1">financials[[#This Row],[Sales]]-financials[[#This Row],[COGS]]</f>
        <v>831.25</v>
      </c>
      <c r="N81" s="7">
        <f t="shared" ca="1" si="3"/>
        <v>45116</v>
      </c>
      <c r="O81" s="8">
        <f ca="1">MONTH(financials[[#This Row],[Date]])</f>
        <v>7</v>
      </c>
      <c r="P81" s="6" t="str">
        <f ca="1">TEXT(financials[[#This Row],[Date]],"MMM")</f>
        <v>Jul</v>
      </c>
      <c r="Q81">
        <f ca="1">YEAR(financials[[#This Row],[Date]])</f>
        <v>2023</v>
      </c>
      <c r="S81" s="10"/>
    </row>
    <row r="82" spans="1:19" x14ac:dyDescent="0.3">
      <c r="A82" t="s">
        <v>25</v>
      </c>
      <c r="B82" t="s">
        <v>20</v>
      </c>
      <c r="C82" s="6" t="s">
        <v>28</v>
      </c>
      <c r="D82" s="6" t="str">
        <f>CONCATENATE(financials[[#This Row],[Segment]],",",financials[[#This Row],[Country]],",",financials[[#This Row],[Product]])</f>
        <v>Channel Partners,Germany,Paseo</v>
      </c>
      <c r="E82" s="6" t="s">
        <v>32</v>
      </c>
      <c r="F82">
        <f t="shared" ca="1" si="2"/>
        <v>690</v>
      </c>
      <c r="G82" s="1">
        <f ca="1">VLOOKUP(financials[[#This Row],[ID]],Prices!D:F,2,FALSE)</f>
        <v>13</v>
      </c>
      <c r="H82" s="1">
        <f ca="1">VLOOKUP(financials[[#This Row],[ID]],Prices!D:F,3,FALSE)</f>
        <v>25</v>
      </c>
      <c r="I82" s="1">
        <f ca="1">financials[[#This Row],[Units Sold]]*financials[[#This Row],[Sale Price]]</f>
        <v>17250</v>
      </c>
      <c r="J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862.5</v>
      </c>
      <c r="K82" s="1">
        <f ca="1">financials[[#This Row],[Gross Sales]]-financials[[#This Row],[Discounts]]</f>
        <v>16387.5</v>
      </c>
      <c r="L82" s="1">
        <f ca="1">financials[[#This Row],[Units Sold]]*financials[[#This Row],[Manufacturing Price]]</f>
        <v>8970</v>
      </c>
      <c r="M82" s="1">
        <f ca="1">financials[[#This Row],[Sales]]-financials[[#This Row],[COGS]]</f>
        <v>7417.5</v>
      </c>
      <c r="N82" s="7">
        <f t="shared" ca="1" si="3"/>
        <v>45200</v>
      </c>
      <c r="O82" s="8">
        <f ca="1">MONTH(financials[[#This Row],[Date]])</f>
        <v>10</v>
      </c>
      <c r="P82" s="6" t="str">
        <f ca="1">TEXT(financials[[#This Row],[Date]],"MMM")</f>
        <v>Oct</v>
      </c>
      <c r="Q82">
        <f ca="1">YEAR(financials[[#This Row],[Date]])</f>
        <v>2023</v>
      </c>
      <c r="S82" s="10"/>
    </row>
    <row r="83" spans="1:19" x14ac:dyDescent="0.3">
      <c r="A83" t="s">
        <v>27</v>
      </c>
      <c r="B83" t="s">
        <v>36</v>
      </c>
      <c r="C83" s="6" t="s">
        <v>28</v>
      </c>
      <c r="D83" s="6" t="str">
        <f>CONCATENATE(financials[[#This Row],[Segment]],",",financials[[#This Row],[Country]],",",financials[[#This Row],[Product]])</f>
        <v>Small Business,USA,Paseo</v>
      </c>
      <c r="E83" s="6" t="s">
        <v>32</v>
      </c>
      <c r="F83">
        <f t="shared" ca="1" si="2"/>
        <v>132</v>
      </c>
      <c r="G83" s="1">
        <f ca="1">VLOOKUP(financials[[#This Row],[ID]],Prices!D:F,2,FALSE)</f>
        <v>17</v>
      </c>
      <c r="H83" s="1">
        <f ca="1">VLOOKUP(financials[[#This Row],[ID]],Prices!D:F,3,FALSE)</f>
        <v>23</v>
      </c>
      <c r="I83" s="1">
        <f ca="1">financials[[#This Row],[Units Sold]]*financials[[#This Row],[Sale Price]]</f>
        <v>3036</v>
      </c>
      <c r="J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151.80000000000001</v>
      </c>
      <c r="K83" s="1">
        <f ca="1">financials[[#This Row],[Gross Sales]]-financials[[#This Row],[Discounts]]</f>
        <v>2884.2</v>
      </c>
      <c r="L83" s="1">
        <f ca="1">financials[[#This Row],[Units Sold]]*financials[[#This Row],[Manufacturing Price]]</f>
        <v>2244</v>
      </c>
      <c r="M83" s="1">
        <f ca="1">financials[[#This Row],[Sales]]-financials[[#This Row],[COGS]]</f>
        <v>640.19999999999982</v>
      </c>
      <c r="N83" s="7">
        <f t="shared" ca="1" si="3"/>
        <v>45376</v>
      </c>
      <c r="O83" s="8">
        <f ca="1">MONTH(financials[[#This Row],[Date]])</f>
        <v>3</v>
      </c>
      <c r="P83" s="6" t="str">
        <f ca="1">TEXT(financials[[#This Row],[Date]],"MMM")</f>
        <v>Mar</v>
      </c>
      <c r="Q83">
        <f ca="1">YEAR(financials[[#This Row],[Date]])</f>
        <v>2024</v>
      </c>
      <c r="S83" s="10"/>
    </row>
    <row r="84" spans="1:19" x14ac:dyDescent="0.3">
      <c r="A84" t="s">
        <v>16</v>
      </c>
      <c r="B84" t="s">
        <v>22</v>
      </c>
      <c r="C84" s="6" t="s">
        <v>28</v>
      </c>
      <c r="D84" s="6" t="str">
        <f>CONCATENATE(financials[[#This Row],[Segment]],",",financials[[#This Row],[Country]],",",financials[[#This Row],[Product]])</f>
        <v>Government,France,Paseo</v>
      </c>
      <c r="E84" s="6" t="s">
        <v>32</v>
      </c>
      <c r="F84">
        <f t="shared" ca="1" si="2"/>
        <v>23</v>
      </c>
      <c r="G84" s="1">
        <f ca="1">VLOOKUP(financials[[#This Row],[ID]],Prices!D:F,2,FALSE)</f>
        <v>14</v>
      </c>
      <c r="H84" s="1">
        <f ca="1">VLOOKUP(financials[[#This Row],[ID]],Prices!D:F,3,FALSE)</f>
        <v>18</v>
      </c>
      <c r="I84" s="1">
        <f ca="1">financials[[#This Row],[Units Sold]]*financials[[#This Row],[Sale Price]]</f>
        <v>414</v>
      </c>
      <c r="J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4.1399999999999997</v>
      </c>
      <c r="K84" s="1">
        <f ca="1">financials[[#This Row],[Gross Sales]]-financials[[#This Row],[Discounts]]</f>
        <v>409.86</v>
      </c>
      <c r="L84" s="1">
        <f ca="1">financials[[#This Row],[Units Sold]]*financials[[#This Row],[Manufacturing Price]]</f>
        <v>322</v>
      </c>
      <c r="M84" s="1">
        <f ca="1">financials[[#This Row],[Sales]]-financials[[#This Row],[COGS]]</f>
        <v>87.860000000000014</v>
      </c>
      <c r="N84" s="7">
        <f t="shared" ca="1" si="3"/>
        <v>45116</v>
      </c>
      <c r="O84" s="8">
        <f ca="1">MONTH(financials[[#This Row],[Date]])</f>
        <v>7</v>
      </c>
      <c r="P84" s="6" t="str">
        <f ca="1">TEXT(financials[[#This Row],[Date]],"MMM")</f>
        <v>Jul</v>
      </c>
      <c r="Q84">
        <f ca="1">YEAR(financials[[#This Row],[Date]])</f>
        <v>2023</v>
      </c>
      <c r="S84" s="10"/>
    </row>
    <row r="85" spans="1:19" x14ac:dyDescent="0.3">
      <c r="A85" t="s">
        <v>16</v>
      </c>
      <c r="B85" t="s">
        <v>22</v>
      </c>
      <c r="C85" s="6" t="s">
        <v>29</v>
      </c>
      <c r="D85" s="6" t="str">
        <f>CONCATENATE(financials[[#This Row],[Segment]],",",financials[[#This Row],[Country]],",",financials[[#This Row],[Product]])</f>
        <v>Government,France,Velo</v>
      </c>
      <c r="E85" s="6" t="s">
        <v>32</v>
      </c>
      <c r="F85">
        <f t="shared" ca="1" si="2"/>
        <v>140</v>
      </c>
      <c r="G85" s="1">
        <f ca="1">VLOOKUP(financials[[#This Row],[ID]],Prices!D:F,2,FALSE)</f>
        <v>20</v>
      </c>
      <c r="H85" s="1">
        <f ca="1">VLOOKUP(financials[[#This Row],[ID]],Prices!D:F,3,FALSE)</f>
        <v>36</v>
      </c>
      <c r="I85" s="1">
        <f ca="1">financials[[#This Row],[Units Sold]]*financials[[#This Row],[Sale Price]]</f>
        <v>5040</v>
      </c>
      <c r="J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252</v>
      </c>
      <c r="K85" s="1">
        <f ca="1">financials[[#This Row],[Gross Sales]]-financials[[#This Row],[Discounts]]</f>
        <v>4788</v>
      </c>
      <c r="L85" s="1">
        <f ca="1">financials[[#This Row],[Units Sold]]*financials[[#This Row],[Manufacturing Price]]</f>
        <v>2800</v>
      </c>
      <c r="M85" s="1">
        <f ca="1">financials[[#This Row],[Sales]]-financials[[#This Row],[COGS]]</f>
        <v>1988</v>
      </c>
      <c r="N85" s="7">
        <f t="shared" ca="1" si="3"/>
        <v>45082</v>
      </c>
      <c r="O85" s="8">
        <f ca="1">MONTH(financials[[#This Row],[Date]])</f>
        <v>6</v>
      </c>
      <c r="P85" s="6" t="str">
        <f ca="1">TEXT(financials[[#This Row],[Date]],"MMM")</f>
        <v>Jun</v>
      </c>
      <c r="Q85">
        <f ca="1">YEAR(financials[[#This Row],[Date]])</f>
        <v>2023</v>
      </c>
      <c r="S85" s="10"/>
    </row>
    <row r="86" spans="1:19" x14ac:dyDescent="0.3">
      <c r="A86" t="s">
        <v>16</v>
      </c>
      <c r="B86" t="s">
        <v>23</v>
      </c>
      <c r="C86" s="6" t="s">
        <v>29</v>
      </c>
      <c r="D86" s="6" t="str">
        <f>CONCATENATE(financials[[#This Row],[Segment]],",",financials[[#This Row],[Country]],",",financials[[#This Row],[Product]])</f>
        <v>Government,Mexico,Velo</v>
      </c>
      <c r="E86" s="6" t="s">
        <v>32</v>
      </c>
      <c r="F86">
        <f t="shared" ca="1" si="2"/>
        <v>12</v>
      </c>
      <c r="G86" s="1">
        <f ca="1">VLOOKUP(financials[[#This Row],[ID]],Prices!D:F,2,FALSE)</f>
        <v>18</v>
      </c>
      <c r="H86" s="1">
        <f ca="1">VLOOKUP(financials[[#This Row],[ID]],Prices!D:F,3,FALSE)</f>
        <v>36</v>
      </c>
      <c r="I86" s="1">
        <f ca="1">financials[[#This Row],[Units Sold]]*financials[[#This Row],[Sale Price]]</f>
        <v>432</v>
      </c>
      <c r="J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4.32</v>
      </c>
      <c r="K86" s="1">
        <f ca="1">financials[[#This Row],[Gross Sales]]-financials[[#This Row],[Discounts]]</f>
        <v>427.68</v>
      </c>
      <c r="L86" s="1">
        <f ca="1">financials[[#This Row],[Units Sold]]*financials[[#This Row],[Manufacturing Price]]</f>
        <v>216</v>
      </c>
      <c r="M86" s="1">
        <f ca="1">financials[[#This Row],[Sales]]-financials[[#This Row],[COGS]]</f>
        <v>211.68</v>
      </c>
      <c r="N86" s="7">
        <f t="shared" ca="1" si="3"/>
        <v>45232</v>
      </c>
      <c r="O86" s="8">
        <f ca="1">MONTH(financials[[#This Row],[Date]])</f>
        <v>11</v>
      </c>
      <c r="P86" s="6" t="str">
        <f ca="1">TEXT(financials[[#This Row],[Date]],"MMM")</f>
        <v>Nov</v>
      </c>
      <c r="Q86">
        <f ca="1">YEAR(financials[[#This Row],[Date]])</f>
        <v>2023</v>
      </c>
      <c r="S86" s="10"/>
    </row>
    <row r="87" spans="1:19" x14ac:dyDescent="0.3">
      <c r="A87" t="s">
        <v>26</v>
      </c>
      <c r="B87" t="s">
        <v>17</v>
      </c>
      <c r="C87" s="6" t="s">
        <v>29</v>
      </c>
      <c r="D87" s="6" t="str">
        <f>CONCATENATE(financials[[#This Row],[Segment]],",",financials[[#This Row],[Country]],",",financials[[#This Row],[Product]])</f>
        <v>Enterprise,Canada,Velo</v>
      </c>
      <c r="E87" s="6" t="s">
        <v>32</v>
      </c>
      <c r="F87">
        <f t="shared" ca="1" si="2"/>
        <v>442</v>
      </c>
      <c r="G87" s="1">
        <f ca="1">VLOOKUP(financials[[#This Row],[ID]],Prices!D:F,2,FALSE)</f>
        <v>11</v>
      </c>
      <c r="H87" s="1">
        <f ca="1">VLOOKUP(financials[[#This Row],[ID]],Prices!D:F,3,FALSE)</f>
        <v>34</v>
      </c>
      <c r="I87" s="1">
        <f ca="1">financials[[#This Row],[Units Sold]]*financials[[#This Row],[Sale Price]]</f>
        <v>15028</v>
      </c>
      <c r="J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751.40000000000009</v>
      </c>
      <c r="K87" s="1">
        <f ca="1">financials[[#This Row],[Gross Sales]]-financials[[#This Row],[Discounts]]</f>
        <v>14276.6</v>
      </c>
      <c r="L87" s="1">
        <f ca="1">financials[[#This Row],[Units Sold]]*financials[[#This Row],[Manufacturing Price]]</f>
        <v>4862</v>
      </c>
      <c r="M87" s="1">
        <f ca="1">financials[[#This Row],[Sales]]-financials[[#This Row],[COGS]]</f>
        <v>9414.6</v>
      </c>
      <c r="N87" s="7">
        <f t="shared" ca="1" si="3"/>
        <v>45217</v>
      </c>
      <c r="O87" s="8">
        <f ca="1">MONTH(financials[[#This Row],[Date]])</f>
        <v>10</v>
      </c>
      <c r="P87" s="6" t="str">
        <f ca="1">TEXT(financials[[#This Row],[Date]],"MMM")</f>
        <v>Oct</v>
      </c>
      <c r="Q87">
        <f ca="1">YEAR(financials[[#This Row],[Date]])</f>
        <v>2023</v>
      </c>
      <c r="S87" s="10"/>
    </row>
    <row r="88" spans="1:19" x14ac:dyDescent="0.3">
      <c r="A88" t="s">
        <v>26</v>
      </c>
      <c r="B88" t="s">
        <v>36</v>
      </c>
      <c r="C88" s="6" t="s">
        <v>29</v>
      </c>
      <c r="D88" s="6" t="str">
        <f>CONCATENATE(financials[[#This Row],[Segment]],",",financials[[#This Row],[Country]],",",financials[[#This Row],[Product]])</f>
        <v>Enterprise,USA,Velo</v>
      </c>
      <c r="E88" s="6" t="s">
        <v>32</v>
      </c>
      <c r="F88">
        <f t="shared" ca="1" si="2"/>
        <v>664</v>
      </c>
      <c r="G88" s="1">
        <f ca="1">VLOOKUP(financials[[#This Row],[ID]],Prices!D:F,2,FALSE)</f>
        <v>20</v>
      </c>
      <c r="H88" s="1">
        <f ca="1">VLOOKUP(financials[[#This Row],[ID]],Prices!D:F,3,FALSE)</f>
        <v>24</v>
      </c>
      <c r="I88" s="1">
        <f ca="1">financials[[#This Row],[Units Sold]]*financials[[#This Row],[Sale Price]]</f>
        <v>15936</v>
      </c>
      <c r="J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796.80000000000007</v>
      </c>
      <c r="K88" s="1">
        <f ca="1">financials[[#This Row],[Gross Sales]]-financials[[#This Row],[Discounts]]</f>
        <v>15139.2</v>
      </c>
      <c r="L88" s="1">
        <f ca="1">financials[[#This Row],[Units Sold]]*financials[[#This Row],[Manufacturing Price]]</f>
        <v>13280</v>
      </c>
      <c r="M88" s="1">
        <f ca="1">financials[[#This Row],[Sales]]-financials[[#This Row],[COGS]]</f>
        <v>1859.2000000000007</v>
      </c>
      <c r="N88" s="7">
        <f t="shared" ca="1" si="3"/>
        <v>45203</v>
      </c>
      <c r="O88" s="8">
        <f ca="1">MONTH(financials[[#This Row],[Date]])</f>
        <v>10</v>
      </c>
      <c r="P88" s="6" t="str">
        <f ca="1">TEXT(financials[[#This Row],[Date]],"MMM")</f>
        <v>Oct</v>
      </c>
      <c r="Q88">
        <f ca="1">YEAR(financials[[#This Row],[Date]])</f>
        <v>2023</v>
      </c>
      <c r="S88" s="10"/>
    </row>
    <row r="89" spans="1:19" x14ac:dyDescent="0.3">
      <c r="A89" t="s">
        <v>16</v>
      </c>
      <c r="B89" t="s">
        <v>17</v>
      </c>
      <c r="C89" s="6" t="s">
        <v>29</v>
      </c>
      <c r="D89" s="6" t="str">
        <f>CONCATENATE(financials[[#This Row],[Segment]],",",financials[[#This Row],[Country]],",",financials[[#This Row],[Product]])</f>
        <v>Government,Canada,Velo</v>
      </c>
      <c r="E89" s="6" t="s">
        <v>32</v>
      </c>
      <c r="F89">
        <f t="shared" ca="1" si="2"/>
        <v>650</v>
      </c>
      <c r="G89" s="1">
        <f ca="1">VLOOKUP(financials[[#This Row],[ID]],Prices!D:F,2,FALSE)</f>
        <v>19</v>
      </c>
      <c r="H89" s="1">
        <f ca="1">VLOOKUP(financials[[#This Row],[ID]],Prices!D:F,3,FALSE)</f>
        <v>37</v>
      </c>
      <c r="I89" s="1">
        <f ca="1">financials[[#This Row],[Units Sold]]*financials[[#This Row],[Sale Price]]</f>
        <v>24050</v>
      </c>
      <c r="J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1202.5</v>
      </c>
      <c r="K89" s="1">
        <f ca="1">financials[[#This Row],[Gross Sales]]-financials[[#This Row],[Discounts]]</f>
        <v>22847.5</v>
      </c>
      <c r="L89" s="1">
        <f ca="1">financials[[#This Row],[Units Sold]]*financials[[#This Row],[Manufacturing Price]]</f>
        <v>12350</v>
      </c>
      <c r="M89" s="1">
        <f ca="1">financials[[#This Row],[Sales]]-financials[[#This Row],[COGS]]</f>
        <v>10497.5</v>
      </c>
      <c r="N89" s="7">
        <f t="shared" ca="1" si="3"/>
        <v>45548</v>
      </c>
      <c r="O89" s="8">
        <f ca="1">MONTH(financials[[#This Row],[Date]])</f>
        <v>9</v>
      </c>
      <c r="P89" s="6" t="str">
        <f ca="1">TEXT(financials[[#This Row],[Date]],"MMM")</f>
        <v>Sep</v>
      </c>
      <c r="Q89">
        <f ca="1">YEAR(financials[[#This Row],[Date]])</f>
        <v>2024</v>
      </c>
      <c r="S89" s="10"/>
    </row>
    <row r="90" spans="1:19" x14ac:dyDescent="0.3">
      <c r="A90" t="s">
        <v>16</v>
      </c>
      <c r="B90" t="s">
        <v>20</v>
      </c>
      <c r="C90" s="6" t="s">
        <v>30</v>
      </c>
      <c r="D90" s="6" t="str">
        <f>CONCATENATE(financials[[#This Row],[Segment]],",",financials[[#This Row],[Country]],",",financials[[#This Row],[Product]])</f>
        <v>Government,Germany,VTT</v>
      </c>
      <c r="E90" s="6" t="s">
        <v>32</v>
      </c>
      <c r="F90">
        <f t="shared" ca="1" si="2"/>
        <v>472</v>
      </c>
      <c r="G90" s="1">
        <f ca="1">VLOOKUP(financials[[#This Row],[ID]],Prices!D:F,2,FALSE)</f>
        <v>16</v>
      </c>
      <c r="H90" s="1">
        <f ca="1">VLOOKUP(financials[[#This Row],[ID]],Prices!D:F,3,FALSE)</f>
        <v>20</v>
      </c>
      <c r="I90" s="1">
        <f ca="1">financials[[#This Row],[Units Sold]]*financials[[#This Row],[Sale Price]]</f>
        <v>9440</v>
      </c>
      <c r="J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472</v>
      </c>
      <c r="K90" s="1">
        <f ca="1">financials[[#This Row],[Gross Sales]]-financials[[#This Row],[Discounts]]</f>
        <v>8968</v>
      </c>
      <c r="L90" s="1">
        <f ca="1">financials[[#This Row],[Units Sold]]*financials[[#This Row],[Manufacturing Price]]</f>
        <v>7552</v>
      </c>
      <c r="M90" s="1">
        <f ca="1">financials[[#This Row],[Sales]]-financials[[#This Row],[COGS]]</f>
        <v>1416</v>
      </c>
      <c r="N90" s="7">
        <f t="shared" ca="1" si="3"/>
        <v>45689</v>
      </c>
      <c r="O90" s="8">
        <f ca="1">MONTH(financials[[#This Row],[Date]])</f>
        <v>2</v>
      </c>
      <c r="P90" s="6" t="str">
        <f ca="1">TEXT(financials[[#This Row],[Date]],"MMM")</f>
        <v>Feb</v>
      </c>
      <c r="Q90">
        <f ca="1">YEAR(financials[[#This Row],[Date]])</f>
        <v>2025</v>
      </c>
      <c r="S90" s="10"/>
    </row>
    <row r="91" spans="1:19" x14ac:dyDescent="0.3">
      <c r="A91" t="s">
        <v>16</v>
      </c>
      <c r="B91" t="s">
        <v>17</v>
      </c>
      <c r="C91" s="6" t="s">
        <v>30</v>
      </c>
      <c r="D91" s="6" t="str">
        <f>CONCATENATE(financials[[#This Row],[Segment]],",",financials[[#This Row],[Country]],",",financials[[#This Row],[Product]])</f>
        <v>Government,Canada,VTT</v>
      </c>
      <c r="E91" s="6" t="s">
        <v>32</v>
      </c>
      <c r="F91">
        <f t="shared" ca="1" si="2"/>
        <v>518</v>
      </c>
      <c r="G91" s="1">
        <f ca="1">VLOOKUP(financials[[#This Row],[ID]],Prices!D:F,2,FALSE)</f>
        <v>17</v>
      </c>
      <c r="H91" s="1">
        <f ca="1">VLOOKUP(financials[[#This Row],[ID]],Prices!D:F,3,FALSE)</f>
        <v>38</v>
      </c>
      <c r="I91" s="1">
        <f ca="1">financials[[#This Row],[Units Sold]]*financials[[#This Row],[Sale Price]]</f>
        <v>19684</v>
      </c>
      <c r="J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984.2</v>
      </c>
      <c r="K91" s="1">
        <f ca="1">financials[[#This Row],[Gross Sales]]-financials[[#This Row],[Discounts]]</f>
        <v>18699.8</v>
      </c>
      <c r="L91" s="1">
        <f ca="1">financials[[#This Row],[Units Sold]]*financials[[#This Row],[Manufacturing Price]]</f>
        <v>8806</v>
      </c>
      <c r="M91" s="1">
        <f ca="1">financials[[#This Row],[Sales]]-financials[[#This Row],[COGS]]</f>
        <v>9893.7999999999993</v>
      </c>
      <c r="N91" s="7">
        <f t="shared" ca="1" si="3"/>
        <v>45271</v>
      </c>
      <c r="O91" s="8">
        <f ca="1">MONTH(financials[[#This Row],[Date]])</f>
        <v>12</v>
      </c>
      <c r="P91" s="6" t="str">
        <f ca="1">TEXT(financials[[#This Row],[Date]],"MMM")</f>
        <v>Dec</v>
      </c>
      <c r="Q91">
        <f ca="1">YEAR(financials[[#This Row],[Date]])</f>
        <v>2023</v>
      </c>
      <c r="S91" s="10"/>
    </row>
    <row r="92" spans="1:19" x14ac:dyDescent="0.3">
      <c r="A92" t="s">
        <v>26</v>
      </c>
      <c r="B92" t="s">
        <v>36</v>
      </c>
      <c r="C92" s="6" t="s">
        <v>30</v>
      </c>
      <c r="D92" s="6" t="str">
        <f>CONCATENATE(financials[[#This Row],[Segment]],",",financials[[#This Row],[Country]],",",financials[[#This Row],[Product]])</f>
        <v>Enterprise,USA,VTT</v>
      </c>
      <c r="E92" s="6" t="s">
        <v>32</v>
      </c>
      <c r="F92">
        <f t="shared" ca="1" si="2"/>
        <v>595</v>
      </c>
      <c r="G92" s="1">
        <f ca="1">VLOOKUP(financials[[#This Row],[ID]],Prices!D:F,2,FALSE)</f>
        <v>18</v>
      </c>
      <c r="H92" s="1">
        <f ca="1">VLOOKUP(financials[[#This Row],[ID]],Prices!D:F,3,FALSE)</f>
        <v>26</v>
      </c>
      <c r="I92" s="1">
        <f ca="1">financials[[#This Row],[Units Sold]]*financials[[#This Row],[Sale Price]]</f>
        <v>15470</v>
      </c>
      <c r="J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773.5</v>
      </c>
      <c r="K92" s="1">
        <f ca="1">financials[[#This Row],[Gross Sales]]-financials[[#This Row],[Discounts]]</f>
        <v>14696.5</v>
      </c>
      <c r="L92" s="1">
        <f ca="1">financials[[#This Row],[Units Sold]]*financials[[#This Row],[Manufacturing Price]]</f>
        <v>10710</v>
      </c>
      <c r="M92" s="1">
        <f ca="1">financials[[#This Row],[Sales]]-financials[[#This Row],[COGS]]</f>
        <v>3986.5</v>
      </c>
      <c r="N92" s="7">
        <f t="shared" ca="1" si="3"/>
        <v>45657</v>
      </c>
      <c r="O92" s="8">
        <f ca="1">MONTH(financials[[#This Row],[Date]])</f>
        <v>12</v>
      </c>
      <c r="P92" s="6" t="str">
        <f ca="1">TEXT(financials[[#This Row],[Date]],"MMM")</f>
        <v>Dec</v>
      </c>
      <c r="Q92">
        <f ca="1">YEAR(financials[[#This Row],[Date]])</f>
        <v>2024</v>
      </c>
      <c r="S92" s="10"/>
    </row>
    <row r="93" spans="1:19" x14ac:dyDescent="0.3">
      <c r="A93" t="s">
        <v>26</v>
      </c>
      <c r="B93" t="s">
        <v>22</v>
      </c>
      <c r="C93" s="6" t="s">
        <v>30</v>
      </c>
      <c r="D93" s="6" t="str">
        <f>CONCATENATE(financials[[#This Row],[Segment]],",",financials[[#This Row],[Country]],",",financials[[#This Row],[Product]])</f>
        <v>Enterprise,France,VTT</v>
      </c>
      <c r="E93" s="6" t="s">
        <v>32</v>
      </c>
      <c r="F93">
        <f t="shared" ca="1" si="2"/>
        <v>433</v>
      </c>
      <c r="G93" s="1">
        <f ca="1">VLOOKUP(financials[[#This Row],[ID]],Prices!D:F,2,FALSE)</f>
        <v>10</v>
      </c>
      <c r="H93" s="1">
        <f ca="1">VLOOKUP(financials[[#This Row],[ID]],Prices!D:F,3,FALSE)</f>
        <v>19</v>
      </c>
      <c r="I93" s="1">
        <f ca="1">financials[[#This Row],[Units Sold]]*financials[[#This Row],[Sale Price]]</f>
        <v>8227</v>
      </c>
      <c r="J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411.35</v>
      </c>
      <c r="K93" s="1">
        <f ca="1">financials[[#This Row],[Gross Sales]]-financials[[#This Row],[Discounts]]</f>
        <v>7815.65</v>
      </c>
      <c r="L93" s="1">
        <f ca="1">financials[[#This Row],[Units Sold]]*financials[[#This Row],[Manufacturing Price]]</f>
        <v>4330</v>
      </c>
      <c r="M93" s="1">
        <f ca="1">financials[[#This Row],[Sales]]-financials[[#This Row],[COGS]]</f>
        <v>3485.6499999999996</v>
      </c>
      <c r="N93" s="7">
        <f t="shared" ca="1" si="3"/>
        <v>45516</v>
      </c>
      <c r="O93" s="8">
        <f ca="1">MONTH(financials[[#This Row],[Date]])</f>
        <v>8</v>
      </c>
      <c r="P93" s="6" t="str">
        <f ca="1">TEXT(financials[[#This Row],[Date]],"MMM")</f>
        <v>Aug</v>
      </c>
      <c r="Q93">
        <f ca="1">YEAR(financials[[#This Row],[Date]])</f>
        <v>2024</v>
      </c>
      <c r="S93" s="10"/>
    </row>
    <row r="94" spans="1:19" x14ac:dyDescent="0.3">
      <c r="A94" t="s">
        <v>27</v>
      </c>
      <c r="B94" t="s">
        <v>20</v>
      </c>
      <c r="C94" s="6" t="s">
        <v>30</v>
      </c>
      <c r="D94" s="6" t="str">
        <f>CONCATENATE(financials[[#This Row],[Segment]],",",financials[[#This Row],[Country]],",",financials[[#This Row],[Product]])</f>
        <v>Small Business,Germany,VTT</v>
      </c>
      <c r="E94" s="6" t="s">
        <v>32</v>
      </c>
      <c r="F94">
        <f t="shared" ca="1" si="2"/>
        <v>227</v>
      </c>
      <c r="G94" s="1">
        <f ca="1">VLOOKUP(financials[[#This Row],[ID]],Prices!D:F,2,FALSE)</f>
        <v>18</v>
      </c>
      <c r="H94" s="1">
        <f ca="1">VLOOKUP(financials[[#This Row],[ID]],Prices!D:F,3,FALSE)</f>
        <v>38</v>
      </c>
      <c r="I94" s="1">
        <f ca="1">financials[[#This Row],[Units Sold]]*financials[[#This Row],[Sale Price]]</f>
        <v>8626</v>
      </c>
      <c r="J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431.3</v>
      </c>
      <c r="K94" s="1">
        <f ca="1">financials[[#This Row],[Gross Sales]]-financials[[#This Row],[Discounts]]</f>
        <v>8194.7000000000007</v>
      </c>
      <c r="L94" s="1">
        <f ca="1">financials[[#This Row],[Units Sold]]*financials[[#This Row],[Manufacturing Price]]</f>
        <v>4086</v>
      </c>
      <c r="M94" s="1">
        <f ca="1">financials[[#This Row],[Sales]]-financials[[#This Row],[COGS]]</f>
        <v>4108.7000000000007</v>
      </c>
      <c r="N94" s="7">
        <f t="shared" ca="1" si="3"/>
        <v>45131</v>
      </c>
      <c r="O94" s="8">
        <f ca="1">MONTH(financials[[#This Row],[Date]])</f>
        <v>7</v>
      </c>
      <c r="P94" s="6" t="str">
        <f ca="1">TEXT(financials[[#This Row],[Date]],"MMM")</f>
        <v>Jul</v>
      </c>
      <c r="Q94">
        <f ca="1">YEAR(financials[[#This Row],[Date]])</f>
        <v>2023</v>
      </c>
      <c r="S94" s="10"/>
    </row>
    <row r="95" spans="1:19" x14ac:dyDescent="0.3">
      <c r="A95" t="s">
        <v>27</v>
      </c>
      <c r="B95" t="s">
        <v>23</v>
      </c>
      <c r="C95" s="6" t="s">
        <v>30</v>
      </c>
      <c r="D95" s="6" t="str">
        <f>CONCATENATE(financials[[#This Row],[Segment]],",",financials[[#This Row],[Country]],",",financials[[#This Row],[Product]])</f>
        <v>Small Business,Mexico,VTT</v>
      </c>
      <c r="E95" s="6" t="s">
        <v>32</v>
      </c>
      <c r="F95">
        <f t="shared" ca="1" si="2"/>
        <v>562</v>
      </c>
      <c r="G95" s="1">
        <f ca="1">VLOOKUP(financials[[#This Row],[ID]],Prices!D:F,2,FALSE)</f>
        <v>17</v>
      </c>
      <c r="H95" s="1">
        <f ca="1">VLOOKUP(financials[[#This Row],[ID]],Prices!D:F,3,FALSE)</f>
        <v>36</v>
      </c>
      <c r="I95" s="1">
        <f ca="1">financials[[#This Row],[Units Sold]]*financials[[#This Row],[Sale Price]]</f>
        <v>20232</v>
      </c>
      <c r="J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1011.6</v>
      </c>
      <c r="K95" s="1">
        <f ca="1">financials[[#This Row],[Gross Sales]]-financials[[#This Row],[Discounts]]</f>
        <v>19220.400000000001</v>
      </c>
      <c r="L95" s="1">
        <f ca="1">financials[[#This Row],[Units Sold]]*financials[[#This Row],[Manufacturing Price]]</f>
        <v>9554</v>
      </c>
      <c r="M95" s="1">
        <f ca="1">financials[[#This Row],[Sales]]-financials[[#This Row],[COGS]]</f>
        <v>9666.4000000000015</v>
      </c>
      <c r="N95" s="7">
        <f t="shared" ca="1" si="3"/>
        <v>45501</v>
      </c>
      <c r="O95" s="8">
        <f ca="1">MONTH(financials[[#This Row],[Date]])</f>
        <v>7</v>
      </c>
      <c r="P95" s="6" t="str">
        <f ca="1">TEXT(financials[[#This Row],[Date]],"MMM")</f>
        <v>Jul</v>
      </c>
      <c r="Q95">
        <f ca="1">YEAR(financials[[#This Row],[Date]])</f>
        <v>2024</v>
      </c>
      <c r="S95" s="10"/>
    </row>
    <row r="96" spans="1:19" x14ac:dyDescent="0.3">
      <c r="A96" t="s">
        <v>16</v>
      </c>
      <c r="B96" t="s">
        <v>23</v>
      </c>
      <c r="C96" s="6" t="s">
        <v>30</v>
      </c>
      <c r="D96" s="6" t="str">
        <f>CONCATENATE(financials[[#This Row],[Segment]],",",financials[[#This Row],[Country]],",",financials[[#This Row],[Product]])</f>
        <v>Government,Mexico,VTT</v>
      </c>
      <c r="E96" s="6" t="s">
        <v>32</v>
      </c>
      <c r="F96">
        <f t="shared" ca="1" si="2"/>
        <v>626</v>
      </c>
      <c r="G96" s="1">
        <f ca="1">VLOOKUP(financials[[#This Row],[ID]],Prices!D:F,2,FALSE)</f>
        <v>18</v>
      </c>
      <c r="H96" s="1">
        <f ca="1">VLOOKUP(financials[[#This Row],[ID]],Prices!D:F,3,FALSE)</f>
        <v>20</v>
      </c>
      <c r="I96" s="1">
        <f ca="1">financials[[#This Row],[Units Sold]]*financials[[#This Row],[Sale Price]]</f>
        <v>12520</v>
      </c>
      <c r="J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626</v>
      </c>
      <c r="K96" s="1">
        <f ca="1">financials[[#This Row],[Gross Sales]]-financials[[#This Row],[Discounts]]</f>
        <v>11894</v>
      </c>
      <c r="L96" s="1">
        <f ca="1">financials[[#This Row],[Units Sold]]*financials[[#This Row],[Manufacturing Price]]</f>
        <v>11268</v>
      </c>
      <c r="M96" s="1">
        <f ca="1">financials[[#This Row],[Sales]]-financials[[#This Row],[COGS]]</f>
        <v>626</v>
      </c>
      <c r="N96" s="7">
        <f t="shared" ca="1" si="3"/>
        <v>45690</v>
      </c>
      <c r="O96" s="8">
        <f ca="1">MONTH(financials[[#This Row],[Date]])</f>
        <v>2</v>
      </c>
      <c r="P96" s="6" t="str">
        <f ca="1">TEXT(financials[[#This Row],[Date]],"MMM")</f>
        <v>Feb</v>
      </c>
      <c r="Q96">
        <f ca="1">YEAR(financials[[#This Row],[Date]])</f>
        <v>2025</v>
      </c>
      <c r="S96" s="10"/>
    </row>
    <row r="97" spans="1:19" x14ac:dyDescent="0.3">
      <c r="A97" t="s">
        <v>26</v>
      </c>
      <c r="B97" t="s">
        <v>22</v>
      </c>
      <c r="C97" s="6" t="s">
        <v>30</v>
      </c>
      <c r="D97" s="6" t="str">
        <f>CONCATENATE(financials[[#This Row],[Segment]],",",financials[[#This Row],[Country]],",",financials[[#This Row],[Product]])</f>
        <v>Enterprise,France,VTT</v>
      </c>
      <c r="E97" s="6" t="s">
        <v>32</v>
      </c>
      <c r="F97">
        <f t="shared" ca="1" si="2"/>
        <v>307</v>
      </c>
      <c r="G97" s="1">
        <f ca="1">VLOOKUP(financials[[#This Row],[ID]],Prices!D:F,2,FALSE)</f>
        <v>10</v>
      </c>
      <c r="H97" s="1">
        <f ca="1">VLOOKUP(financials[[#This Row],[ID]],Prices!D:F,3,FALSE)</f>
        <v>19</v>
      </c>
      <c r="I97" s="1">
        <f ca="1">financials[[#This Row],[Units Sold]]*financials[[#This Row],[Sale Price]]</f>
        <v>5833</v>
      </c>
      <c r="J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291.65000000000003</v>
      </c>
      <c r="K97" s="1">
        <f ca="1">financials[[#This Row],[Gross Sales]]-financials[[#This Row],[Discounts]]</f>
        <v>5541.35</v>
      </c>
      <c r="L97" s="1">
        <f ca="1">financials[[#This Row],[Units Sold]]*financials[[#This Row],[Manufacturing Price]]</f>
        <v>3070</v>
      </c>
      <c r="M97" s="1">
        <f ca="1">financials[[#This Row],[Sales]]-financials[[#This Row],[COGS]]</f>
        <v>2471.3500000000004</v>
      </c>
      <c r="N97" s="7">
        <f t="shared" ca="1" si="3"/>
        <v>45493</v>
      </c>
      <c r="O97" s="8">
        <f ca="1">MONTH(financials[[#This Row],[Date]])</f>
        <v>7</v>
      </c>
      <c r="P97" s="6" t="str">
        <f ca="1">TEXT(financials[[#This Row],[Date]],"MMM")</f>
        <v>Jul</v>
      </c>
      <c r="Q97">
        <f ca="1">YEAR(financials[[#This Row],[Date]])</f>
        <v>2024</v>
      </c>
      <c r="S97" s="10"/>
    </row>
    <row r="98" spans="1:19" x14ac:dyDescent="0.3">
      <c r="A98" t="s">
        <v>25</v>
      </c>
      <c r="B98" t="s">
        <v>36</v>
      </c>
      <c r="C98" s="6" t="s">
        <v>31</v>
      </c>
      <c r="D98" s="6" t="str">
        <f>CONCATENATE(financials[[#This Row],[Segment]],",",financials[[#This Row],[Country]],",",financials[[#This Row],[Product]])</f>
        <v>Channel Partners,USA,Amarilla</v>
      </c>
      <c r="E98" s="6" t="s">
        <v>32</v>
      </c>
      <c r="F98">
        <f t="shared" ca="1" si="2"/>
        <v>984</v>
      </c>
      <c r="G98" s="1">
        <f ca="1">VLOOKUP(financials[[#This Row],[ID]],Prices!D:F,2,FALSE)</f>
        <v>11</v>
      </c>
      <c r="H98" s="1">
        <f ca="1">VLOOKUP(financials[[#This Row],[ID]],Prices!D:F,3,FALSE)</f>
        <v>17</v>
      </c>
      <c r="I98" s="1">
        <f ca="1">financials[[#This Row],[Units Sold]]*financials[[#This Row],[Sale Price]]</f>
        <v>16728</v>
      </c>
      <c r="J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836.40000000000009</v>
      </c>
      <c r="K98" s="1">
        <f ca="1">financials[[#This Row],[Gross Sales]]-financials[[#This Row],[Discounts]]</f>
        <v>15891.6</v>
      </c>
      <c r="L98" s="1">
        <f ca="1">financials[[#This Row],[Units Sold]]*financials[[#This Row],[Manufacturing Price]]</f>
        <v>10824</v>
      </c>
      <c r="M98" s="1">
        <f ca="1">financials[[#This Row],[Sales]]-financials[[#This Row],[COGS]]</f>
        <v>5067.6000000000004</v>
      </c>
      <c r="N98" s="7">
        <f t="shared" ca="1" si="3"/>
        <v>45098</v>
      </c>
      <c r="O98" s="8">
        <f ca="1">MONTH(financials[[#This Row],[Date]])</f>
        <v>6</v>
      </c>
      <c r="P98" s="6" t="str">
        <f ca="1">TEXT(financials[[#This Row],[Date]],"MMM")</f>
        <v>Jun</v>
      </c>
      <c r="Q98">
        <f ca="1">YEAR(financials[[#This Row],[Date]])</f>
        <v>2023</v>
      </c>
      <c r="S98" s="10"/>
    </row>
    <row r="99" spans="1:19" x14ac:dyDescent="0.3">
      <c r="A99" t="s">
        <v>21</v>
      </c>
      <c r="B99" t="s">
        <v>22</v>
      </c>
      <c r="C99" s="6" t="s">
        <v>31</v>
      </c>
      <c r="D99" s="6" t="str">
        <f>CONCATENATE(financials[[#This Row],[Segment]],",",financials[[#This Row],[Country]],",",financials[[#This Row],[Product]])</f>
        <v>Midmarket,France,Amarilla</v>
      </c>
      <c r="E99" s="6" t="s">
        <v>32</v>
      </c>
      <c r="F99">
        <f t="shared" ca="1" si="2"/>
        <v>660</v>
      </c>
      <c r="G99" s="1">
        <f ca="1">VLOOKUP(financials[[#This Row],[ID]],Prices!D:F,2,FALSE)</f>
        <v>19</v>
      </c>
      <c r="H99" s="1">
        <f ca="1">VLOOKUP(financials[[#This Row],[ID]],Prices!D:F,3,FALSE)</f>
        <v>38</v>
      </c>
      <c r="I99" s="1">
        <f ca="1">financials[[#This Row],[Units Sold]]*financials[[#This Row],[Sale Price]]</f>
        <v>25080</v>
      </c>
      <c r="J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1254</v>
      </c>
      <c r="K99" s="1">
        <f ca="1">financials[[#This Row],[Gross Sales]]-financials[[#This Row],[Discounts]]</f>
        <v>23826</v>
      </c>
      <c r="L99" s="1">
        <f ca="1">financials[[#This Row],[Units Sold]]*financials[[#This Row],[Manufacturing Price]]</f>
        <v>12540</v>
      </c>
      <c r="M99" s="1">
        <f ca="1">financials[[#This Row],[Sales]]-financials[[#This Row],[COGS]]</f>
        <v>11286</v>
      </c>
      <c r="N99" s="7">
        <f t="shared" ca="1" si="3"/>
        <v>45189</v>
      </c>
      <c r="O99" s="8">
        <f ca="1">MONTH(financials[[#This Row],[Date]])</f>
        <v>9</v>
      </c>
      <c r="P99" s="6" t="str">
        <f ca="1">TEXT(financials[[#This Row],[Date]],"MMM")</f>
        <v>Sep</v>
      </c>
      <c r="Q99">
        <f ca="1">YEAR(financials[[#This Row],[Date]])</f>
        <v>2023</v>
      </c>
      <c r="S99" s="10"/>
    </row>
    <row r="100" spans="1:19" x14ac:dyDescent="0.3">
      <c r="A100" t="s">
        <v>26</v>
      </c>
      <c r="B100" t="s">
        <v>17</v>
      </c>
      <c r="C100" s="6" t="s">
        <v>18</v>
      </c>
      <c r="D100" s="6" t="str">
        <f>CONCATENATE(financials[[#This Row],[Segment]],",",financials[[#This Row],[Country]],",",financials[[#This Row],[Product]])</f>
        <v>Enterprise,Canada,Carretera</v>
      </c>
      <c r="E100" s="6" t="s">
        <v>32</v>
      </c>
      <c r="F100">
        <f t="shared" ca="1" si="2"/>
        <v>67</v>
      </c>
      <c r="G100" s="1">
        <f ca="1">VLOOKUP(financials[[#This Row],[ID]],Prices!D:F,2,FALSE)</f>
        <v>11</v>
      </c>
      <c r="H100" s="1">
        <f ca="1">VLOOKUP(financials[[#This Row],[ID]],Prices!D:F,3,FALSE)</f>
        <v>30</v>
      </c>
      <c r="I100" s="1">
        <f ca="1">financials[[#This Row],[Units Sold]]*financials[[#This Row],[Sale Price]]</f>
        <v>2010</v>
      </c>
      <c r="J1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100.5</v>
      </c>
      <c r="K100" s="1">
        <f ca="1">financials[[#This Row],[Gross Sales]]-financials[[#This Row],[Discounts]]</f>
        <v>1909.5</v>
      </c>
      <c r="L100" s="1">
        <f ca="1">financials[[#This Row],[Units Sold]]*financials[[#This Row],[Manufacturing Price]]</f>
        <v>737</v>
      </c>
      <c r="M100" s="1">
        <f ca="1">financials[[#This Row],[Sales]]-financials[[#This Row],[COGS]]</f>
        <v>1172.5</v>
      </c>
      <c r="N100" s="7">
        <f t="shared" ca="1" si="3"/>
        <v>45105</v>
      </c>
      <c r="O100" s="8">
        <f ca="1">MONTH(financials[[#This Row],[Date]])</f>
        <v>6</v>
      </c>
      <c r="P100" s="6" t="str">
        <f ca="1">TEXT(financials[[#This Row],[Date]],"MMM")</f>
        <v>Jun</v>
      </c>
      <c r="Q100">
        <f ca="1">YEAR(financials[[#This Row],[Date]])</f>
        <v>2023</v>
      </c>
      <c r="S100" s="10"/>
    </row>
    <row r="101" spans="1:19" x14ac:dyDescent="0.3">
      <c r="A101" t="s">
        <v>25</v>
      </c>
      <c r="B101" t="s">
        <v>17</v>
      </c>
      <c r="C101" s="6" t="s">
        <v>18</v>
      </c>
      <c r="D101" s="6" t="str">
        <f>CONCATENATE(financials[[#This Row],[Segment]],",",financials[[#This Row],[Country]],",",financials[[#This Row],[Product]])</f>
        <v>Channel Partners,Canada,Carretera</v>
      </c>
      <c r="E101" s="6" t="s">
        <v>32</v>
      </c>
      <c r="F101">
        <f t="shared" ca="1" si="2"/>
        <v>700</v>
      </c>
      <c r="G101" s="1">
        <f ca="1">VLOOKUP(financials[[#This Row],[ID]],Prices!D:F,2,FALSE)</f>
        <v>17</v>
      </c>
      <c r="H101" s="1">
        <f ca="1">VLOOKUP(financials[[#This Row],[ID]],Prices!D:F,3,FALSE)</f>
        <v>24</v>
      </c>
      <c r="I101" s="1">
        <f ca="1">financials[[#This Row],[Units Sold]]*financials[[#This Row],[Sale Price]]</f>
        <v>16800</v>
      </c>
      <c r="J1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840</v>
      </c>
      <c r="K101" s="1">
        <f ca="1">financials[[#This Row],[Gross Sales]]-financials[[#This Row],[Discounts]]</f>
        <v>15960</v>
      </c>
      <c r="L101" s="1">
        <f ca="1">financials[[#This Row],[Units Sold]]*financials[[#This Row],[Manufacturing Price]]</f>
        <v>11900</v>
      </c>
      <c r="M101" s="1">
        <f ca="1">financials[[#This Row],[Sales]]-financials[[#This Row],[COGS]]</f>
        <v>4060</v>
      </c>
      <c r="N101" s="7">
        <f t="shared" ca="1" si="3"/>
        <v>45364</v>
      </c>
      <c r="O101" s="8">
        <f ca="1">MONTH(financials[[#This Row],[Date]])</f>
        <v>3</v>
      </c>
      <c r="P101" s="6" t="str">
        <f ca="1">TEXT(financials[[#This Row],[Date]],"MMM")</f>
        <v>Mar</v>
      </c>
      <c r="Q101">
        <f ca="1">YEAR(financials[[#This Row],[Date]])</f>
        <v>2024</v>
      </c>
      <c r="S101" s="10"/>
    </row>
    <row r="102" spans="1:19" x14ac:dyDescent="0.3">
      <c r="A102" t="s">
        <v>27</v>
      </c>
      <c r="B102" t="s">
        <v>20</v>
      </c>
      <c r="C102" s="6" t="s">
        <v>18</v>
      </c>
      <c r="D102" s="6" t="str">
        <f>CONCATENATE(financials[[#This Row],[Segment]],",",financials[[#This Row],[Country]],",",financials[[#This Row],[Product]])</f>
        <v>Small Business,Germany,Carretera</v>
      </c>
      <c r="E102" s="6" t="s">
        <v>32</v>
      </c>
      <c r="F102">
        <f t="shared" ca="1" si="2"/>
        <v>671</v>
      </c>
      <c r="G102" s="1">
        <f ca="1">VLOOKUP(financials[[#This Row],[ID]],Prices!D:F,2,FALSE)</f>
        <v>20</v>
      </c>
      <c r="H102" s="1">
        <f ca="1">VLOOKUP(financials[[#This Row],[ID]],Prices!D:F,3,FALSE)</f>
        <v>30</v>
      </c>
      <c r="I102" s="1">
        <f ca="1">financials[[#This Row],[Units Sold]]*financials[[#This Row],[Sale Price]]</f>
        <v>20130</v>
      </c>
      <c r="J1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1006.5</v>
      </c>
      <c r="K102" s="1">
        <f ca="1">financials[[#This Row],[Gross Sales]]-financials[[#This Row],[Discounts]]</f>
        <v>19123.5</v>
      </c>
      <c r="L102" s="1">
        <f ca="1">financials[[#This Row],[Units Sold]]*financials[[#This Row],[Manufacturing Price]]</f>
        <v>13420</v>
      </c>
      <c r="M102" s="1">
        <f ca="1">financials[[#This Row],[Sales]]-financials[[#This Row],[COGS]]</f>
        <v>5703.5</v>
      </c>
      <c r="N102" s="7">
        <f t="shared" ca="1" si="3"/>
        <v>45175</v>
      </c>
      <c r="O102" s="8">
        <f ca="1">MONTH(financials[[#This Row],[Date]])</f>
        <v>9</v>
      </c>
      <c r="P102" s="6" t="str">
        <f ca="1">TEXT(financials[[#This Row],[Date]],"MMM")</f>
        <v>Sep</v>
      </c>
      <c r="Q102">
        <f ca="1">YEAR(financials[[#This Row],[Date]])</f>
        <v>2023</v>
      </c>
      <c r="S102" s="10"/>
    </row>
    <row r="103" spans="1:19" x14ac:dyDescent="0.3">
      <c r="A103" t="s">
        <v>16</v>
      </c>
      <c r="B103" t="s">
        <v>22</v>
      </c>
      <c r="C103" s="6" t="s">
        <v>18</v>
      </c>
      <c r="D103" s="6" t="str">
        <f>CONCATENATE(financials[[#This Row],[Segment]],",",financials[[#This Row],[Country]],",",financials[[#This Row],[Product]])</f>
        <v>Government,France,Carretera</v>
      </c>
      <c r="E103" s="6" t="s">
        <v>32</v>
      </c>
      <c r="F103">
        <f t="shared" ca="1" si="2"/>
        <v>642</v>
      </c>
      <c r="G103" s="1">
        <f ca="1">VLOOKUP(financials[[#This Row],[ID]],Prices!D:F,2,FALSE)</f>
        <v>12</v>
      </c>
      <c r="H103" s="1">
        <f ca="1">VLOOKUP(financials[[#This Row],[ID]],Prices!D:F,3,FALSE)</f>
        <v>38</v>
      </c>
      <c r="I103" s="1">
        <f ca="1">financials[[#This Row],[Units Sold]]*financials[[#This Row],[Sale Price]]</f>
        <v>24396</v>
      </c>
      <c r="J1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1219.8</v>
      </c>
      <c r="K103" s="1">
        <f ca="1">financials[[#This Row],[Gross Sales]]-financials[[#This Row],[Discounts]]</f>
        <v>23176.2</v>
      </c>
      <c r="L103" s="1">
        <f ca="1">financials[[#This Row],[Units Sold]]*financials[[#This Row],[Manufacturing Price]]</f>
        <v>7704</v>
      </c>
      <c r="M103" s="1">
        <f ca="1">financials[[#This Row],[Sales]]-financials[[#This Row],[COGS]]</f>
        <v>15472.2</v>
      </c>
      <c r="N103" s="7">
        <f t="shared" ca="1" si="3"/>
        <v>45090</v>
      </c>
      <c r="O103" s="8">
        <f ca="1">MONTH(financials[[#This Row],[Date]])</f>
        <v>6</v>
      </c>
      <c r="P103" s="6" t="str">
        <f ca="1">TEXT(financials[[#This Row],[Date]],"MMM")</f>
        <v>Jun</v>
      </c>
      <c r="Q103">
        <f ca="1">YEAR(financials[[#This Row],[Date]])</f>
        <v>2023</v>
      </c>
      <c r="S103" s="10"/>
    </row>
    <row r="104" spans="1:19" x14ac:dyDescent="0.3">
      <c r="A104" t="s">
        <v>16</v>
      </c>
      <c r="B104" t="s">
        <v>17</v>
      </c>
      <c r="C104" s="6" t="s">
        <v>18</v>
      </c>
      <c r="D104" s="6" t="str">
        <f>CONCATENATE(financials[[#This Row],[Segment]],",",financials[[#This Row],[Country]],",",financials[[#This Row],[Product]])</f>
        <v>Government,Canada,Carretera</v>
      </c>
      <c r="E104" s="6" t="s">
        <v>32</v>
      </c>
      <c r="F104">
        <f t="shared" ca="1" si="2"/>
        <v>115</v>
      </c>
      <c r="G104" s="1">
        <f ca="1">VLOOKUP(financials[[#This Row],[ID]],Prices!D:F,2,FALSE)</f>
        <v>20</v>
      </c>
      <c r="H104" s="1">
        <f ca="1">VLOOKUP(financials[[#This Row],[ID]],Prices!D:F,3,FALSE)</f>
        <v>29</v>
      </c>
      <c r="I104" s="1">
        <f ca="1">financials[[#This Row],[Units Sold]]*financials[[#This Row],[Sale Price]]</f>
        <v>3335</v>
      </c>
      <c r="J1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166.75</v>
      </c>
      <c r="K104" s="1">
        <f ca="1">financials[[#This Row],[Gross Sales]]-financials[[#This Row],[Discounts]]</f>
        <v>3168.25</v>
      </c>
      <c r="L104" s="1">
        <f ca="1">financials[[#This Row],[Units Sold]]*financials[[#This Row],[Manufacturing Price]]</f>
        <v>2300</v>
      </c>
      <c r="M104" s="1">
        <f ca="1">financials[[#This Row],[Sales]]-financials[[#This Row],[COGS]]</f>
        <v>868.25</v>
      </c>
      <c r="N104" s="7">
        <f t="shared" ca="1" si="3"/>
        <v>45423</v>
      </c>
      <c r="O104" s="8">
        <f ca="1">MONTH(financials[[#This Row],[Date]])</f>
        <v>5</v>
      </c>
      <c r="P104" s="6" t="str">
        <f ca="1">TEXT(financials[[#This Row],[Date]],"MMM")</f>
        <v>May</v>
      </c>
      <c r="Q104">
        <f ca="1">YEAR(financials[[#This Row],[Date]])</f>
        <v>2024</v>
      </c>
      <c r="S104" s="10"/>
    </row>
    <row r="105" spans="1:19" x14ac:dyDescent="0.3">
      <c r="A105" t="s">
        <v>25</v>
      </c>
      <c r="B105" t="s">
        <v>36</v>
      </c>
      <c r="C105" s="6" t="s">
        <v>24</v>
      </c>
      <c r="D105" s="6" t="str">
        <f>CONCATENATE(financials[[#This Row],[Segment]],",",financials[[#This Row],[Country]],",",financials[[#This Row],[Product]])</f>
        <v>Channel Partners,USA,Montana</v>
      </c>
      <c r="E105" s="6" t="s">
        <v>32</v>
      </c>
      <c r="F105">
        <f t="shared" ca="1" si="2"/>
        <v>611</v>
      </c>
      <c r="G105" s="1">
        <f ca="1">VLOOKUP(financials[[#This Row],[ID]],Prices!D:F,2,FALSE)</f>
        <v>12</v>
      </c>
      <c r="H105" s="1">
        <f ca="1">VLOOKUP(financials[[#This Row],[ID]],Prices!D:F,3,FALSE)</f>
        <v>38</v>
      </c>
      <c r="I105" s="1">
        <f ca="1">financials[[#This Row],[Units Sold]]*financials[[#This Row],[Sale Price]]</f>
        <v>23218</v>
      </c>
      <c r="J1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1160.9000000000001</v>
      </c>
      <c r="K105" s="1">
        <f ca="1">financials[[#This Row],[Gross Sales]]-financials[[#This Row],[Discounts]]</f>
        <v>22057.1</v>
      </c>
      <c r="L105" s="1">
        <f ca="1">financials[[#This Row],[Units Sold]]*financials[[#This Row],[Manufacturing Price]]</f>
        <v>7332</v>
      </c>
      <c r="M105" s="1">
        <f ca="1">financials[[#This Row],[Sales]]-financials[[#This Row],[COGS]]</f>
        <v>14725.099999999999</v>
      </c>
      <c r="N105" s="7">
        <f t="shared" ca="1" si="3"/>
        <v>45103</v>
      </c>
      <c r="O105" s="8">
        <f ca="1">MONTH(financials[[#This Row],[Date]])</f>
        <v>6</v>
      </c>
      <c r="P105" s="6" t="str">
        <f ca="1">TEXT(financials[[#This Row],[Date]],"MMM")</f>
        <v>Jun</v>
      </c>
      <c r="Q105">
        <f ca="1">YEAR(financials[[#This Row],[Date]])</f>
        <v>2023</v>
      </c>
      <c r="S105" s="10"/>
    </row>
    <row r="106" spans="1:19" x14ac:dyDescent="0.3">
      <c r="A106" t="s">
        <v>16</v>
      </c>
      <c r="B106" t="s">
        <v>36</v>
      </c>
      <c r="C106" s="6" t="s">
        <v>24</v>
      </c>
      <c r="D106" s="6" t="str">
        <f>CONCATENATE(financials[[#This Row],[Segment]],",",financials[[#This Row],[Country]],",",financials[[#This Row],[Product]])</f>
        <v>Government,USA,Montana</v>
      </c>
      <c r="E106" s="6" t="s">
        <v>32</v>
      </c>
      <c r="F106">
        <f t="shared" ca="1" si="2"/>
        <v>310</v>
      </c>
      <c r="G106" s="1">
        <f ca="1">VLOOKUP(financials[[#This Row],[ID]],Prices!D:F,2,FALSE)</f>
        <v>10</v>
      </c>
      <c r="H106" s="1">
        <f ca="1">VLOOKUP(financials[[#This Row],[ID]],Prices!D:F,3,FALSE)</f>
        <v>34</v>
      </c>
      <c r="I106" s="1">
        <f ca="1">financials[[#This Row],[Units Sold]]*financials[[#This Row],[Sale Price]]</f>
        <v>10540</v>
      </c>
      <c r="J1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527</v>
      </c>
      <c r="K106" s="1">
        <f ca="1">financials[[#This Row],[Gross Sales]]-financials[[#This Row],[Discounts]]</f>
        <v>10013</v>
      </c>
      <c r="L106" s="1">
        <f ca="1">financials[[#This Row],[Units Sold]]*financials[[#This Row],[Manufacturing Price]]</f>
        <v>3100</v>
      </c>
      <c r="M106" s="1">
        <f ca="1">financials[[#This Row],[Sales]]-financials[[#This Row],[COGS]]</f>
        <v>6913</v>
      </c>
      <c r="N106" s="7">
        <f t="shared" ca="1" si="3"/>
        <v>45491</v>
      </c>
      <c r="O106" s="8">
        <f ca="1">MONTH(financials[[#This Row],[Date]])</f>
        <v>7</v>
      </c>
      <c r="P106" s="6" t="str">
        <f ca="1">TEXT(financials[[#This Row],[Date]],"MMM")</f>
        <v>Jul</v>
      </c>
      <c r="Q106">
        <f ca="1">YEAR(financials[[#This Row],[Date]])</f>
        <v>2024</v>
      </c>
      <c r="S106" s="10"/>
    </row>
    <row r="107" spans="1:19" x14ac:dyDescent="0.3">
      <c r="A107" t="s">
        <v>25</v>
      </c>
      <c r="B107" t="s">
        <v>23</v>
      </c>
      <c r="C107" s="6" t="s">
        <v>24</v>
      </c>
      <c r="D107" s="6" t="str">
        <f>CONCATENATE(financials[[#This Row],[Segment]],",",financials[[#This Row],[Country]],",",financials[[#This Row],[Product]])</f>
        <v>Channel Partners,Mexico,Montana</v>
      </c>
      <c r="E107" s="6" t="s">
        <v>32</v>
      </c>
      <c r="F107">
        <f t="shared" ca="1" si="2"/>
        <v>442</v>
      </c>
      <c r="G107" s="1">
        <f ca="1">VLOOKUP(financials[[#This Row],[ID]],Prices!D:F,2,FALSE)</f>
        <v>15</v>
      </c>
      <c r="H107" s="1">
        <f ca="1">VLOOKUP(financials[[#This Row],[ID]],Prices!D:F,3,FALSE)</f>
        <v>17</v>
      </c>
      <c r="I107" s="1">
        <f ca="1">financials[[#This Row],[Units Sold]]*financials[[#This Row],[Sale Price]]</f>
        <v>7514</v>
      </c>
      <c r="J1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375.70000000000005</v>
      </c>
      <c r="K107" s="1">
        <f ca="1">financials[[#This Row],[Gross Sales]]-financials[[#This Row],[Discounts]]</f>
        <v>7138.3</v>
      </c>
      <c r="L107" s="1">
        <f ca="1">financials[[#This Row],[Units Sold]]*financials[[#This Row],[Manufacturing Price]]</f>
        <v>6630</v>
      </c>
      <c r="M107" s="1">
        <f ca="1">financials[[#This Row],[Sales]]-financials[[#This Row],[COGS]]</f>
        <v>508.30000000000018</v>
      </c>
      <c r="N107" s="7">
        <f t="shared" ca="1" si="3"/>
        <v>45237</v>
      </c>
      <c r="O107" s="8">
        <f ca="1">MONTH(financials[[#This Row],[Date]])</f>
        <v>11</v>
      </c>
      <c r="P107" s="6" t="str">
        <f ca="1">TEXT(financials[[#This Row],[Date]],"MMM")</f>
        <v>Nov</v>
      </c>
      <c r="Q107">
        <f ca="1">YEAR(financials[[#This Row],[Date]])</f>
        <v>2023</v>
      </c>
      <c r="S107" s="10"/>
    </row>
    <row r="108" spans="1:19" x14ac:dyDescent="0.3">
      <c r="A108" t="s">
        <v>26</v>
      </c>
      <c r="B108" t="s">
        <v>23</v>
      </c>
      <c r="C108" s="6" t="s">
        <v>24</v>
      </c>
      <c r="D108" s="6" t="str">
        <f>CONCATENATE(financials[[#This Row],[Segment]],",",financials[[#This Row],[Country]],",",financials[[#This Row],[Product]])</f>
        <v>Enterprise,Mexico,Montana</v>
      </c>
      <c r="E108" s="6" t="s">
        <v>32</v>
      </c>
      <c r="F108">
        <f t="shared" ca="1" si="2"/>
        <v>137</v>
      </c>
      <c r="G108" s="1">
        <f ca="1">VLOOKUP(financials[[#This Row],[ID]],Prices!D:F,2,FALSE)</f>
        <v>10</v>
      </c>
      <c r="H108" s="1">
        <f ca="1">VLOOKUP(financials[[#This Row],[ID]],Prices!D:F,3,FALSE)</f>
        <v>31</v>
      </c>
      <c r="I108" s="1">
        <f ca="1">financials[[#This Row],[Units Sold]]*financials[[#This Row],[Sale Price]]</f>
        <v>4247</v>
      </c>
      <c r="J1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212.35000000000002</v>
      </c>
      <c r="K108" s="1">
        <f ca="1">financials[[#This Row],[Gross Sales]]-financials[[#This Row],[Discounts]]</f>
        <v>4034.65</v>
      </c>
      <c r="L108" s="1">
        <f ca="1">financials[[#This Row],[Units Sold]]*financials[[#This Row],[Manufacturing Price]]</f>
        <v>1370</v>
      </c>
      <c r="M108" s="1">
        <f ca="1">financials[[#This Row],[Sales]]-financials[[#This Row],[COGS]]</f>
        <v>2664.65</v>
      </c>
      <c r="N108" s="7">
        <f t="shared" ca="1" si="3"/>
        <v>45724</v>
      </c>
      <c r="O108" s="8">
        <f ca="1">MONTH(financials[[#This Row],[Date]])</f>
        <v>3</v>
      </c>
      <c r="P108" s="6" t="str">
        <f ca="1">TEXT(financials[[#This Row],[Date]],"MMM")</f>
        <v>Mar</v>
      </c>
      <c r="Q108">
        <f ca="1">YEAR(financials[[#This Row],[Date]])</f>
        <v>2025</v>
      </c>
      <c r="S108" s="10"/>
    </row>
    <row r="109" spans="1:19" x14ac:dyDescent="0.3">
      <c r="A109" t="s">
        <v>21</v>
      </c>
      <c r="B109" t="s">
        <v>17</v>
      </c>
      <c r="C109" s="6" t="s">
        <v>28</v>
      </c>
      <c r="D109" s="6" t="str">
        <f>CONCATENATE(financials[[#This Row],[Segment]],",",financials[[#This Row],[Country]],",",financials[[#This Row],[Product]])</f>
        <v>Midmarket,Canada,Paseo</v>
      </c>
      <c r="E109" s="6" t="s">
        <v>32</v>
      </c>
      <c r="F109">
        <f t="shared" ca="1" si="2"/>
        <v>777</v>
      </c>
      <c r="G109" s="1">
        <f ca="1">VLOOKUP(financials[[#This Row],[ID]],Prices!D:F,2,FALSE)</f>
        <v>15</v>
      </c>
      <c r="H109" s="1">
        <f ca="1">VLOOKUP(financials[[#This Row],[ID]],Prices!D:F,3,FALSE)</f>
        <v>36</v>
      </c>
      <c r="I109" s="1">
        <f ca="1">financials[[#This Row],[Units Sold]]*financials[[#This Row],[Sale Price]]</f>
        <v>27972</v>
      </c>
      <c r="J1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1398.6000000000001</v>
      </c>
      <c r="K109" s="1">
        <f ca="1">financials[[#This Row],[Gross Sales]]-financials[[#This Row],[Discounts]]</f>
        <v>26573.4</v>
      </c>
      <c r="L109" s="1">
        <f ca="1">financials[[#This Row],[Units Sold]]*financials[[#This Row],[Manufacturing Price]]</f>
        <v>11655</v>
      </c>
      <c r="M109" s="1">
        <f ca="1">financials[[#This Row],[Sales]]-financials[[#This Row],[COGS]]</f>
        <v>14918.400000000001</v>
      </c>
      <c r="N109" s="7">
        <f t="shared" ca="1" si="3"/>
        <v>45027</v>
      </c>
      <c r="O109" s="8">
        <f ca="1">MONTH(financials[[#This Row],[Date]])</f>
        <v>4</v>
      </c>
      <c r="P109" s="6" t="str">
        <f ca="1">TEXT(financials[[#This Row],[Date]],"MMM")</f>
        <v>Apr</v>
      </c>
      <c r="Q109">
        <f ca="1">YEAR(financials[[#This Row],[Date]])</f>
        <v>2023</v>
      </c>
      <c r="S109" s="10"/>
    </row>
    <row r="110" spans="1:19" x14ac:dyDescent="0.3">
      <c r="A110" t="s">
        <v>27</v>
      </c>
      <c r="B110" t="s">
        <v>22</v>
      </c>
      <c r="C110" s="6" t="s">
        <v>28</v>
      </c>
      <c r="D110" s="6" t="str">
        <f>CONCATENATE(financials[[#This Row],[Segment]],",",financials[[#This Row],[Country]],",",financials[[#This Row],[Product]])</f>
        <v>Small Business,France,Paseo</v>
      </c>
      <c r="E110" s="6" t="s">
        <v>32</v>
      </c>
      <c r="F110">
        <f t="shared" ca="1" si="2"/>
        <v>97</v>
      </c>
      <c r="G110" s="1">
        <f ca="1">VLOOKUP(financials[[#This Row],[ID]],Prices!D:F,2,FALSE)</f>
        <v>16</v>
      </c>
      <c r="H110" s="1">
        <f ca="1">VLOOKUP(financials[[#This Row],[ID]],Prices!D:F,3,FALSE)</f>
        <v>29</v>
      </c>
      <c r="I110" s="1">
        <f ca="1">financials[[#This Row],[Units Sold]]*financials[[#This Row],[Sale Price]]</f>
        <v>2813</v>
      </c>
      <c r="J1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140.65</v>
      </c>
      <c r="K110" s="1">
        <f ca="1">financials[[#This Row],[Gross Sales]]-financials[[#This Row],[Discounts]]</f>
        <v>2672.35</v>
      </c>
      <c r="L110" s="1">
        <f ca="1">financials[[#This Row],[Units Sold]]*financials[[#This Row],[Manufacturing Price]]</f>
        <v>1552</v>
      </c>
      <c r="M110" s="1">
        <f ca="1">financials[[#This Row],[Sales]]-financials[[#This Row],[COGS]]</f>
        <v>1120.3499999999999</v>
      </c>
      <c r="N110" s="7">
        <f t="shared" ca="1" si="3"/>
        <v>45505</v>
      </c>
      <c r="O110" s="8">
        <f ca="1">MONTH(financials[[#This Row],[Date]])</f>
        <v>8</v>
      </c>
      <c r="P110" s="6" t="str">
        <f ca="1">TEXT(financials[[#This Row],[Date]],"MMM")</f>
        <v>Aug</v>
      </c>
      <c r="Q110">
        <f ca="1">YEAR(financials[[#This Row],[Date]])</f>
        <v>2024</v>
      </c>
      <c r="S110" s="10"/>
    </row>
    <row r="111" spans="1:19" x14ac:dyDescent="0.3">
      <c r="A111" t="s">
        <v>27</v>
      </c>
      <c r="B111" t="s">
        <v>20</v>
      </c>
      <c r="C111" s="6" t="s">
        <v>28</v>
      </c>
      <c r="D111" s="6" t="str">
        <f>CONCATENATE(financials[[#This Row],[Segment]],",",financials[[#This Row],[Country]],",",financials[[#This Row],[Product]])</f>
        <v>Small Business,Germany,Paseo</v>
      </c>
      <c r="E111" s="6" t="s">
        <v>32</v>
      </c>
      <c r="F111">
        <f t="shared" ca="1" si="2"/>
        <v>784</v>
      </c>
      <c r="G111" s="1">
        <f ca="1">VLOOKUP(financials[[#This Row],[ID]],Prices!D:F,2,FALSE)</f>
        <v>19</v>
      </c>
      <c r="H111" s="1">
        <f ca="1">VLOOKUP(financials[[#This Row],[ID]],Prices!D:F,3,FALSE)</f>
        <v>25</v>
      </c>
      <c r="I111" s="1">
        <f ca="1">financials[[#This Row],[Units Sold]]*financials[[#This Row],[Sale Price]]</f>
        <v>19600</v>
      </c>
      <c r="J1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980</v>
      </c>
      <c r="K111" s="1">
        <f ca="1">financials[[#This Row],[Gross Sales]]-financials[[#This Row],[Discounts]]</f>
        <v>18620</v>
      </c>
      <c r="L111" s="1">
        <f ca="1">financials[[#This Row],[Units Sold]]*financials[[#This Row],[Manufacturing Price]]</f>
        <v>14896</v>
      </c>
      <c r="M111" s="1">
        <f ca="1">financials[[#This Row],[Sales]]-financials[[#This Row],[COGS]]</f>
        <v>3724</v>
      </c>
      <c r="N111" s="7">
        <f t="shared" ca="1" si="3"/>
        <v>45236</v>
      </c>
      <c r="O111" s="8">
        <f ca="1">MONTH(financials[[#This Row],[Date]])</f>
        <v>11</v>
      </c>
      <c r="P111" s="6" t="str">
        <f ca="1">TEXT(financials[[#This Row],[Date]],"MMM")</f>
        <v>Nov</v>
      </c>
      <c r="Q111">
        <f ca="1">YEAR(financials[[#This Row],[Date]])</f>
        <v>2023</v>
      </c>
      <c r="S111" s="10"/>
    </row>
    <row r="112" spans="1:19" x14ac:dyDescent="0.3">
      <c r="A112" t="s">
        <v>25</v>
      </c>
      <c r="B112" t="s">
        <v>36</v>
      </c>
      <c r="C112" s="6" t="s">
        <v>28</v>
      </c>
      <c r="D112" s="6" t="str">
        <f>CONCATENATE(financials[[#This Row],[Segment]],",",financials[[#This Row],[Country]],",",financials[[#This Row],[Product]])</f>
        <v>Channel Partners,USA,Paseo</v>
      </c>
      <c r="E112" s="6" t="s">
        <v>32</v>
      </c>
      <c r="F112">
        <f t="shared" ca="1" si="2"/>
        <v>409</v>
      </c>
      <c r="G112" s="1">
        <f ca="1">VLOOKUP(financials[[#This Row],[ID]],Prices!D:F,2,FALSE)</f>
        <v>19</v>
      </c>
      <c r="H112" s="1">
        <f ca="1">VLOOKUP(financials[[#This Row],[ID]],Prices!D:F,3,FALSE)</f>
        <v>26</v>
      </c>
      <c r="I112" s="1">
        <f ca="1">financials[[#This Row],[Units Sold]]*financials[[#This Row],[Sale Price]]</f>
        <v>10634</v>
      </c>
      <c r="J1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531.70000000000005</v>
      </c>
      <c r="K112" s="1">
        <f ca="1">financials[[#This Row],[Gross Sales]]-financials[[#This Row],[Discounts]]</f>
        <v>10102.299999999999</v>
      </c>
      <c r="L112" s="1">
        <f ca="1">financials[[#This Row],[Units Sold]]*financials[[#This Row],[Manufacturing Price]]</f>
        <v>7771</v>
      </c>
      <c r="M112" s="1">
        <f ca="1">financials[[#This Row],[Sales]]-financials[[#This Row],[COGS]]</f>
        <v>2331.2999999999993</v>
      </c>
      <c r="N112" s="7">
        <f t="shared" ca="1" si="3"/>
        <v>45175</v>
      </c>
      <c r="O112" s="8">
        <f ca="1">MONTH(financials[[#This Row],[Date]])</f>
        <v>9</v>
      </c>
      <c r="P112" s="6" t="str">
        <f ca="1">TEXT(financials[[#This Row],[Date]],"MMM")</f>
        <v>Sep</v>
      </c>
      <c r="Q112">
        <f ca="1">YEAR(financials[[#This Row],[Date]])</f>
        <v>2023</v>
      </c>
      <c r="S112" s="10"/>
    </row>
    <row r="113" spans="1:19" x14ac:dyDescent="0.3">
      <c r="A113" t="s">
        <v>26</v>
      </c>
      <c r="B113" t="s">
        <v>23</v>
      </c>
      <c r="C113" s="6" t="s">
        <v>28</v>
      </c>
      <c r="D113" s="6" t="str">
        <f>CONCATENATE(financials[[#This Row],[Segment]],",",financials[[#This Row],[Country]],",",financials[[#This Row],[Product]])</f>
        <v>Enterprise,Mexico,Paseo</v>
      </c>
      <c r="E113" s="6" t="s">
        <v>32</v>
      </c>
      <c r="F113">
        <f t="shared" ca="1" si="2"/>
        <v>50</v>
      </c>
      <c r="G113" s="1">
        <f ca="1">VLOOKUP(financials[[#This Row],[ID]],Prices!D:F,2,FALSE)</f>
        <v>17</v>
      </c>
      <c r="H113" s="1">
        <f ca="1">VLOOKUP(financials[[#This Row],[ID]],Prices!D:F,3,FALSE)</f>
        <v>27</v>
      </c>
      <c r="I113" s="1">
        <f ca="1">financials[[#This Row],[Units Sold]]*financials[[#This Row],[Sale Price]]</f>
        <v>1350</v>
      </c>
      <c r="J1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67.5</v>
      </c>
      <c r="K113" s="1">
        <f ca="1">financials[[#This Row],[Gross Sales]]-financials[[#This Row],[Discounts]]</f>
        <v>1282.5</v>
      </c>
      <c r="L113" s="1">
        <f ca="1">financials[[#This Row],[Units Sold]]*financials[[#This Row],[Manufacturing Price]]</f>
        <v>850</v>
      </c>
      <c r="M113" s="1">
        <f ca="1">financials[[#This Row],[Sales]]-financials[[#This Row],[COGS]]</f>
        <v>432.5</v>
      </c>
      <c r="N113" s="7">
        <f t="shared" ca="1" si="3"/>
        <v>45739</v>
      </c>
      <c r="O113" s="8">
        <f ca="1">MONTH(financials[[#This Row],[Date]])</f>
        <v>3</v>
      </c>
      <c r="P113" s="6" t="str">
        <f ca="1">TEXT(financials[[#This Row],[Date]],"MMM")</f>
        <v>Mar</v>
      </c>
      <c r="Q113">
        <f ca="1">YEAR(financials[[#This Row],[Date]])</f>
        <v>2025</v>
      </c>
      <c r="S113" s="10"/>
    </row>
    <row r="114" spans="1:19" x14ac:dyDescent="0.3">
      <c r="A114" t="s">
        <v>25</v>
      </c>
      <c r="B114" t="s">
        <v>17</v>
      </c>
      <c r="C114" s="6" t="s">
        <v>28</v>
      </c>
      <c r="D114" s="6" t="str">
        <f>CONCATENATE(financials[[#This Row],[Segment]],",",financials[[#This Row],[Country]],",",financials[[#This Row],[Product]])</f>
        <v>Channel Partners,Canada,Paseo</v>
      </c>
      <c r="E114" s="6" t="s">
        <v>32</v>
      </c>
      <c r="F114">
        <f t="shared" ca="1" si="2"/>
        <v>802</v>
      </c>
      <c r="G114" s="1">
        <f ca="1">VLOOKUP(financials[[#This Row],[ID]],Prices!D:F,2,FALSE)</f>
        <v>13</v>
      </c>
      <c r="H114" s="1">
        <f ca="1">VLOOKUP(financials[[#This Row],[ID]],Prices!D:F,3,FALSE)</f>
        <v>26</v>
      </c>
      <c r="I114" s="1">
        <f ca="1">financials[[#This Row],[Units Sold]]*financials[[#This Row],[Sale Price]]</f>
        <v>20852</v>
      </c>
      <c r="J1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1042.6000000000001</v>
      </c>
      <c r="K114" s="1">
        <f ca="1">financials[[#This Row],[Gross Sales]]-financials[[#This Row],[Discounts]]</f>
        <v>19809.400000000001</v>
      </c>
      <c r="L114" s="1">
        <f ca="1">financials[[#This Row],[Units Sold]]*financials[[#This Row],[Manufacturing Price]]</f>
        <v>10426</v>
      </c>
      <c r="M114" s="1">
        <f ca="1">financials[[#This Row],[Sales]]-financials[[#This Row],[COGS]]</f>
        <v>9383.4000000000015</v>
      </c>
      <c r="N114" s="7">
        <f t="shared" ca="1" si="3"/>
        <v>45283</v>
      </c>
      <c r="O114" s="8">
        <f ca="1">MONTH(financials[[#This Row],[Date]])</f>
        <v>12</v>
      </c>
      <c r="P114" s="6" t="str">
        <f ca="1">TEXT(financials[[#This Row],[Date]],"MMM")</f>
        <v>Dec</v>
      </c>
      <c r="Q114">
        <f ca="1">YEAR(financials[[#This Row],[Date]])</f>
        <v>2023</v>
      </c>
      <c r="S114" s="10"/>
    </row>
    <row r="115" spans="1:19" x14ac:dyDescent="0.3">
      <c r="A115" t="s">
        <v>26</v>
      </c>
      <c r="B115" t="s">
        <v>20</v>
      </c>
      <c r="C115" s="6" t="s">
        <v>28</v>
      </c>
      <c r="D115" s="6" t="str">
        <f>CONCATENATE(financials[[#This Row],[Segment]],",",financials[[#This Row],[Country]],",",financials[[#This Row],[Product]])</f>
        <v>Enterprise,Germany,Paseo</v>
      </c>
      <c r="E115" s="6" t="s">
        <v>32</v>
      </c>
      <c r="F115">
        <f t="shared" ca="1" si="2"/>
        <v>72</v>
      </c>
      <c r="G115" s="1">
        <f ca="1">VLOOKUP(financials[[#This Row],[ID]],Prices!D:F,2,FALSE)</f>
        <v>14</v>
      </c>
      <c r="H115" s="1">
        <f ca="1">VLOOKUP(financials[[#This Row],[ID]],Prices!D:F,3,FALSE)</f>
        <v>18</v>
      </c>
      <c r="I115" s="1">
        <f ca="1">financials[[#This Row],[Units Sold]]*financials[[#This Row],[Sale Price]]</f>
        <v>1296</v>
      </c>
      <c r="J1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64.8</v>
      </c>
      <c r="K115" s="1">
        <f ca="1">financials[[#This Row],[Gross Sales]]-financials[[#This Row],[Discounts]]</f>
        <v>1231.2</v>
      </c>
      <c r="L115" s="1">
        <f ca="1">financials[[#This Row],[Units Sold]]*financials[[#This Row],[Manufacturing Price]]</f>
        <v>1008</v>
      </c>
      <c r="M115" s="1">
        <f ca="1">financials[[#This Row],[Sales]]-financials[[#This Row],[COGS]]</f>
        <v>223.20000000000005</v>
      </c>
      <c r="N115" s="7">
        <f t="shared" ca="1" si="3"/>
        <v>45746</v>
      </c>
      <c r="O115" s="8">
        <f ca="1">MONTH(financials[[#This Row],[Date]])</f>
        <v>3</v>
      </c>
      <c r="P115" s="6" t="str">
        <f ca="1">TEXT(financials[[#This Row],[Date]],"MMM")</f>
        <v>Mar</v>
      </c>
      <c r="Q115">
        <f ca="1">YEAR(financials[[#This Row],[Date]])</f>
        <v>2025</v>
      </c>
      <c r="S115" s="10"/>
    </row>
    <row r="116" spans="1:19" x14ac:dyDescent="0.3">
      <c r="A116" t="s">
        <v>26</v>
      </c>
      <c r="B116" t="s">
        <v>23</v>
      </c>
      <c r="C116" s="6" t="s">
        <v>28</v>
      </c>
      <c r="D116" s="6" t="str">
        <f>CONCATENATE(financials[[#This Row],[Segment]],",",financials[[#This Row],[Country]],",",financials[[#This Row],[Product]])</f>
        <v>Enterprise,Mexico,Paseo</v>
      </c>
      <c r="E116" s="6" t="s">
        <v>32</v>
      </c>
      <c r="F116">
        <f t="shared" ca="1" si="2"/>
        <v>633</v>
      </c>
      <c r="G116" s="1">
        <f ca="1">VLOOKUP(financials[[#This Row],[ID]],Prices!D:F,2,FALSE)</f>
        <v>17</v>
      </c>
      <c r="H116" s="1">
        <f ca="1">VLOOKUP(financials[[#This Row],[ID]],Prices!D:F,3,FALSE)</f>
        <v>27</v>
      </c>
      <c r="I116" s="1">
        <f ca="1">financials[[#This Row],[Units Sold]]*financials[[#This Row],[Sale Price]]</f>
        <v>17091</v>
      </c>
      <c r="J1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854.55000000000007</v>
      </c>
      <c r="K116" s="1">
        <f ca="1">financials[[#This Row],[Gross Sales]]-financials[[#This Row],[Discounts]]</f>
        <v>16236.45</v>
      </c>
      <c r="L116" s="1">
        <f ca="1">financials[[#This Row],[Units Sold]]*financials[[#This Row],[Manufacturing Price]]</f>
        <v>10761</v>
      </c>
      <c r="M116" s="1">
        <f ca="1">financials[[#This Row],[Sales]]-financials[[#This Row],[COGS]]</f>
        <v>5475.4500000000007</v>
      </c>
      <c r="N116" s="7">
        <f t="shared" ca="1" si="3"/>
        <v>45463</v>
      </c>
      <c r="O116" s="8">
        <f ca="1">MONTH(financials[[#This Row],[Date]])</f>
        <v>6</v>
      </c>
      <c r="P116" s="6" t="str">
        <f ca="1">TEXT(financials[[#This Row],[Date]],"MMM")</f>
        <v>Jun</v>
      </c>
      <c r="Q116">
        <f ca="1">YEAR(financials[[#This Row],[Date]])</f>
        <v>2024</v>
      </c>
      <c r="S116" s="10"/>
    </row>
    <row r="117" spans="1:19" x14ac:dyDescent="0.3">
      <c r="A117" t="s">
        <v>25</v>
      </c>
      <c r="B117" t="s">
        <v>22</v>
      </c>
      <c r="C117" s="6" t="s">
        <v>28</v>
      </c>
      <c r="D117" s="6" t="str">
        <f>CONCATENATE(financials[[#This Row],[Segment]],",",financials[[#This Row],[Country]],",",financials[[#This Row],[Product]])</f>
        <v>Channel Partners,France,Paseo</v>
      </c>
      <c r="E117" s="6" t="s">
        <v>32</v>
      </c>
      <c r="F117">
        <f t="shared" ca="1" si="2"/>
        <v>761</v>
      </c>
      <c r="G117" s="1">
        <f ca="1">VLOOKUP(financials[[#This Row],[ID]],Prices!D:F,2,FALSE)</f>
        <v>14</v>
      </c>
      <c r="H117" s="1">
        <f ca="1">VLOOKUP(financials[[#This Row],[ID]],Prices!D:F,3,FALSE)</f>
        <v>30</v>
      </c>
      <c r="I117" s="1">
        <f ca="1">financials[[#This Row],[Units Sold]]*financials[[#This Row],[Sale Price]]</f>
        <v>22830</v>
      </c>
      <c r="J1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1141.5</v>
      </c>
      <c r="K117" s="1">
        <f ca="1">financials[[#This Row],[Gross Sales]]-financials[[#This Row],[Discounts]]</f>
        <v>21688.5</v>
      </c>
      <c r="L117" s="1">
        <f ca="1">financials[[#This Row],[Units Sold]]*financials[[#This Row],[Manufacturing Price]]</f>
        <v>10654</v>
      </c>
      <c r="M117" s="1">
        <f ca="1">financials[[#This Row],[Sales]]-financials[[#This Row],[COGS]]</f>
        <v>11034.5</v>
      </c>
      <c r="N117" s="7">
        <f t="shared" ca="1" si="3"/>
        <v>45605</v>
      </c>
      <c r="O117" s="8">
        <f ca="1">MONTH(financials[[#This Row],[Date]])</f>
        <v>11</v>
      </c>
      <c r="P117" s="6" t="str">
        <f ca="1">TEXT(financials[[#This Row],[Date]],"MMM")</f>
        <v>Nov</v>
      </c>
      <c r="Q117">
        <f ca="1">YEAR(financials[[#This Row],[Date]])</f>
        <v>2024</v>
      </c>
      <c r="S117" s="10"/>
    </row>
    <row r="118" spans="1:19" x14ac:dyDescent="0.3">
      <c r="A118" t="s">
        <v>27</v>
      </c>
      <c r="B118" t="s">
        <v>17</v>
      </c>
      <c r="C118" s="6" t="s">
        <v>28</v>
      </c>
      <c r="D118" s="6" t="str">
        <f>CONCATENATE(financials[[#This Row],[Segment]],",",financials[[#This Row],[Country]],",",financials[[#This Row],[Product]])</f>
        <v>Small Business,Canada,Paseo</v>
      </c>
      <c r="E118" s="6" t="s">
        <v>32</v>
      </c>
      <c r="F118">
        <f t="shared" ca="1" si="2"/>
        <v>487</v>
      </c>
      <c r="G118" s="1">
        <f ca="1">VLOOKUP(financials[[#This Row],[ID]],Prices!D:F,2,FALSE)</f>
        <v>20</v>
      </c>
      <c r="H118" s="1">
        <f ca="1">VLOOKUP(financials[[#This Row],[ID]],Prices!D:F,3,FALSE)</f>
        <v>31</v>
      </c>
      <c r="I118" s="1">
        <f ca="1">financials[[#This Row],[Units Sold]]*financials[[#This Row],[Sale Price]]</f>
        <v>15097</v>
      </c>
      <c r="J1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754.85</v>
      </c>
      <c r="K118" s="1">
        <f ca="1">financials[[#This Row],[Gross Sales]]-financials[[#This Row],[Discounts]]</f>
        <v>14342.15</v>
      </c>
      <c r="L118" s="1">
        <f ca="1">financials[[#This Row],[Units Sold]]*financials[[#This Row],[Manufacturing Price]]</f>
        <v>9740</v>
      </c>
      <c r="M118" s="1">
        <f ca="1">financials[[#This Row],[Sales]]-financials[[#This Row],[COGS]]</f>
        <v>4602.1499999999996</v>
      </c>
      <c r="N118" s="7">
        <f t="shared" ca="1" si="3"/>
        <v>45237</v>
      </c>
      <c r="O118" s="8">
        <f ca="1">MONTH(financials[[#This Row],[Date]])</f>
        <v>11</v>
      </c>
      <c r="P118" s="6" t="str">
        <f ca="1">TEXT(financials[[#This Row],[Date]],"MMM")</f>
        <v>Nov</v>
      </c>
      <c r="Q118">
        <f ca="1">YEAR(financials[[#This Row],[Date]])</f>
        <v>2023</v>
      </c>
      <c r="S118" s="10"/>
    </row>
    <row r="119" spans="1:19" x14ac:dyDescent="0.3">
      <c r="A119" t="s">
        <v>16</v>
      </c>
      <c r="B119" t="s">
        <v>17</v>
      </c>
      <c r="C119" s="6" t="s">
        <v>28</v>
      </c>
      <c r="D119" s="6" t="str">
        <f>CONCATENATE(financials[[#This Row],[Segment]],",",financials[[#This Row],[Country]],",",financials[[#This Row],[Product]])</f>
        <v>Government,Canada,Paseo</v>
      </c>
      <c r="E119" s="6" t="s">
        <v>32</v>
      </c>
      <c r="F119">
        <f t="shared" ca="1" si="2"/>
        <v>603</v>
      </c>
      <c r="G119" s="1">
        <f ca="1">VLOOKUP(financials[[#This Row],[ID]],Prices!D:F,2,FALSE)</f>
        <v>10</v>
      </c>
      <c r="H119" s="1">
        <f ca="1">VLOOKUP(financials[[#This Row],[ID]],Prices!D:F,3,FALSE)</f>
        <v>23</v>
      </c>
      <c r="I119" s="1">
        <f ca="1">financials[[#This Row],[Units Sold]]*financials[[#This Row],[Sale Price]]</f>
        <v>13869</v>
      </c>
      <c r="J1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693.45</v>
      </c>
      <c r="K119" s="1">
        <f ca="1">financials[[#This Row],[Gross Sales]]-financials[[#This Row],[Discounts]]</f>
        <v>13175.55</v>
      </c>
      <c r="L119" s="1">
        <f ca="1">financials[[#This Row],[Units Sold]]*financials[[#This Row],[Manufacturing Price]]</f>
        <v>6030</v>
      </c>
      <c r="M119" s="1">
        <f ca="1">financials[[#This Row],[Sales]]-financials[[#This Row],[COGS]]</f>
        <v>7145.5499999999993</v>
      </c>
      <c r="N119" s="7">
        <f t="shared" ca="1" si="3"/>
        <v>45416</v>
      </c>
      <c r="O119" s="8">
        <f ca="1">MONTH(financials[[#This Row],[Date]])</f>
        <v>5</v>
      </c>
      <c r="P119" s="6" t="str">
        <f ca="1">TEXT(financials[[#This Row],[Date]],"MMM")</f>
        <v>May</v>
      </c>
      <c r="Q119">
        <f ca="1">YEAR(financials[[#This Row],[Date]])</f>
        <v>2024</v>
      </c>
      <c r="S119" s="10"/>
    </row>
    <row r="120" spans="1:19" x14ac:dyDescent="0.3">
      <c r="A120" t="s">
        <v>26</v>
      </c>
      <c r="B120" t="s">
        <v>17</v>
      </c>
      <c r="C120" s="6" t="s">
        <v>28</v>
      </c>
      <c r="D120" s="6" t="str">
        <f>CONCATENATE(financials[[#This Row],[Segment]],",",financials[[#This Row],[Country]],",",financials[[#This Row],[Product]])</f>
        <v>Enterprise,Canada,Paseo</v>
      </c>
      <c r="E120" s="6" t="s">
        <v>32</v>
      </c>
      <c r="F120">
        <f t="shared" ca="1" si="2"/>
        <v>819</v>
      </c>
      <c r="G120" s="1">
        <f ca="1">VLOOKUP(financials[[#This Row],[ID]],Prices!D:F,2,FALSE)</f>
        <v>15</v>
      </c>
      <c r="H120" s="1">
        <f ca="1">VLOOKUP(financials[[#This Row],[ID]],Prices!D:F,3,FALSE)</f>
        <v>23</v>
      </c>
      <c r="I120" s="1">
        <f ca="1">financials[[#This Row],[Units Sold]]*financials[[#This Row],[Sale Price]]</f>
        <v>18837</v>
      </c>
      <c r="J1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941.85</v>
      </c>
      <c r="K120" s="1">
        <f ca="1">financials[[#This Row],[Gross Sales]]-financials[[#This Row],[Discounts]]</f>
        <v>17895.150000000001</v>
      </c>
      <c r="L120" s="1">
        <f ca="1">financials[[#This Row],[Units Sold]]*financials[[#This Row],[Manufacturing Price]]</f>
        <v>12285</v>
      </c>
      <c r="M120" s="1">
        <f ca="1">financials[[#This Row],[Sales]]-financials[[#This Row],[COGS]]</f>
        <v>5610.1500000000015</v>
      </c>
      <c r="N120" s="7">
        <f t="shared" ca="1" si="3"/>
        <v>45695</v>
      </c>
      <c r="O120" s="8">
        <f ca="1">MONTH(financials[[#This Row],[Date]])</f>
        <v>2</v>
      </c>
      <c r="P120" s="6" t="str">
        <f ca="1">TEXT(financials[[#This Row],[Date]],"MMM")</f>
        <v>Feb</v>
      </c>
      <c r="Q120">
        <f ca="1">YEAR(financials[[#This Row],[Date]])</f>
        <v>2025</v>
      </c>
      <c r="S120" s="10"/>
    </row>
    <row r="121" spans="1:19" x14ac:dyDescent="0.3">
      <c r="A121" t="s">
        <v>21</v>
      </c>
      <c r="B121" t="s">
        <v>36</v>
      </c>
      <c r="C121" s="6" t="s">
        <v>28</v>
      </c>
      <c r="D121" s="6" t="str">
        <f>CONCATENATE(financials[[#This Row],[Segment]],",",financials[[#This Row],[Country]],",",financials[[#This Row],[Product]])</f>
        <v>Midmarket,USA,Paseo</v>
      </c>
      <c r="E121" s="6" t="s">
        <v>32</v>
      </c>
      <c r="F121">
        <f t="shared" ca="1" si="2"/>
        <v>606</v>
      </c>
      <c r="G121" s="1">
        <f ca="1">VLOOKUP(financials[[#This Row],[ID]],Prices!D:F,2,FALSE)</f>
        <v>13</v>
      </c>
      <c r="H121" s="1">
        <f ca="1">VLOOKUP(financials[[#This Row],[ID]],Prices!D:F,3,FALSE)</f>
        <v>25</v>
      </c>
      <c r="I121" s="1">
        <f ca="1">financials[[#This Row],[Units Sold]]*financials[[#This Row],[Sale Price]]</f>
        <v>15150</v>
      </c>
      <c r="J1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757.5</v>
      </c>
      <c r="K121" s="1">
        <f ca="1">financials[[#This Row],[Gross Sales]]-financials[[#This Row],[Discounts]]</f>
        <v>14392.5</v>
      </c>
      <c r="L121" s="1">
        <f ca="1">financials[[#This Row],[Units Sold]]*financials[[#This Row],[Manufacturing Price]]</f>
        <v>7878</v>
      </c>
      <c r="M121" s="1">
        <f ca="1">financials[[#This Row],[Sales]]-financials[[#This Row],[COGS]]</f>
        <v>6514.5</v>
      </c>
      <c r="N121" s="7">
        <f t="shared" ca="1" si="3"/>
        <v>45432</v>
      </c>
      <c r="O121" s="8">
        <f ca="1">MONTH(financials[[#This Row],[Date]])</f>
        <v>5</v>
      </c>
      <c r="P121" s="6" t="str">
        <f ca="1">TEXT(financials[[#This Row],[Date]],"MMM")</f>
        <v>May</v>
      </c>
      <c r="Q121">
        <f ca="1">YEAR(financials[[#This Row],[Date]])</f>
        <v>2024</v>
      </c>
      <c r="S121" s="10"/>
    </row>
    <row r="122" spans="1:19" x14ac:dyDescent="0.3">
      <c r="A122" t="s">
        <v>16</v>
      </c>
      <c r="B122" t="s">
        <v>36</v>
      </c>
      <c r="C122" s="6" t="s">
        <v>28</v>
      </c>
      <c r="D122" s="6" t="str">
        <f>CONCATENATE(financials[[#This Row],[Segment]],",",financials[[#This Row],[Country]],",",financials[[#This Row],[Product]])</f>
        <v>Government,USA,Paseo</v>
      </c>
      <c r="E122" s="6" t="s">
        <v>32</v>
      </c>
      <c r="F122">
        <f t="shared" ca="1" si="2"/>
        <v>151</v>
      </c>
      <c r="G122" s="1">
        <f ca="1">VLOOKUP(financials[[#This Row],[ID]],Prices!D:F,2,FALSE)</f>
        <v>17</v>
      </c>
      <c r="H122" s="1">
        <f ca="1">VLOOKUP(financials[[#This Row],[ID]],Prices!D:F,3,FALSE)</f>
        <v>36</v>
      </c>
      <c r="I122" s="1">
        <f ca="1">financials[[#This Row],[Units Sold]]*financials[[#This Row],[Sale Price]]</f>
        <v>5436</v>
      </c>
      <c r="J1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271.8</v>
      </c>
      <c r="K122" s="1">
        <f ca="1">financials[[#This Row],[Gross Sales]]-financials[[#This Row],[Discounts]]</f>
        <v>5164.2</v>
      </c>
      <c r="L122" s="1">
        <f ca="1">financials[[#This Row],[Units Sold]]*financials[[#This Row],[Manufacturing Price]]</f>
        <v>2567</v>
      </c>
      <c r="M122" s="1">
        <f ca="1">financials[[#This Row],[Sales]]-financials[[#This Row],[COGS]]</f>
        <v>2597.1999999999998</v>
      </c>
      <c r="N122" s="7">
        <f t="shared" ca="1" si="3"/>
        <v>45265</v>
      </c>
      <c r="O122" s="8">
        <f ca="1">MONTH(financials[[#This Row],[Date]])</f>
        <v>12</v>
      </c>
      <c r="P122" s="6" t="str">
        <f ca="1">TEXT(financials[[#This Row],[Date]],"MMM")</f>
        <v>Dec</v>
      </c>
      <c r="Q122">
        <f ca="1">YEAR(financials[[#This Row],[Date]])</f>
        <v>2023</v>
      </c>
      <c r="S122" s="10"/>
    </row>
    <row r="123" spans="1:19" x14ac:dyDescent="0.3">
      <c r="A123" t="s">
        <v>25</v>
      </c>
      <c r="B123" t="s">
        <v>22</v>
      </c>
      <c r="C123" s="6" t="s">
        <v>28</v>
      </c>
      <c r="D123" s="6" t="str">
        <f>CONCATENATE(financials[[#This Row],[Segment]],",",financials[[#This Row],[Country]],",",financials[[#This Row],[Product]])</f>
        <v>Channel Partners,France,Paseo</v>
      </c>
      <c r="E123" s="6" t="s">
        <v>32</v>
      </c>
      <c r="F123">
        <f t="shared" ca="1" si="2"/>
        <v>111</v>
      </c>
      <c r="G123" s="1">
        <f ca="1">VLOOKUP(financials[[#This Row],[ID]],Prices!D:F,2,FALSE)</f>
        <v>14</v>
      </c>
      <c r="H123" s="1">
        <f ca="1">VLOOKUP(financials[[#This Row],[ID]],Prices!D:F,3,FALSE)</f>
        <v>30</v>
      </c>
      <c r="I123" s="1">
        <f ca="1">financials[[#This Row],[Units Sold]]*financials[[#This Row],[Sale Price]]</f>
        <v>3330</v>
      </c>
      <c r="J1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166.5</v>
      </c>
      <c r="K123" s="1">
        <f ca="1">financials[[#This Row],[Gross Sales]]-financials[[#This Row],[Discounts]]</f>
        <v>3163.5</v>
      </c>
      <c r="L123" s="1">
        <f ca="1">financials[[#This Row],[Units Sold]]*financials[[#This Row],[Manufacturing Price]]</f>
        <v>1554</v>
      </c>
      <c r="M123" s="1">
        <f ca="1">financials[[#This Row],[Sales]]-financials[[#This Row],[COGS]]</f>
        <v>1609.5</v>
      </c>
      <c r="N123" s="7">
        <f t="shared" ca="1" si="3"/>
        <v>45234</v>
      </c>
      <c r="O123" s="8">
        <f ca="1">MONTH(financials[[#This Row],[Date]])</f>
        <v>11</v>
      </c>
      <c r="P123" s="6" t="str">
        <f ca="1">TEXT(financials[[#This Row],[Date]],"MMM")</f>
        <v>Nov</v>
      </c>
      <c r="Q123">
        <f ca="1">YEAR(financials[[#This Row],[Date]])</f>
        <v>2023</v>
      </c>
      <c r="S123" s="10"/>
    </row>
    <row r="124" spans="1:19" x14ac:dyDescent="0.3">
      <c r="A124" t="s">
        <v>25</v>
      </c>
      <c r="B124" t="s">
        <v>23</v>
      </c>
      <c r="C124" s="6" t="s">
        <v>28</v>
      </c>
      <c r="D124" s="6" t="str">
        <f>CONCATENATE(financials[[#This Row],[Segment]],",",financials[[#This Row],[Country]],",",financials[[#This Row],[Product]])</f>
        <v>Channel Partners,Mexico,Paseo</v>
      </c>
      <c r="E124" s="6" t="s">
        <v>32</v>
      </c>
      <c r="F124">
        <f t="shared" ca="1" si="2"/>
        <v>320</v>
      </c>
      <c r="G124" s="1">
        <f ca="1">VLOOKUP(financials[[#This Row],[ID]],Prices!D:F,2,FALSE)</f>
        <v>13</v>
      </c>
      <c r="H124" s="1">
        <f ca="1">VLOOKUP(financials[[#This Row],[ID]],Prices!D:F,3,FALSE)</f>
        <v>21</v>
      </c>
      <c r="I124" s="1">
        <f ca="1">financials[[#This Row],[Units Sold]]*financials[[#This Row],[Sale Price]]</f>
        <v>6720</v>
      </c>
      <c r="J1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336</v>
      </c>
      <c r="K124" s="1">
        <f ca="1">financials[[#This Row],[Gross Sales]]-financials[[#This Row],[Discounts]]</f>
        <v>6384</v>
      </c>
      <c r="L124" s="1">
        <f ca="1">financials[[#This Row],[Units Sold]]*financials[[#This Row],[Manufacturing Price]]</f>
        <v>4160</v>
      </c>
      <c r="M124" s="1">
        <f ca="1">financials[[#This Row],[Sales]]-financials[[#This Row],[COGS]]</f>
        <v>2224</v>
      </c>
      <c r="N124" s="7">
        <f t="shared" ca="1" si="3"/>
        <v>45203</v>
      </c>
      <c r="O124" s="8">
        <f ca="1">MONTH(financials[[#This Row],[Date]])</f>
        <v>10</v>
      </c>
      <c r="P124" s="6" t="str">
        <f ca="1">TEXT(financials[[#This Row],[Date]],"MMM")</f>
        <v>Oct</v>
      </c>
      <c r="Q124">
        <f ca="1">YEAR(financials[[#This Row],[Date]])</f>
        <v>2023</v>
      </c>
      <c r="S124" s="10"/>
    </row>
    <row r="125" spans="1:19" x14ac:dyDescent="0.3">
      <c r="A125" t="s">
        <v>16</v>
      </c>
      <c r="B125" t="s">
        <v>36</v>
      </c>
      <c r="C125" s="6" t="s">
        <v>29</v>
      </c>
      <c r="D125" s="6" t="str">
        <f>CONCATENATE(financials[[#This Row],[Segment]],",",financials[[#This Row],[Country]],",",financials[[#This Row],[Product]])</f>
        <v>Government,USA,Velo</v>
      </c>
      <c r="E125" s="6" t="s">
        <v>32</v>
      </c>
      <c r="F125">
        <f t="shared" ca="1" si="2"/>
        <v>851</v>
      </c>
      <c r="G125" s="1">
        <f ca="1">VLOOKUP(financials[[#This Row],[ID]],Prices!D:F,2,FALSE)</f>
        <v>18</v>
      </c>
      <c r="H125" s="1">
        <f ca="1">VLOOKUP(financials[[#This Row],[ID]],Prices!D:F,3,FALSE)</f>
        <v>38</v>
      </c>
      <c r="I125" s="1">
        <f ca="1">financials[[#This Row],[Units Sold]]*financials[[#This Row],[Sale Price]]</f>
        <v>32338</v>
      </c>
      <c r="J1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1616.9</v>
      </c>
      <c r="K125" s="1">
        <f ca="1">financials[[#This Row],[Gross Sales]]-financials[[#This Row],[Discounts]]</f>
        <v>30721.1</v>
      </c>
      <c r="L125" s="1">
        <f ca="1">financials[[#This Row],[Units Sold]]*financials[[#This Row],[Manufacturing Price]]</f>
        <v>15318</v>
      </c>
      <c r="M125" s="1">
        <f ca="1">financials[[#This Row],[Sales]]-financials[[#This Row],[COGS]]</f>
        <v>15403.099999999999</v>
      </c>
      <c r="N125" s="7">
        <f t="shared" ca="1" si="3"/>
        <v>45750</v>
      </c>
      <c r="O125" s="8">
        <f ca="1">MONTH(financials[[#This Row],[Date]])</f>
        <v>4</v>
      </c>
      <c r="P125" s="6" t="str">
        <f ca="1">TEXT(financials[[#This Row],[Date]],"MMM")</f>
        <v>Apr</v>
      </c>
      <c r="Q125">
        <f ca="1">YEAR(financials[[#This Row],[Date]])</f>
        <v>2025</v>
      </c>
      <c r="S125" s="10"/>
    </row>
    <row r="126" spans="1:19" x14ac:dyDescent="0.3">
      <c r="A126" t="s">
        <v>16</v>
      </c>
      <c r="B126" t="s">
        <v>20</v>
      </c>
      <c r="C126" s="6" t="s">
        <v>29</v>
      </c>
      <c r="D126" s="6" t="str">
        <f>CONCATENATE(financials[[#This Row],[Segment]],",",financials[[#This Row],[Country]],",",financials[[#This Row],[Product]])</f>
        <v>Government,Germany,Velo</v>
      </c>
      <c r="E126" s="6" t="s">
        <v>32</v>
      </c>
      <c r="F126">
        <f t="shared" ca="1" si="2"/>
        <v>682</v>
      </c>
      <c r="G126" s="1">
        <f ca="1">VLOOKUP(financials[[#This Row],[ID]],Prices!D:F,2,FALSE)</f>
        <v>13</v>
      </c>
      <c r="H126" s="1">
        <f ca="1">VLOOKUP(financials[[#This Row],[ID]],Prices!D:F,3,FALSE)</f>
        <v>19</v>
      </c>
      <c r="I126" s="1">
        <f ca="1">financials[[#This Row],[Units Sold]]*financials[[#This Row],[Sale Price]]</f>
        <v>12958</v>
      </c>
      <c r="J1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647.90000000000009</v>
      </c>
      <c r="K126" s="1">
        <f ca="1">financials[[#This Row],[Gross Sales]]-financials[[#This Row],[Discounts]]</f>
        <v>12310.1</v>
      </c>
      <c r="L126" s="1">
        <f ca="1">financials[[#This Row],[Units Sold]]*financials[[#This Row],[Manufacturing Price]]</f>
        <v>8866</v>
      </c>
      <c r="M126" s="1">
        <f ca="1">financials[[#This Row],[Sales]]-financials[[#This Row],[COGS]]</f>
        <v>3444.1000000000004</v>
      </c>
      <c r="N126" s="7">
        <f t="shared" ca="1" si="3"/>
        <v>45327</v>
      </c>
      <c r="O126" s="8">
        <f ca="1">MONTH(financials[[#This Row],[Date]])</f>
        <v>2</v>
      </c>
      <c r="P126" s="6" t="str">
        <f ca="1">TEXT(financials[[#This Row],[Date]],"MMM")</f>
        <v>Feb</v>
      </c>
      <c r="Q126">
        <f ca="1">YEAR(financials[[#This Row],[Date]])</f>
        <v>2024</v>
      </c>
      <c r="S126" s="10"/>
    </row>
    <row r="127" spans="1:19" x14ac:dyDescent="0.3">
      <c r="A127" t="s">
        <v>16</v>
      </c>
      <c r="B127" t="s">
        <v>20</v>
      </c>
      <c r="C127" s="6" t="s">
        <v>29</v>
      </c>
      <c r="D127" s="6" t="str">
        <f>CONCATENATE(financials[[#This Row],[Segment]],",",financials[[#This Row],[Country]],",",financials[[#This Row],[Product]])</f>
        <v>Government,Germany,Velo</v>
      </c>
      <c r="E127" s="6" t="s">
        <v>32</v>
      </c>
      <c r="F127">
        <f t="shared" ca="1" si="2"/>
        <v>377</v>
      </c>
      <c r="G127" s="1">
        <f ca="1">VLOOKUP(financials[[#This Row],[ID]],Prices!D:F,2,FALSE)</f>
        <v>13</v>
      </c>
      <c r="H127" s="1">
        <f ca="1">VLOOKUP(financials[[#This Row],[ID]],Prices!D:F,3,FALSE)</f>
        <v>19</v>
      </c>
      <c r="I127" s="1">
        <f ca="1">financials[[#This Row],[Units Sold]]*financials[[#This Row],[Sale Price]]</f>
        <v>7163</v>
      </c>
      <c r="J1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358.15000000000003</v>
      </c>
      <c r="K127" s="1">
        <f ca="1">financials[[#This Row],[Gross Sales]]-financials[[#This Row],[Discounts]]</f>
        <v>6804.85</v>
      </c>
      <c r="L127" s="1">
        <f ca="1">financials[[#This Row],[Units Sold]]*financials[[#This Row],[Manufacturing Price]]</f>
        <v>4901</v>
      </c>
      <c r="M127" s="1">
        <f ca="1">financials[[#This Row],[Sales]]-financials[[#This Row],[COGS]]</f>
        <v>1903.8500000000004</v>
      </c>
      <c r="N127" s="7">
        <f t="shared" ca="1" si="3"/>
        <v>45458</v>
      </c>
      <c r="O127" s="8">
        <f ca="1">MONTH(financials[[#This Row],[Date]])</f>
        <v>6</v>
      </c>
      <c r="P127" s="6" t="str">
        <f ca="1">TEXT(financials[[#This Row],[Date]],"MMM")</f>
        <v>Jun</v>
      </c>
      <c r="Q127">
        <f ca="1">YEAR(financials[[#This Row],[Date]])</f>
        <v>2024</v>
      </c>
      <c r="S127" s="10"/>
    </row>
    <row r="128" spans="1:19" x14ac:dyDescent="0.3">
      <c r="A128" t="s">
        <v>26</v>
      </c>
      <c r="B128" t="s">
        <v>20</v>
      </c>
      <c r="C128" s="6" t="s">
        <v>29</v>
      </c>
      <c r="D128" s="6" t="str">
        <f>CONCATENATE(financials[[#This Row],[Segment]],",",financials[[#This Row],[Country]],",",financials[[#This Row],[Product]])</f>
        <v>Enterprise,Germany,Velo</v>
      </c>
      <c r="E128" s="6" t="s">
        <v>32</v>
      </c>
      <c r="F128">
        <f t="shared" ca="1" si="2"/>
        <v>215</v>
      </c>
      <c r="G128" s="1">
        <f ca="1">VLOOKUP(financials[[#This Row],[ID]],Prices!D:F,2,FALSE)</f>
        <v>16</v>
      </c>
      <c r="H128" s="1">
        <f ca="1">VLOOKUP(financials[[#This Row],[ID]],Prices!D:F,3,FALSE)</f>
        <v>29</v>
      </c>
      <c r="I128" s="1">
        <f ca="1">financials[[#This Row],[Units Sold]]*financials[[#This Row],[Sale Price]]</f>
        <v>6235</v>
      </c>
      <c r="J1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311.75</v>
      </c>
      <c r="K128" s="1">
        <f ca="1">financials[[#This Row],[Gross Sales]]-financials[[#This Row],[Discounts]]</f>
        <v>5923.25</v>
      </c>
      <c r="L128" s="1">
        <f ca="1">financials[[#This Row],[Units Sold]]*financials[[#This Row],[Manufacturing Price]]</f>
        <v>3440</v>
      </c>
      <c r="M128" s="1">
        <f ca="1">financials[[#This Row],[Sales]]-financials[[#This Row],[COGS]]</f>
        <v>2483.25</v>
      </c>
      <c r="N128" s="7">
        <f t="shared" ca="1" si="3"/>
        <v>45526</v>
      </c>
      <c r="O128" s="8">
        <f ca="1">MONTH(financials[[#This Row],[Date]])</f>
        <v>8</v>
      </c>
      <c r="P128" s="6" t="str">
        <f ca="1">TEXT(financials[[#This Row],[Date]],"MMM")</f>
        <v>Aug</v>
      </c>
      <c r="Q128">
        <f ca="1">YEAR(financials[[#This Row],[Date]])</f>
        <v>2024</v>
      </c>
      <c r="S128" s="10"/>
    </row>
    <row r="129" spans="1:19" x14ac:dyDescent="0.3">
      <c r="A129" t="s">
        <v>26</v>
      </c>
      <c r="B129" t="s">
        <v>23</v>
      </c>
      <c r="C129" s="6" t="s">
        <v>29</v>
      </c>
      <c r="D129" s="6" t="str">
        <f>CONCATENATE(financials[[#This Row],[Segment]],",",financials[[#This Row],[Country]],",",financials[[#This Row],[Product]])</f>
        <v>Enterprise,Mexico,Velo</v>
      </c>
      <c r="E129" s="6" t="s">
        <v>32</v>
      </c>
      <c r="F129">
        <f t="shared" ca="1" si="2"/>
        <v>213</v>
      </c>
      <c r="G129" s="1">
        <f ca="1">VLOOKUP(financials[[#This Row],[ID]],Prices!D:F,2,FALSE)</f>
        <v>19</v>
      </c>
      <c r="H129" s="1">
        <f ca="1">VLOOKUP(financials[[#This Row],[ID]],Prices!D:F,3,FALSE)</f>
        <v>23</v>
      </c>
      <c r="I129" s="1">
        <f ca="1">financials[[#This Row],[Units Sold]]*financials[[#This Row],[Sale Price]]</f>
        <v>4899</v>
      </c>
      <c r="J1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244.95000000000002</v>
      </c>
      <c r="K129" s="1">
        <f ca="1">financials[[#This Row],[Gross Sales]]-financials[[#This Row],[Discounts]]</f>
        <v>4654.05</v>
      </c>
      <c r="L129" s="1">
        <f ca="1">financials[[#This Row],[Units Sold]]*financials[[#This Row],[Manufacturing Price]]</f>
        <v>4047</v>
      </c>
      <c r="M129" s="1">
        <f ca="1">financials[[#This Row],[Sales]]-financials[[#This Row],[COGS]]</f>
        <v>607.05000000000018</v>
      </c>
      <c r="N129" s="7">
        <f t="shared" ca="1" si="3"/>
        <v>45544</v>
      </c>
      <c r="O129" s="8">
        <f ca="1">MONTH(financials[[#This Row],[Date]])</f>
        <v>9</v>
      </c>
      <c r="P129" s="6" t="str">
        <f ca="1">TEXT(financials[[#This Row],[Date]],"MMM")</f>
        <v>Sep</v>
      </c>
      <c r="Q129">
        <f ca="1">YEAR(financials[[#This Row],[Date]])</f>
        <v>2024</v>
      </c>
      <c r="S129" s="10"/>
    </row>
    <row r="130" spans="1:19" x14ac:dyDescent="0.3">
      <c r="A130" t="s">
        <v>25</v>
      </c>
      <c r="B130" t="s">
        <v>22</v>
      </c>
      <c r="C130" s="6" t="s">
        <v>29</v>
      </c>
      <c r="D130" s="6" t="str">
        <f>CONCATENATE(financials[[#This Row],[Segment]],",",financials[[#This Row],[Country]],",",financials[[#This Row],[Product]])</f>
        <v>Channel Partners,France,Velo</v>
      </c>
      <c r="E130" s="6" t="s">
        <v>32</v>
      </c>
      <c r="F130">
        <f t="shared" ca="1" si="2"/>
        <v>870</v>
      </c>
      <c r="G130" s="1">
        <f ca="1">VLOOKUP(financials[[#This Row],[ID]],Prices!D:F,2,FALSE)</f>
        <v>18</v>
      </c>
      <c r="H130" s="1">
        <f ca="1">VLOOKUP(financials[[#This Row],[ID]],Prices!D:F,3,FALSE)</f>
        <v>26</v>
      </c>
      <c r="I130" s="1">
        <f ca="1">financials[[#This Row],[Units Sold]]*financials[[#This Row],[Sale Price]]</f>
        <v>22620</v>
      </c>
      <c r="J1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1131</v>
      </c>
      <c r="K130" s="1">
        <f ca="1">financials[[#This Row],[Gross Sales]]-financials[[#This Row],[Discounts]]</f>
        <v>21489</v>
      </c>
      <c r="L130" s="1">
        <f ca="1">financials[[#This Row],[Units Sold]]*financials[[#This Row],[Manufacturing Price]]</f>
        <v>15660</v>
      </c>
      <c r="M130" s="1">
        <f ca="1">financials[[#This Row],[Sales]]-financials[[#This Row],[COGS]]</f>
        <v>5829</v>
      </c>
      <c r="N130" s="7">
        <f t="shared" ca="1" si="3"/>
        <v>45103</v>
      </c>
      <c r="O130" s="8">
        <f ca="1">MONTH(financials[[#This Row],[Date]])</f>
        <v>6</v>
      </c>
      <c r="P130" s="6" t="str">
        <f ca="1">TEXT(financials[[#This Row],[Date]],"MMM")</f>
        <v>Jun</v>
      </c>
      <c r="Q130">
        <f ca="1">YEAR(financials[[#This Row],[Date]])</f>
        <v>2023</v>
      </c>
      <c r="S130" s="10"/>
    </row>
    <row r="131" spans="1:19" x14ac:dyDescent="0.3">
      <c r="A131" t="s">
        <v>16</v>
      </c>
      <c r="B131" t="s">
        <v>23</v>
      </c>
      <c r="C131" s="6" t="s">
        <v>29</v>
      </c>
      <c r="D131" s="6" t="str">
        <f>CONCATENATE(financials[[#This Row],[Segment]],",",financials[[#This Row],[Country]],",",financials[[#This Row],[Product]])</f>
        <v>Government,Mexico,Velo</v>
      </c>
      <c r="E131" s="6" t="s">
        <v>32</v>
      </c>
      <c r="F131">
        <f t="shared" ref="F131:F194" ca="1" si="4">RANDBETWEEN(10,1000)</f>
        <v>959</v>
      </c>
      <c r="G131" s="1">
        <f ca="1">VLOOKUP(financials[[#This Row],[ID]],Prices!D:F,2,FALSE)</f>
        <v>18</v>
      </c>
      <c r="H131" s="1">
        <f ca="1">VLOOKUP(financials[[#This Row],[ID]],Prices!D:F,3,FALSE)</f>
        <v>36</v>
      </c>
      <c r="I131" s="1">
        <f ca="1">financials[[#This Row],[Units Sold]]*financials[[#This Row],[Sale Price]]</f>
        <v>34524</v>
      </c>
      <c r="J1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1726.2</v>
      </c>
      <c r="K131" s="1">
        <f ca="1">financials[[#This Row],[Gross Sales]]-financials[[#This Row],[Discounts]]</f>
        <v>32797.800000000003</v>
      </c>
      <c r="L131" s="1">
        <f ca="1">financials[[#This Row],[Units Sold]]*financials[[#This Row],[Manufacturing Price]]</f>
        <v>17262</v>
      </c>
      <c r="M131" s="1">
        <f ca="1">financials[[#This Row],[Sales]]-financials[[#This Row],[COGS]]</f>
        <v>15535.800000000003</v>
      </c>
      <c r="N131" s="7">
        <f t="shared" ref="N131:N194" ca="1" si="5">TODAY()-RANDBETWEEN(1,732)</f>
        <v>45524</v>
      </c>
      <c r="O131" s="8">
        <f ca="1">MONTH(financials[[#This Row],[Date]])</f>
        <v>8</v>
      </c>
      <c r="P131" s="6" t="str">
        <f ca="1">TEXT(financials[[#This Row],[Date]],"MMM")</f>
        <v>Aug</v>
      </c>
      <c r="Q131">
        <f ca="1">YEAR(financials[[#This Row],[Date]])</f>
        <v>2024</v>
      </c>
      <c r="S131" s="10"/>
    </row>
    <row r="132" spans="1:19" x14ac:dyDescent="0.3">
      <c r="A132" t="s">
        <v>25</v>
      </c>
      <c r="B132" t="s">
        <v>23</v>
      </c>
      <c r="C132" s="6" t="s">
        <v>29</v>
      </c>
      <c r="D132" s="6" t="str">
        <f>CONCATENATE(financials[[#This Row],[Segment]],",",financials[[#This Row],[Country]],",",financials[[#This Row],[Product]])</f>
        <v>Channel Partners,Mexico,Velo</v>
      </c>
      <c r="E132" s="6" t="s">
        <v>32</v>
      </c>
      <c r="F132">
        <f t="shared" ca="1" si="4"/>
        <v>787</v>
      </c>
      <c r="G132" s="1">
        <f ca="1">VLOOKUP(financials[[#This Row],[ID]],Prices!D:F,2,FALSE)</f>
        <v>19</v>
      </c>
      <c r="H132" s="1">
        <f ca="1">VLOOKUP(financials[[#This Row],[ID]],Prices!D:F,3,FALSE)</f>
        <v>16</v>
      </c>
      <c r="I132" s="1">
        <f ca="1">financials[[#This Row],[Units Sold]]*financials[[#This Row],[Sale Price]]</f>
        <v>12592</v>
      </c>
      <c r="J1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629.6</v>
      </c>
      <c r="K132" s="1">
        <f ca="1">financials[[#This Row],[Gross Sales]]-financials[[#This Row],[Discounts]]</f>
        <v>11962.4</v>
      </c>
      <c r="L132" s="1">
        <f ca="1">financials[[#This Row],[Units Sold]]*financials[[#This Row],[Manufacturing Price]]</f>
        <v>14953</v>
      </c>
      <c r="M132" s="1">
        <f ca="1">financials[[#This Row],[Sales]]-financials[[#This Row],[COGS]]</f>
        <v>-2990.6000000000004</v>
      </c>
      <c r="N132" s="7">
        <f t="shared" ca="1" si="5"/>
        <v>45472</v>
      </c>
      <c r="O132" s="8">
        <f ca="1">MONTH(financials[[#This Row],[Date]])</f>
        <v>6</v>
      </c>
      <c r="P132" s="6" t="str">
        <f ca="1">TEXT(financials[[#This Row],[Date]],"MMM")</f>
        <v>Jun</v>
      </c>
      <c r="Q132">
        <f ca="1">YEAR(financials[[#This Row],[Date]])</f>
        <v>2024</v>
      </c>
      <c r="S132" s="10"/>
    </row>
    <row r="133" spans="1:19" x14ac:dyDescent="0.3">
      <c r="A133" t="s">
        <v>26</v>
      </c>
      <c r="B133" t="s">
        <v>23</v>
      </c>
      <c r="C133" s="6" t="s">
        <v>30</v>
      </c>
      <c r="D133" s="6" t="str">
        <f>CONCATENATE(financials[[#This Row],[Segment]],",",financials[[#This Row],[Country]],",",financials[[#This Row],[Product]])</f>
        <v>Enterprise,Mexico,VTT</v>
      </c>
      <c r="E133" s="6" t="s">
        <v>32</v>
      </c>
      <c r="F133">
        <f t="shared" ca="1" si="4"/>
        <v>626</v>
      </c>
      <c r="G133" s="1">
        <f ca="1">VLOOKUP(financials[[#This Row],[ID]],Prices!D:F,2,FALSE)</f>
        <v>15</v>
      </c>
      <c r="H133" s="1">
        <f ca="1">VLOOKUP(financials[[#This Row],[ID]],Prices!D:F,3,FALSE)</f>
        <v>38</v>
      </c>
      <c r="I133" s="1">
        <f ca="1">financials[[#This Row],[Units Sold]]*financials[[#This Row],[Sale Price]]</f>
        <v>23788</v>
      </c>
      <c r="J1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1189.4000000000001</v>
      </c>
      <c r="K133" s="1">
        <f ca="1">financials[[#This Row],[Gross Sales]]-financials[[#This Row],[Discounts]]</f>
        <v>22598.6</v>
      </c>
      <c r="L133" s="1">
        <f ca="1">financials[[#This Row],[Units Sold]]*financials[[#This Row],[Manufacturing Price]]</f>
        <v>9390</v>
      </c>
      <c r="M133" s="1">
        <f ca="1">financials[[#This Row],[Sales]]-financials[[#This Row],[COGS]]</f>
        <v>13208.599999999999</v>
      </c>
      <c r="N133" s="7">
        <f t="shared" ca="1" si="5"/>
        <v>45131</v>
      </c>
      <c r="O133" s="8">
        <f ca="1">MONTH(financials[[#This Row],[Date]])</f>
        <v>7</v>
      </c>
      <c r="P133" s="6" t="str">
        <f ca="1">TEXT(financials[[#This Row],[Date]],"MMM")</f>
        <v>Jul</v>
      </c>
      <c r="Q133">
        <f ca="1">YEAR(financials[[#This Row],[Date]])</f>
        <v>2023</v>
      </c>
      <c r="S133" s="10"/>
    </row>
    <row r="134" spans="1:19" x14ac:dyDescent="0.3">
      <c r="A134" t="s">
        <v>27</v>
      </c>
      <c r="B134" t="s">
        <v>20</v>
      </c>
      <c r="C134" s="6" t="s">
        <v>30</v>
      </c>
      <c r="D134" s="6" t="str">
        <f>CONCATENATE(financials[[#This Row],[Segment]],",",financials[[#This Row],[Country]],",",financials[[#This Row],[Product]])</f>
        <v>Small Business,Germany,VTT</v>
      </c>
      <c r="E134" s="6" t="s">
        <v>32</v>
      </c>
      <c r="F134">
        <f t="shared" ca="1" si="4"/>
        <v>268</v>
      </c>
      <c r="G134" s="1">
        <f ca="1">VLOOKUP(financials[[#This Row],[ID]],Prices!D:F,2,FALSE)</f>
        <v>18</v>
      </c>
      <c r="H134" s="1">
        <f ca="1">VLOOKUP(financials[[#This Row],[ID]],Prices!D:F,3,FALSE)</f>
        <v>38</v>
      </c>
      <c r="I134" s="1">
        <f ca="1">financials[[#This Row],[Units Sold]]*financials[[#This Row],[Sale Price]]</f>
        <v>10184</v>
      </c>
      <c r="J1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509.20000000000005</v>
      </c>
      <c r="K134" s="1">
        <f ca="1">financials[[#This Row],[Gross Sales]]-financials[[#This Row],[Discounts]]</f>
        <v>9674.7999999999993</v>
      </c>
      <c r="L134" s="1">
        <f ca="1">financials[[#This Row],[Units Sold]]*financials[[#This Row],[Manufacturing Price]]</f>
        <v>4824</v>
      </c>
      <c r="M134" s="1">
        <f ca="1">financials[[#This Row],[Sales]]-financials[[#This Row],[COGS]]</f>
        <v>4850.7999999999993</v>
      </c>
      <c r="N134" s="7">
        <f t="shared" ca="1" si="5"/>
        <v>45229</v>
      </c>
      <c r="O134" s="8">
        <f ca="1">MONTH(financials[[#This Row],[Date]])</f>
        <v>10</v>
      </c>
      <c r="P134" s="6" t="str">
        <f ca="1">TEXT(financials[[#This Row],[Date]],"MMM")</f>
        <v>Oct</v>
      </c>
      <c r="Q134">
        <f ca="1">YEAR(financials[[#This Row],[Date]])</f>
        <v>2023</v>
      </c>
      <c r="S134" s="10"/>
    </row>
    <row r="135" spans="1:19" x14ac:dyDescent="0.3">
      <c r="A135" t="s">
        <v>16</v>
      </c>
      <c r="B135" t="s">
        <v>20</v>
      </c>
      <c r="C135" s="6" t="s">
        <v>30</v>
      </c>
      <c r="D135" s="6" t="str">
        <f>CONCATENATE(financials[[#This Row],[Segment]],",",financials[[#This Row],[Country]],",",financials[[#This Row],[Product]])</f>
        <v>Government,Germany,VTT</v>
      </c>
      <c r="E135" s="6" t="s">
        <v>32</v>
      </c>
      <c r="F135">
        <f t="shared" ca="1" si="4"/>
        <v>250</v>
      </c>
      <c r="G135" s="1">
        <f ca="1">VLOOKUP(financials[[#This Row],[ID]],Prices!D:F,2,FALSE)</f>
        <v>16</v>
      </c>
      <c r="H135" s="1">
        <f ca="1">VLOOKUP(financials[[#This Row],[ID]],Prices!D:F,3,FALSE)</f>
        <v>20</v>
      </c>
      <c r="I135" s="1">
        <f ca="1">financials[[#This Row],[Units Sold]]*financials[[#This Row],[Sale Price]]</f>
        <v>5000</v>
      </c>
      <c r="J1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250</v>
      </c>
      <c r="K135" s="1">
        <f ca="1">financials[[#This Row],[Gross Sales]]-financials[[#This Row],[Discounts]]</f>
        <v>4750</v>
      </c>
      <c r="L135" s="1">
        <f ca="1">financials[[#This Row],[Units Sold]]*financials[[#This Row],[Manufacturing Price]]</f>
        <v>4000</v>
      </c>
      <c r="M135" s="1">
        <f ca="1">financials[[#This Row],[Sales]]-financials[[#This Row],[COGS]]</f>
        <v>750</v>
      </c>
      <c r="N135" s="7">
        <f t="shared" ca="1" si="5"/>
        <v>45729</v>
      </c>
      <c r="O135" s="8">
        <f ca="1">MONTH(financials[[#This Row],[Date]])</f>
        <v>3</v>
      </c>
      <c r="P135" s="6" t="str">
        <f ca="1">TEXT(financials[[#This Row],[Date]],"MMM")</f>
        <v>Mar</v>
      </c>
      <c r="Q135">
        <f ca="1">YEAR(financials[[#This Row],[Date]])</f>
        <v>2025</v>
      </c>
      <c r="S135" s="10"/>
    </row>
    <row r="136" spans="1:19" x14ac:dyDescent="0.3">
      <c r="A136" t="s">
        <v>26</v>
      </c>
      <c r="B136" t="s">
        <v>17</v>
      </c>
      <c r="C136" s="6" t="s">
        <v>30</v>
      </c>
      <c r="D136" s="6" t="str">
        <f>CONCATENATE(financials[[#This Row],[Segment]],",",financials[[#This Row],[Country]],",",financials[[#This Row],[Product]])</f>
        <v>Enterprise,Canada,VTT</v>
      </c>
      <c r="E136" s="6" t="s">
        <v>32</v>
      </c>
      <c r="F136">
        <f t="shared" ca="1" si="4"/>
        <v>128</v>
      </c>
      <c r="G136" s="1">
        <f ca="1">VLOOKUP(financials[[#This Row],[ID]],Prices!D:F,2,FALSE)</f>
        <v>14</v>
      </c>
      <c r="H136" s="1">
        <f ca="1">VLOOKUP(financials[[#This Row],[ID]],Prices!D:F,3,FALSE)</f>
        <v>29</v>
      </c>
      <c r="I136" s="1">
        <f ca="1">financials[[#This Row],[Units Sold]]*financials[[#This Row],[Sale Price]]</f>
        <v>3712</v>
      </c>
      <c r="J1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185.60000000000002</v>
      </c>
      <c r="K136" s="1">
        <f ca="1">financials[[#This Row],[Gross Sales]]-financials[[#This Row],[Discounts]]</f>
        <v>3526.4</v>
      </c>
      <c r="L136" s="1">
        <f ca="1">financials[[#This Row],[Units Sold]]*financials[[#This Row],[Manufacturing Price]]</f>
        <v>1792</v>
      </c>
      <c r="M136" s="1">
        <f ca="1">financials[[#This Row],[Sales]]-financials[[#This Row],[COGS]]</f>
        <v>1734.4</v>
      </c>
      <c r="N136" s="7">
        <f t="shared" ca="1" si="5"/>
        <v>45406</v>
      </c>
      <c r="O136" s="8">
        <f ca="1">MONTH(financials[[#This Row],[Date]])</f>
        <v>4</v>
      </c>
      <c r="P136" s="6" t="str">
        <f ca="1">TEXT(financials[[#This Row],[Date]],"MMM")</f>
        <v>Apr</v>
      </c>
      <c r="Q136">
        <f ca="1">YEAR(financials[[#This Row],[Date]])</f>
        <v>2024</v>
      </c>
      <c r="S136" s="10"/>
    </row>
    <row r="137" spans="1:19" x14ac:dyDescent="0.3">
      <c r="A137" t="s">
        <v>16</v>
      </c>
      <c r="B137" t="s">
        <v>36</v>
      </c>
      <c r="C137" s="6" t="s">
        <v>30</v>
      </c>
      <c r="D137" s="6" t="str">
        <f>CONCATENATE(financials[[#This Row],[Segment]],",",financials[[#This Row],[Country]],",",financials[[#This Row],[Product]])</f>
        <v>Government,USA,VTT</v>
      </c>
      <c r="E137" s="6" t="s">
        <v>32</v>
      </c>
      <c r="F137">
        <f t="shared" ca="1" si="4"/>
        <v>393</v>
      </c>
      <c r="G137" s="1">
        <f ca="1">VLOOKUP(financials[[#This Row],[ID]],Prices!D:F,2,FALSE)</f>
        <v>13</v>
      </c>
      <c r="H137" s="1">
        <f ca="1">VLOOKUP(financials[[#This Row],[ID]],Prices!D:F,3,FALSE)</f>
        <v>31</v>
      </c>
      <c r="I137" s="1">
        <f ca="1">financials[[#This Row],[Units Sold]]*financials[[#This Row],[Sale Price]]</f>
        <v>12183</v>
      </c>
      <c r="J1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609.15</v>
      </c>
      <c r="K137" s="1">
        <f ca="1">financials[[#This Row],[Gross Sales]]-financials[[#This Row],[Discounts]]</f>
        <v>11573.85</v>
      </c>
      <c r="L137" s="1">
        <f ca="1">financials[[#This Row],[Units Sold]]*financials[[#This Row],[Manufacturing Price]]</f>
        <v>5109</v>
      </c>
      <c r="M137" s="1">
        <f ca="1">financials[[#This Row],[Sales]]-financials[[#This Row],[COGS]]</f>
        <v>6464.85</v>
      </c>
      <c r="N137" s="7">
        <f t="shared" ca="1" si="5"/>
        <v>45605</v>
      </c>
      <c r="O137" s="8">
        <f ca="1">MONTH(financials[[#This Row],[Date]])</f>
        <v>11</v>
      </c>
      <c r="P137" s="6" t="str">
        <f ca="1">TEXT(financials[[#This Row],[Date]],"MMM")</f>
        <v>Nov</v>
      </c>
      <c r="Q137">
        <f ca="1">YEAR(financials[[#This Row],[Date]])</f>
        <v>2024</v>
      </c>
      <c r="S137" s="10"/>
    </row>
    <row r="138" spans="1:19" x14ac:dyDescent="0.3">
      <c r="A138" t="s">
        <v>16</v>
      </c>
      <c r="B138" t="s">
        <v>23</v>
      </c>
      <c r="C138" s="6" t="s">
        <v>30</v>
      </c>
      <c r="D138" s="6" t="str">
        <f>CONCATENATE(financials[[#This Row],[Segment]],",",financials[[#This Row],[Country]],",",financials[[#This Row],[Product]])</f>
        <v>Government,Mexico,VTT</v>
      </c>
      <c r="E138" s="6" t="s">
        <v>32</v>
      </c>
      <c r="F138">
        <f t="shared" ca="1" si="4"/>
        <v>158</v>
      </c>
      <c r="G138" s="1">
        <f ca="1">VLOOKUP(financials[[#This Row],[ID]],Prices!D:F,2,FALSE)</f>
        <v>18</v>
      </c>
      <c r="H138" s="1">
        <f ca="1">VLOOKUP(financials[[#This Row],[ID]],Prices!D:F,3,FALSE)</f>
        <v>20</v>
      </c>
      <c r="I138" s="1">
        <f ca="1">financials[[#This Row],[Units Sold]]*financials[[#This Row],[Sale Price]]</f>
        <v>3160</v>
      </c>
      <c r="J1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158</v>
      </c>
      <c r="K138" s="1">
        <f ca="1">financials[[#This Row],[Gross Sales]]-financials[[#This Row],[Discounts]]</f>
        <v>3002</v>
      </c>
      <c r="L138" s="1">
        <f ca="1">financials[[#This Row],[Units Sold]]*financials[[#This Row],[Manufacturing Price]]</f>
        <v>2844</v>
      </c>
      <c r="M138" s="1">
        <f ca="1">financials[[#This Row],[Sales]]-financials[[#This Row],[COGS]]</f>
        <v>158</v>
      </c>
      <c r="N138" s="7">
        <f t="shared" ca="1" si="5"/>
        <v>45726</v>
      </c>
      <c r="O138" s="8">
        <f ca="1">MONTH(financials[[#This Row],[Date]])</f>
        <v>3</v>
      </c>
      <c r="P138" s="6" t="str">
        <f ca="1">TEXT(financials[[#This Row],[Date]],"MMM")</f>
        <v>Mar</v>
      </c>
      <c r="Q138">
        <f ca="1">YEAR(financials[[#This Row],[Date]])</f>
        <v>2025</v>
      </c>
      <c r="S138" s="10"/>
    </row>
    <row r="139" spans="1:19" x14ac:dyDescent="0.3">
      <c r="A139" t="s">
        <v>27</v>
      </c>
      <c r="B139" t="s">
        <v>20</v>
      </c>
      <c r="C139" s="6" t="s">
        <v>31</v>
      </c>
      <c r="D139" s="6" t="str">
        <f>CONCATENATE(financials[[#This Row],[Segment]],",",financials[[#This Row],[Country]],",",financials[[#This Row],[Product]])</f>
        <v>Small Business,Germany,Amarilla</v>
      </c>
      <c r="E139" s="6" t="s">
        <v>32</v>
      </c>
      <c r="F139">
        <f t="shared" ca="1" si="4"/>
        <v>746</v>
      </c>
      <c r="G139" s="1">
        <f ca="1">VLOOKUP(financials[[#This Row],[ID]],Prices!D:F,2,FALSE)</f>
        <v>14</v>
      </c>
      <c r="H139" s="1">
        <f ca="1">VLOOKUP(financials[[#This Row],[ID]],Prices!D:F,3,FALSE)</f>
        <v>35</v>
      </c>
      <c r="I139" s="1">
        <f ca="1">financials[[#This Row],[Units Sold]]*financials[[#This Row],[Sale Price]]</f>
        <v>26110</v>
      </c>
      <c r="J1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1305.5</v>
      </c>
      <c r="K139" s="1">
        <f ca="1">financials[[#This Row],[Gross Sales]]-financials[[#This Row],[Discounts]]</f>
        <v>24804.5</v>
      </c>
      <c r="L139" s="1">
        <f ca="1">financials[[#This Row],[Units Sold]]*financials[[#This Row],[Manufacturing Price]]</f>
        <v>10444</v>
      </c>
      <c r="M139" s="1">
        <f ca="1">financials[[#This Row],[Sales]]-financials[[#This Row],[COGS]]</f>
        <v>14360.5</v>
      </c>
      <c r="N139" s="7">
        <f t="shared" ca="1" si="5"/>
        <v>45198</v>
      </c>
      <c r="O139" s="8">
        <f ca="1">MONTH(financials[[#This Row],[Date]])</f>
        <v>9</v>
      </c>
      <c r="P139" s="6" t="str">
        <f ca="1">TEXT(financials[[#This Row],[Date]],"MMM")</f>
        <v>Sep</v>
      </c>
      <c r="Q139">
        <f ca="1">YEAR(financials[[#This Row],[Date]])</f>
        <v>2023</v>
      </c>
      <c r="S139" s="10"/>
    </row>
    <row r="140" spans="1:19" x14ac:dyDescent="0.3">
      <c r="A140" t="s">
        <v>27</v>
      </c>
      <c r="B140" t="s">
        <v>23</v>
      </c>
      <c r="C140" s="6" t="s">
        <v>31</v>
      </c>
      <c r="D140" s="6" t="str">
        <f>CONCATENATE(financials[[#This Row],[Segment]],",",financials[[#This Row],[Country]],",",financials[[#This Row],[Product]])</f>
        <v>Small Business,Mexico,Amarilla</v>
      </c>
      <c r="E140" s="6" t="s">
        <v>32</v>
      </c>
      <c r="F140">
        <f t="shared" ca="1" si="4"/>
        <v>639</v>
      </c>
      <c r="G140" s="1">
        <f ca="1">VLOOKUP(financials[[#This Row],[ID]],Prices!D:F,2,FALSE)</f>
        <v>14</v>
      </c>
      <c r="H140" s="1">
        <f ca="1">VLOOKUP(financials[[#This Row],[ID]],Prices!D:F,3,FALSE)</f>
        <v>33</v>
      </c>
      <c r="I140" s="1">
        <f ca="1">financials[[#This Row],[Units Sold]]*financials[[#This Row],[Sale Price]]</f>
        <v>21087</v>
      </c>
      <c r="J1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1054.3500000000001</v>
      </c>
      <c r="K140" s="1">
        <f ca="1">financials[[#This Row],[Gross Sales]]-financials[[#This Row],[Discounts]]</f>
        <v>20032.650000000001</v>
      </c>
      <c r="L140" s="1">
        <f ca="1">financials[[#This Row],[Units Sold]]*financials[[#This Row],[Manufacturing Price]]</f>
        <v>8946</v>
      </c>
      <c r="M140" s="1">
        <f ca="1">financials[[#This Row],[Sales]]-financials[[#This Row],[COGS]]</f>
        <v>11086.650000000001</v>
      </c>
      <c r="N140" s="7">
        <f t="shared" ca="1" si="5"/>
        <v>45149</v>
      </c>
      <c r="O140" s="8">
        <f ca="1">MONTH(financials[[#This Row],[Date]])</f>
        <v>8</v>
      </c>
      <c r="P140" s="6" t="str">
        <f ca="1">TEXT(financials[[#This Row],[Date]],"MMM")</f>
        <v>Aug</v>
      </c>
      <c r="Q140">
        <f ca="1">YEAR(financials[[#This Row],[Date]])</f>
        <v>2023</v>
      </c>
      <c r="S140" s="10"/>
    </row>
    <row r="141" spans="1:19" x14ac:dyDescent="0.3">
      <c r="A141" t="s">
        <v>26</v>
      </c>
      <c r="B141" t="s">
        <v>20</v>
      </c>
      <c r="C141" s="6" t="s">
        <v>31</v>
      </c>
      <c r="D141" s="6" t="str">
        <f>CONCATENATE(financials[[#This Row],[Segment]],",",financials[[#This Row],[Country]],",",financials[[#This Row],[Product]])</f>
        <v>Enterprise,Germany,Amarilla</v>
      </c>
      <c r="E141" s="6" t="s">
        <v>32</v>
      </c>
      <c r="F141">
        <f t="shared" ca="1" si="4"/>
        <v>24</v>
      </c>
      <c r="G141" s="1">
        <f ca="1">VLOOKUP(financials[[#This Row],[ID]],Prices!D:F,2,FALSE)</f>
        <v>13</v>
      </c>
      <c r="H141" s="1">
        <f ca="1">VLOOKUP(financials[[#This Row],[ID]],Prices!D:F,3,FALSE)</f>
        <v>21</v>
      </c>
      <c r="I141" s="1">
        <f ca="1">financials[[#This Row],[Units Sold]]*financials[[#This Row],[Sale Price]]</f>
        <v>504</v>
      </c>
      <c r="J1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5.04</v>
      </c>
      <c r="K141" s="1">
        <f ca="1">financials[[#This Row],[Gross Sales]]-financials[[#This Row],[Discounts]]</f>
        <v>498.96</v>
      </c>
      <c r="L141" s="1">
        <f ca="1">financials[[#This Row],[Units Sold]]*financials[[#This Row],[Manufacturing Price]]</f>
        <v>312</v>
      </c>
      <c r="M141" s="1">
        <f ca="1">financials[[#This Row],[Sales]]-financials[[#This Row],[COGS]]</f>
        <v>186.95999999999998</v>
      </c>
      <c r="N141" s="7">
        <f t="shared" ca="1" si="5"/>
        <v>45550</v>
      </c>
      <c r="O141" s="8">
        <f ca="1">MONTH(financials[[#This Row],[Date]])</f>
        <v>9</v>
      </c>
      <c r="P141" s="6" t="str">
        <f ca="1">TEXT(financials[[#This Row],[Date]],"MMM")</f>
        <v>Sep</v>
      </c>
      <c r="Q141">
        <f ca="1">YEAR(financials[[#This Row],[Date]])</f>
        <v>2024</v>
      </c>
      <c r="S141" s="10"/>
    </row>
    <row r="142" spans="1:19" x14ac:dyDescent="0.3">
      <c r="A142" t="s">
        <v>16</v>
      </c>
      <c r="B142" t="s">
        <v>20</v>
      </c>
      <c r="C142" s="6" t="s">
        <v>31</v>
      </c>
      <c r="D142" s="6" t="str">
        <f>CONCATENATE(financials[[#This Row],[Segment]],",",financials[[#This Row],[Country]],",",financials[[#This Row],[Product]])</f>
        <v>Government,Germany,Amarilla</v>
      </c>
      <c r="E142" s="6" t="s">
        <v>32</v>
      </c>
      <c r="F142">
        <f t="shared" ca="1" si="4"/>
        <v>240</v>
      </c>
      <c r="G142" s="1">
        <f ca="1">VLOOKUP(financials[[#This Row],[ID]],Prices!D:F,2,FALSE)</f>
        <v>10</v>
      </c>
      <c r="H142" s="1">
        <f ca="1">VLOOKUP(financials[[#This Row],[ID]],Prices!D:F,3,FALSE)</f>
        <v>20</v>
      </c>
      <c r="I142" s="1">
        <f ca="1">financials[[#This Row],[Units Sold]]*financials[[#This Row],[Sale Price]]</f>
        <v>4800</v>
      </c>
      <c r="J1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240</v>
      </c>
      <c r="K142" s="1">
        <f ca="1">financials[[#This Row],[Gross Sales]]-financials[[#This Row],[Discounts]]</f>
        <v>4560</v>
      </c>
      <c r="L142" s="1">
        <f ca="1">financials[[#This Row],[Units Sold]]*financials[[#This Row],[Manufacturing Price]]</f>
        <v>2400</v>
      </c>
      <c r="M142" s="1">
        <f ca="1">financials[[#This Row],[Sales]]-financials[[#This Row],[COGS]]</f>
        <v>2160</v>
      </c>
      <c r="N142" s="7">
        <f t="shared" ca="1" si="5"/>
        <v>45125</v>
      </c>
      <c r="O142" s="8">
        <f ca="1">MONTH(financials[[#This Row],[Date]])</f>
        <v>7</v>
      </c>
      <c r="P142" s="6" t="str">
        <f ca="1">TEXT(financials[[#This Row],[Date]],"MMM")</f>
        <v>Jul</v>
      </c>
      <c r="Q142">
        <f ca="1">YEAR(financials[[#This Row],[Date]])</f>
        <v>2023</v>
      </c>
      <c r="S142" s="10"/>
    </row>
    <row r="143" spans="1:19" x14ac:dyDescent="0.3">
      <c r="A143" t="s">
        <v>16</v>
      </c>
      <c r="B143" t="s">
        <v>36</v>
      </c>
      <c r="C143" s="6" t="s">
        <v>31</v>
      </c>
      <c r="D143" s="6" t="str">
        <f>CONCATENATE(financials[[#This Row],[Segment]],",",financials[[#This Row],[Country]],",",financials[[#This Row],[Product]])</f>
        <v>Government,USA,Amarilla</v>
      </c>
      <c r="E143" s="6" t="s">
        <v>32</v>
      </c>
      <c r="F143">
        <f t="shared" ca="1" si="4"/>
        <v>676</v>
      </c>
      <c r="G143" s="1">
        <f ca="1">VLOOKUP(financials[[#This Row],[ID]],Prices!D:F,2,FALSE)</f>
        <v>20</v>
      </c>
      <c r="H143" s="1">
        <f ca="1">VLOOKUP(financials[[#This Row],[ID]],Prices!D:F,3,FALSE)</f>
        <v>37</v>
      </c>
      <c r="I143" s="1">
        <f ca="1">financials[[#This Row],[Units Sold]]*financials[[#This Row],[Sale Price]]</f>
        <v>25012</v>
      </c>
      <c r="J1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1250.6000000000001</v>
      </c>
      <c r="K143" s="1">
        <f ca="1">financials[[#This Row],[Gross Sales]]-financials[[#This Row],[Discounts]]</f>
        <v>23761.4</v>
      </c>
      <c r="L143" s="1">
        <f ca="1">financials[[#This Row],[Units Sold]]*financials[[#This Row],[Manufacturing Price]]</f>
        <v>13520</v>
      </c>
      <c r="M143" s="1">
        <f ca="1">financials[[#This Row],[Sales]]-financials[[#This Row],[COGS]]</f>
        <v>10241.400000000001</v>
      </c>
      <c r="N143" s="7">
        <f t="shared" ca="1" si="5"/>
        <v>45532</v>
      </c>
      <c r="O143" s="8">
        <f ca="1">MONTH(financials[[#This Row],[Date]])</f>
        <v>8</v>
      </c>
      <c r="P143" s="6" t="str">
        <f ca="1">TEXT(financials[[#This Row],[Date]],"MMM")</f>
        <v>Aug</v>
      </c>
      <c r="Q143">
        <f ca="1">YEAR(financials[[#This Row],[Date]])</f>
        <v>2024</v>
      </c>
      <c r="S143" s="10"/>
    </row>
    <row r="144" spans="1:19" x14ac:dyDescent="0.3">
      <c r="A144" t="s">
        <v>16</v>
      </c>
      <c r="B144" t="s">
        <v>22</v>
      </c>
      <c r="C144" s="6" t="s">
        <v>31</v>
      </c>
      <c r="D144" s="6" t="str">
        <f>CONCATENATE(financials[[#This Row],[Segment]],",",financials[[#This Row],[Country]],",",financials[[#This Row],[Product]])</f>
        <v>Government,France,Amarilla</v>
      </c>
      <c r="E144" s="6" t="s">
        <v>32</v>
      </c>
      <c r="F144">
        <f t="shared" ca="1" si="4"/>
        <v>268</v>
      </c>
      <c r="G144" s="1">
        <f ca="1">VLOOKUP(financials[[#This Row],[ID]],Prices!D:F,2,FALSE)</f>
        <v>10</v>
      </c>
      <c r="H144" s="1">
        <f ca="1">VLOOKUP(financials[[#This Row],[ID]],Prices!D:F,3,FALSE)</f>
        <v>25</v>
      </c>
      <c r="I144" s="1">
        <f ca="1">financials[[#This Row],[Units Sold]]*financials[[#This Row],[Sale Price]]</f>
        <v>6700</v>
      </c>
      <c r="J1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335</v>
      </c>
      <c r="K144" s="1">
        <f ca="1">financials[[#This Row],[Gross Sales]]-financials[[#This Row],[Discounts]]</f>
        <v>6365</v>
      </c>
      <c r="L144" s="1">
        <f ca="1">financials[[#This Row],[Units Sold]]*financials[[#This Row],[Manufacturing Price]]</f>
        <v>2680</v>
      </c>
      <c r="M144" s="1">
        <f ca="1">financials[[#This Row],[Sales]]-financials[[#This Row],[COGS]]</f>
        <v>3685</v>
      </c>
      <c r="N144" s="7">
        <f t="shared" ca="1" si="5"/>
        <v>45426</v>
      </c>
      <c r="O144" s="8">
        <f ca="1">MONTH(financials[[#This Row],[Date]])</f>
        <v>5</v>
      </c>
      <c r="P144" s="6" t="str">
        <f ca="1">TEXT(financials[[#This Row],[Date]],"MMM")</f>
        <v>May</v>
      </c>
      <c r="Q144">
        <f ca="1">YEAR(financials[[#This Row],[Date]])</f>
        <v>2024</v>
      </c>
      <c r="S144" s="10"/>
    </row>
    <row r="145" spans="1:19" x14ac:dyDescent="0.3">
      <c r="A145" t="s">
        <v>27</v>
      </c>
      <c r="B145" t="s">
        <v>17</v>
      </c>
      <c r="C145" s="6" t="s">
        <v>31</v>
      </c>
      <c r="D145" s="6" t="str">
        <f>CONCATENATE(financials[[#This Row],[Segment]],",",financials[[#This Row],[Country]],",",financials[[#This Row],[Product]])</f>
        <v>Small Business,Canada,Amarilla</v>
      </c>
      <c r="E145" s="6" t="s">
        <v>32</v>
      </c>
      <c r="F145">
        <f t="shared" ca="1" si="4"/>
        <v>340</v>
      </c>
      <c r="G145" s="1">
        <f ca="1">VLOOKUP(financials[[#This Row],[ID]],Prices!D:F,2,FALSE)</f>
        <v>13</v>
      </c>
      <c r="H145" s="1">
        <f ca="1">VLOOKUP(financials[[#This Row],[ID]],Prices!D:F,3,FALSE)</f>
        <v>16</v>
      </c>
      <c r="I145" s="1">
        <f ca="1">financials[[#This Row],[Units Sold]]*financials[[#This Row],[Sale Price]]</f>
        <v>5440</v>
      </c>
      <c r="J1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272</v>
      </c>
      <c r="K145" s="1">
        <f ca="1">financials[[#This Row],[Gross Sales]]-financials[[#This Row],[Discounts]]</f>
        <v>5168</v>
      </c>
      <c r="L145" s="1">
        <f ca="1">financials[[#This Row],[Units Sold]]*financials[[#This Row],[Manufacturing Price]]</f>
        <v>4420</v>
      </c>
      <c r="M145" s="1">
        <f ca="1">financials[[#This Row],[Sales]]-financials[[#This Row],[COGS]]</f>
        <v>748</v>
      </c>
      <c r="N145" s="7">
        <f t="shared" ca="1" si="5"/>
        <v>45640</v>
      </c>
      <c r="O145" s="8">
        <f ca="1">MONTH(financials[[#This Row],[Date]])</f>
        <v>12</v>
      </c>
      <c r="P145" s="6" t="str">
        <f ca="1">TEXT(financials[[#This Row],[Date]],"MMM")</f>
        <v>Dec</v>
      </c>
      <c r="Q145">
        <f ca="1">YEAR(financials[[#This Row],[Date]])</f>
        <v>2024</v>
      </c>
      <c r="S145" s="10"/>
    </row>
    <row r="146" spans="1:19" x14ac:dyDescent="0.3">
      <c r="A146" t="s">
        <v>26</v>
      </c>
      <c r="B146" t="s">
        <v>22</v>
      </c>
      <c r="C146" s="6" t="s">
        <v>18</v>
      </c>
      <c r="D146" s="6" t="str">
        <f>CONCATENATE(financials[[#This Row],[Segment]],",",financials[[#This Row],[Country]],",",financials[[#This Row],[Product]])</f>
        <v>Enterprise,France,Carretera</v>
      </c>
      <c r="E146" s="6" t="s">
        <v>32</v>
      </c>
      <c r="F146">
        <f t="shared" ca="1" si="4"/>
        <v>519</v>
      </c>
      <c r="G146" s="1">
        <f ca="1">VLOOKUP(financials[[#This Row],[ID]],Prices!D:F,2,FALSE)</f>
        <v>12</v>
      </c>
      <c r="H146" s="1">
        <f ca="1">VLOOKUP(financials[[#This Row],[ID]],Prices!D:F,3,FALSE)</f>
        <v>35</v>
      </c>
      <c r="I146" s="1">
        <f ca="1">financials[[#This Row],[Units Sold]]*financials[[#This Row],[Sale Price]]</f>
        <v>18165</v>
      </c>
      <c r="J1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908.25</v>
      </c>
      <c r="K146" s="1">
        <f ca="1">financials[[#This Row],[Gross Sales]]-financials[[#This Row],[Discounts]]</f>
        <v>17256.75</v>
      </c>
      <c r="L146" s="1">
        <f ca="1">financials[[#This Row],[Units Sold]]*financials[[#This Row],[Manufacturing Price]]</f>
        <v>6228</v>
      </c>
      <c r="M146" s="1">
        <f ca="1">financials[[#This Row],[Sales]]-financials[[#This Row],[COGS]]</f>
        <v>11028.75</v>
      </c>
      <c r="N146" s="7">
        <f t="shared" ca="1" si="5"/>
        <v>45707</v>
      </c>
      <c r="O146" s="8">
        <f ca="1">MONTH(financials[[#This Row],[Date]])</f>
        <v>2</v>
      </c>
      <c r="P146" s="6" t="str">
        <f ca="1">TEXT(financials[[#This Row],[Date]],"MMM")</f>
        <v>Feb</v>
      </c>
      <c r="Q146">
        <f ca="1">YEAR(financials[[#This Row],[Date]])</f>
        <v>2025</v>
      </c>
      <c r="S146" s="10"/>
    </row>
    <row r="147" spans="1:19" x14ac:dyDescent="0.3">
      <c r="A147" t="s">
        <v>16</v>
      </c>
      <c r="B147" t="s">
        <v>20</v>
      </c>
      <c r="C147" s="6" t="s">
        <v>18</v>
      </c>
      <c r="D147" s="6" t="str">
        <f>CONCATENATE(financials[[#This Row],[Segment]],",",financials[[#This Row],[Country]],",",financials[[#This Row],[Product]])</f>
        <v>Government,Germany,Carretera</v>
      </c>
      <c r="E147" s="6" t="s">
        <v>32</v>
      </c>
      <c r="F147">
        <f t="shared" ca="1" si="4"/>
        <v>490</v>
      </c>
      <c r="G147" s="1">
        <f ca="1">VLOOKUP(financials[[#This Row],[ID]],Prices!D:F,2,FALSE)</f>
        <v>13</v>
      </c>
      <c r="H147" s="1">
        <f ca="1">VLOOKUP(financials[[#This Row],[ID]],Prices!D:F,3,FALSE)</f>
        <v>22</v>
      </c>
      <c r="I147" s="1">
        <f ca="1">financials[[#This Row],[Units Sold]]*financials[[#This Row],[Sale Price]]</f>
        <v>10780</v>
      </c>
      <c r="J1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539</v>
      </c>
      <c r="K147" s="1">
        <f ca="1">financials[[#This Row],[Gross Sales]]-financials[[#This Row],[Discounts]]</f>
        <v>10241</v>
      </c>
      <c r="L147" s="1">
        <f ca="1">financials[[#This Row],[Units Sold]]*financials[[#This Row],[Manufacturing Price]]</f>
        <v>6370</v>
      </c>
      <c r="M147" s="1">
        <f ca="1">financials[[#This Row],[Sales]]-financials[[#This Row],[COGS]]</f>
        <v>3871</v>
      </c>
      <c r="N147" s="7">
        <f t="shared" ca="1" si="5"/>
        <v>45495</v>
      </c>
      <c r="O147" s="8">
        <f ca="1">MONTH(financials[[#This Row],[Date]])</f>
        <v>7</v>
      </c>
      <c r="P147" s="6" t="str">
        <f ca="1">TEXT(financials[[#This Row],[Date]],"MMM")</f>
        <v>Jul</v>
      </c>
      <c r="Q147">
        <f ca="1">YEAR(financials[[#This Row],[Date]])</f>
        <v>2024</v>
      </c>
      <c r="S147" s="10"/>
    </row>
    <row r="148" spans="1:19" x14ac:dyDescent="0.3">
      <c r="A148" t="s">
        <v>27</v>
      </c>
      <c r="B148" t="s">
        <v>20</v>
      </c>
      <c r="C148" s="6" t="s">
        <v>18</v>
      </c>
      <c r="D148" s="6" t="str">
        <f>CONCATENATE(financials[[#This Row],[Segment]],",",financials[[#This Row],[Country]],",",financials[[#This Row],[Product]])</f>
        <v>Small Business,Germany,Carretera</v>
      </c>
      <c r="E148" s="6" t="s">
        <v>32</v>
      </c>
      <c r="F148">
        <f t="shared" ca="1" si="4"/>
        <v>761</v>
      </c>
      <c r="G148" s="1">
        <f ca="1">VLOOKUP(financials[[#This Row],[ID]],Prices!D:F,2,FALSE)</f>
        <v>20</v>
      </c>
      <c r="H148" s="1">
        <f ca="1">VLOOKUP(financials[[#This Row],[ID]],Prices!D:F,3,FALSE)</f>
        <v>30</v>
      </c>
      <c r="I148" s="1">
        <f ca="1">financials[[#This Row],[Units Sold]]*financials[[#This Row],[Sale Price]]</f>
        <v>22830</v>
      </c>
      <c r="J1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1141.5</v>
      </c>
      <c r="K148" s="1">
        <f ca="1">financials[[#This Row],[Gross Sales]]-financials[[#This Row],[Discounts]]</f>
        <v>21688.5</v>
      </c>
      <c r="L148" s="1">
        <f ca="1">financials[[#This Row],[Units Sold]]*financials[[#This Row],[Manufacturing Price]]</f>
        <v>15220</v>
      </c>
      <c r="M148" s="1">
        <f ca="1">financials[[#This Row],[Sales]]-financials[[#This Row],[COGS]]</f>
        <v>6468.5</v>
      </c>
      <c r="N148" s="7">
        <f t="shared" ca="1" si="5"/>
        <v>45536</v>
      </c>
      <c r="O148" s="8">
        <f ca="1">MONTH(financials[[#This Row],[Date]])</f>
        <v>9</v>
      </c>
      <c r="P148" s="6" t="str">
        <f ca="1">TEXT(financials[[#This Row],[Date]],"MMM")</f>
        <v>Sep</v>
      </c>
      <c r="Q148">
        <f ca="1">YEAR(financials[[#This Row],[Date]])</f>
        <v>2024</v>
      </c>
      <c r="S148" s="10"/>
    </row>
    <row r="149" spans="1:19" x14ac:dyDescent="0.3">
      <c r="A149" t="s">
        <v>25</v>
      </c>
      <c r="B149" t="s">
        <v>36</v>
      </c>
      <c r="C149" s="6" t="s">
        <v>18</v>
      </c>
      <c r="D149" s="6" t="str">
        <f>CONCATENATE(financials[[#This Row],[Segment]],",",financials[[#This Row],[Country]],",",financials[[#This Row],[Product]])</f>
        <v>Channel Partners,USA,Carretera</v>
      </c>
      <c r="E149" s="6" t="s">
        <v>32</v>
      </c>
      <c r="F149">
        <f t="shared" ca="1" si="4"/>
        <v>837</v>
      </c>
      <c r="G149" s="1">
        <f ca="1">VLOOKUP(financials[[#This Row],[ID]],Prices!D:F,2,FALSE)</f>
        <v>13</v>
      </c>
      <c r="H149" s="1">
        <f ca="1">VLOOKUP(financials[[#This Row],[ID]],Prices!D:F,3,FALSE)</f>
        <v>27</v>
      </c>
      <c r="I149" s="1">
        <f ca="1">financials[[#This Row],[Units Sold]]*financials[[#This Row],[Sale Price]]</f>
        <v>22599</v>
      </c>
      <c r="J1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1129.95</v>
      </c>
      <c r="K149" s="1">
        <f ca="1">financials[[#This Row],[Gross Sales]]-financials[[#This Row],[Discounts]]</f>
        <v>21469.05</v>
      </c>
      <c r="L149" s="1">
        <f ca="1">financials[[#This Row],[Units Sold]]*financials[[#This Row],[Manufacturing Price]]</f>
        <v>10881</v>
      </c>
      <c r="M149" s="1">
        <f ca="1">financials[[#This Row],[Sales]]-financials[[#This Row],[COGS]]</f>
        <v>10588.05</v>
      </c>
      <c r="N149" s="7">
        <f t="shared" ca="1" si="5"/>
        <v>45341</v>
      </c>
      <c r="O149" s="8">
        <f ca="1">MONTH(financials[[#This Row],[Date]])</f>
        <v>2</v>
      </c>
      <c r="P149" s="6" t="str">
        <f ca="1">TEXT(financials[[#This Row],[Date]],"MMM")</f>
        <v>Feb</v>
      </c>
      <c r="Q149">
        <f ca="1">YEAR(financials[[#This Row],[Date]])</f>
        <v>2024</v>
      </c>
      <c r="S149" s="10"/>
    </row>
    <row r="150" spans="1:19" x14ac:dyDescent="0.3">
      <c r="A150" t="s">
        <v>25</v>
      </c>
      <c r="B150" t="s">
        <v>17</v>
      </c>
      <c r="C150" s="6" t="s">
        <v>18</v>
      </c>
      <c r="D150" s="6" t="str">
        <f>CONCATENATE(financials[[#This Row],[Segment]],",",financials[[#This Row],[Country]],",",financials[[#This Row],[Product]])</f>
        <v>Channel Partners,Canada,Carretera</v>
      </c>
      <c r="E150" s="6" t="s">
        <v>32</v>
      </c>
      <c r="F150">
        <f t="shared" ca="1" si="4"/>
        <v>885</v>
      </c>
      <c r="G150" s="1">
        <f ca="1">VLOOKUP(financials[[#This Row],[ID]],Prices!D:F,2,FALSE)</f>
        <v>17</v>
      </c>
      <c r="H150" s="1">
        <f ca="1">VLOOKUP(financials[[#This Row],[ID]],Prices!D:F,3,FALSE)</f>
        <v>24</v>
      </c>
      <c r="I150" s="1">
        <f ca="1">financials[[#This Row],[Units Sold]]*financials[[#This Row],[Sale Price]]</f>
        <v>21240</v>
      </c>
      <c r="J1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1062</v>
      </c>
      <c r="K150" s="1">
        <f ca="1">financials[[#This Row],[Gross Sales]]-financials[[#This Row],[Discounts]]</f>
        <v>20178</v>
      </c>
      <c r="L150" s="1">
        <f ca="1">financials[[#This Row],[Units Sold]]*financials[[#This Row],[Manufacturing Price]]</f>
        <v>15045</v>
      </c>
      <c r="M150" s="1">
        <f ca="1">financials[[#This Row],[Sales]]-financials[[#This Row],[COGS]]</f>
        <v>5133</v>
      </c>
      <c r="N150" s="7">
        <f t="shared" ca="1" si="5"/>
        <v>45458</v>
      </c>
      <c r="O150" s="8">
        <f ca="1">MONTH(financials[[#This Row],[Date]])</f>
        <v>6</v>
      </c>
      <c r="P150" s="6" t="str">
        <f ca="1">TEXT(financials[[#This Row],[Date]],"MMM")</f>
        <v>Jun</v>
      </c>
      <c r="Q150">
        <f ca="1">YEAR(financials[[#This Row],[Date]])</f>
        <v>2024</v>
      </c>
      <c r="S150" s="10"/>
    </row>
    <row r="151" spans="1:19" x14ac:dyDescent="0.3">
      <c r="A151" t="s">
        <v>16</v>
      </c>
      <c r="B151" t="s">
        <v>20</v>
      </c>
      <c r="C151" s="6" t="s">
        <v>24</v>
      </c>
      <c r="D151" s="6" t="str">
        <f>CONCATENATE(financials[[#This Row],[Segment]],",",financials[[#This Row],[Country]],",",financials[[#This Row],[Product]])</f>
        <v>Government,Germany,Montana</v>
      </c>
      <c r="E151" s="6" t="s">
        <v>32</v>
      </c>
      <c r="F151">
        <f t="shared" ca="1" si="4"/>
        <v>606</v>
      </c>
      <c r="G151" s="1">
        <f ca="1">VLOOKUP(financials[[#This Row],[ID]],Prices!D:F,2,FALSE)</f>
        <v>20</v>
      </c>
      <c r="H151" s="1">
        <f ca="1">VLOOKUP(financials[[#This Row],[ID]],Prices!D:F,3,FALSE)</f>
        <v>27</v>
      </c>
      <c r="I151" s="1">
        <f ca="1">financials[[#This Row],[Units Sold]]*financials[[#This Row],[Sale Price]]</f>
        <v>16362</v>
      </c>
      <c r="J1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818.1</v>
      </c>
      <c r="K151" s="1">
        <f ca="1">financials[[#This Row],[Gross Sales]]-financials[[#This Row],[Discounts]]</f>
        <v>15543.9</v>
      </c>
      <c r="L151" s="1">
        <f ca="1">financials[[#This Row],[Units Sold]]*financials[[#This Row],[Manufacturing Price]]</f>
        <v>12120</v>
      </c>
      <c r="M151" s="1">
        <f ca="1">financials[[#This Row],[Sales]]-financials[[#This Row],[COGS]]</f>
        <v>3423.8999999999996</v>
      </c>
      <c r="N151" s="7">
        <f t="shared" ca="1" si="5"/>
        <v>45639</v>
      </c>
      <c r="O151" s="8">
        <f ca="1">MONTH(financials[[#This Row],[Date]])</f>
        <v>12</v>
      </c>
      <c r="P151" s="6" t="str">
        <f ca="1">TEXT(financials[[#This Row],[Date]],"MMM")</f>
        <v>Dec</v>
      </c>
      <c r="Q151">
        <f ca="1">YEAR(financials[[#This Row],[Date]])</f>
        <v>2024</v>
      </c>
      <c r="S151" s="10"/>
    </row>
    <row r="152" spans="1:19" x14ac:dyDescent="0.3">
      <c r="A152" t="s">
        <v>25</v>
      </c>
      <c r="B152" t="s">
        <v>22</v>
      </c>
      <c r="C152" s="6" t="s">
        <v>24</v>
      </c>
      <c r="D152" s="6" t="str">
        <f>CONCATENATE(financials[[#This Row],[Segment]],",",financials[[#This Row],[Country]],",",financials[[#This Row],[Product]])</f>
        <v>Channel Partners,France,Montana</v>
      </c>
      <c r="E152" s="6" t="s">
        <v>32</v>
      </c>
      <c r="F152">
        <f t="shared" ca="1" si="4"/>
        <v>909</v>
      </c>
      <c r="G152" s="1">
        <f ca="1">VLOOKUP(financials[[#This Row],[ID]],Prices!D:F,2,FALSE)</f>
        <v>19</v>
      </c>
      <c r="H152" s="1">
        <f ca="1">VLOOKUP(financials[[#This Row],[ID]],Prices!D:F,3,FALSE)</f>
        <v>30</v>
      </c>
      <c r="I152" s="1">
        <f ca="1">financials[[#This Row],[Units Sold]]*financials[[#This Row],[Sale Price]]</f>
        <v>27270</v>
      </c>
      <c r="J1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1363.5</v>
      </c>
      <c r="K152" s="1">
        <f ca="1">financials[[#This Row],[Gross Sales]]-financials[[#This Row],[Discounts]]</f>
        <v>25906.5</v>
      </c>
      <c r="L152" s="1">
        <f ca="1">financials[[#This Row],[Units Sold]]*financials[[#This Row],[Manufacturing Price]]</f>
        <v>17271</v>
      </c>
      <c r="M152" s="1">
        <f ca="1">financials[[#This Row],[Sales]]-financials[[#This Row],[COGS]]</f>
        <v>8635.5</v>
      </c>
      <c r="N152" s="7">
        <f t="shared" ca="1" si="5"/>
        <v>45456</v>
      </c>
      <c r="O152" s="8">
        <f ca="1">MONTH(financials[[#This Row],[Date]])</f>
        <v>6</v>
      </c>
      <c r="P152" s="6" t="str">
        <f ca="1">TEXT(financials[[#This Row],[Date]],"MMM")</f>
        <v>Jun</v>
      </c>
      <c r="Q152">
        <f ca="1">YEAR(financials[[#This Row],[Date]])</f>
        <v>2024</v>
      </c>
      <c r="S152" s="10"/>
    </row>
    <row r="153" spans="1:19" x14ac:dyDescent="0.3">
      <c r="A153" t="s">
        <v>16</v>
      </c>
      <c r="B153" t="s">
        <v>22</v>
      </c>
      <c r="C153" s="6" t="s">
        <v>24</v>
      </c>
      <c r="D153" s="6" t="str">
        <f>CONCATENATE(financials[[#This Row],[Segment]],",",financials[[#This Row],[Country]],",",financials[[#This Row],[Product]])</f>
        <v>Government,France,Montana</v>
      </c>
      <c r="E153" s="6" t="s">
        <v>32</v>
      </c>
      <c r="F153">
        <f t="shared" ca="1" si="4"/>
        <v>325</v>
      </c>
      <c r="G153" s="1">
        <f ca="1">VLOOKUP(financials[[#This Row],[ID]],Prices!D:F,2,FALSE)</f>
        <v>19</v>
      </c>
      <c r="H153" s="1">
        <f ca="1">VLOOKUP(financials[[#This Row],[ID]],Prices!D:F,3,FALSE)</f>
        <v>22</v>
      </c>
      <c r="I153" s="1">
        <f ca="1">financials[[#This Row],[Units Sold]]*financials[[#This Row],[Sale Price]]</f>
        <v>7150</v>
      </c>
      <c r="J1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357.5</v>
      </c>
      <c r="K153" s="1">
        <f ca="1">financials[[#This Row],[Gross Sales]]-financials[[#This Row],[Discounts]]</f>
        <v>6792.5</v>
      </c>
      <c r="L153" s="1">
        <f ca="1">financials[[#This Row],[Units Sold]]*financials[[#This Row],[Manufacturing Price]]</f>
        <v>6175</v>
      </c>
      <c r="M153" s="1">
        <f ca="1">financials[[#This Row],[Sales]]-financials[[#This Row],[COGS]]</f>
        <v>617.5</v>
      </c>
      <c r="N153" s="7">
        <f t="shared" ca="1" si="5"/>
        <v>45477</v>
      </c>
      <c r="O153" s="8">
        <f ca="1">MONTH(financials[[#This Row],[Date]])</f>
        <v>7</v>
      </c>
      <c r="P153" s="6" t="str">
        <f ca="1">TEXT(financials[[#This Row],[Date]],"MMM")</f>
        <v>Jul</v>
      </c>
      <c r="Q153">
        <f ca="1">YEAR(financials[[#This Row],[Date]])</f>
        <v>2024</v>
      </c>
      <c r="S153" s="10"/>
    </row>
    <row r="154" spans="1:19" x14ac:dyDescent="0.3">
      <c r="A154" t="s">
        <v>16</v>
      </c>
      <c r="B154" t="s">
        <v>20</v>
      </c>
      <c r="C154" s="6" t="s">
        <v>24</v>
      </c>
      <c r="D154" s="6" t="str">
        <f>CONCATENATE(financials[[#This Row],[Segment]],",",financials[[#This Row],[Country]],",",financials[[#This Row],[Product]])</f>
        <v>Government,Germany,Montana</v>
      </c>
      <c r="E154" s="6" t="s">
        <v>32</v>
      </c>
      <c r="F154">
        <f t="shared" ca="1" si="4"/>
        <v>761</v>
      </c>
      <c r="G154" s="1">
        <f ca="1">VLOOKUP(financials[[#This Row],[ID]],Prices!D:F,2,FALSE)</f>
        <v>20</v>
      </c>
      <c r="H154" s="1">
        <f ca="1">VLOOKUP(financials[[#This Row],[ID]],Prices!D:F,3,FALSE)</f>
        <v>27</v>
      </c>
      <c r="I154" s="1">
        <f ca="1">financials[[#This Row],[Units Sold]]*financials[[#This Row],[Sale Price]]</f>
        <v>20547</v>
      </c>
      <c r="J1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1027.3500000000001</v>
      </c>
      <c r="K154" s="1">
        <f ca="1">financials[[#This Row],[Gross Sales]]-financials[[#This Row],[Discounts]]</f>
        <v>19519.650000000001</v>
      </c>
      <c r="L154" s="1">
        <f ca="1">financials[[#This Row],[Units Sold]]*financials[[#This Row],[Manufacturing Price]]</f>
        <v>15220</v>
      </c>
      <c r="M154" s="1">
        <f ca="1">financials[[#This Row],[Sales]]-financials[[#This Row],[COGS]]</f>
        <v>4299.6500000000015</v>
      </c>
      <c r="N154" s="7">
        <f t="shared" ca="1" si="5"/>
        <v>45633</v>
      </c>
      <c r="O154" s="8">
        <f ca="1">MONTH(financials[[#This Row],[Date]])</f>
        <v>12</v>
      </c>
      <c r="P154" s="6" t="str">
        <f ca="1">TEXT(financials[[#This Row],[Date]],"MMM")</f>
        <v>Dec</v>
      </c>
      <c r="Q154">
        <f ca="1">YEAR(financials[[#This Row],[Date]])</f>
        <v>2024</v>
      </c>
      <c r="S154" s="10"/>
    </row>
    <row r="155" spans="1:19" x14ac:dyDescent="0.3">
      <c r="A155" t="s">
        <v>26</v>
      </c>
      <c r="B155" t="s">
        <v>22</v>
      </c>
      <c r="C155" s="6" t="s">
        <v>24</v>
      </c>
      <c r="D155" s="6" t="str">
        <f>CONCATENATE(financials[[#This Row],[Segment]],",",financials[[#This Row],[Country]],",",financials[[#This Row],[Product]])</f>
        <v>Enterprise,France,Montana</v>
      </c>
      <c r="E155" s="6" t="s">
        <v>32</v>
      </c>
      <c r="F155">
        <f t="shared" ca="1" si="4"/>
        <v>431</v>
      </c>
      <c r="G155" s="1">
        <f ca="1">VLOOKUP(financials[[#This Row],[ID]],Prices!D:F,2,FALSE)</f>
        <v>11</v>
      </c>
      <c r="H155" s="1">
        <f ca="1">VLOOKUP(financials[[#This Row],[ID]],Prices!D:F,3,FALSE)</f>
        <v>29</v>
      </c>
      <c r="I155" s="1">
        <f ca="1">financials[[#This Row],[Units Sold]]*financials[[#This Row],[Sale Price]]</f>
        <v>12499</v>
      </c>
      <c r="J1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624.95000000000005</v>
      </c>
      <c r="K155" s="1">
        <f ca="1">financials[[#This Row],[Gross Sales]]-financials[[#This Row],[Discounts]]</f>
        <v>11874.05</v>
      </c>
      <c r="L155" s="1">
        <f ca="1">financials[[#This Row],[Units Sold]]*financials[[#This Row],[Manufacturing Price]]</f>
        <v>4741</v>
      </c>
      <c r="M155" s="1">
        <f ca="1">financials[[#This Row],[Sales]]-financials[[#This Row],[COGS]]</f>
        <v>7133.0499999999993</v>
      </c>
      <c r="N155" s="7">
        <f t="shared" ca="1" si="5"/>
        <v>45633</v>
      </c>
      <c r="O155" s="8">
        <f ca="1">MONTH(financials[[#This Row],[Date]])</f>
        <v>12</v>
      </c>
      <c r="P155" s="6" t="str">
        <f ca="1">TEXT(financials[[#This Row],[Date]],"MMM")</f>
        <v>Dec</v>
      </c>
      <c r="Q155">
        <f ca="1">YEAR(financials[[#This Row],[Date]])</f>
        <v>2024</v>
      </c>
      <c r="S155" s="10"/>
    </row>
    <row r="156" spans="1:19" x14ac:dyDescent="0.3">
      <c r="A156" t="s">
        <v>26</v>
      </c>
      <c r="B156" t="s">
        <v>20</v>
      </c>
      <c r="C156" s="6" t="s">
        <v>24</v>
      </c>
      <c r="D156" s="6" t="str">
        <f>CONCATENATE(financials[[#This Row],[Segment]],",",financials[[#This Row],[Country]],",",financials[[#This Row],[Product]])</f>
        <v>Enterprise,Germany,Montana</v>
      </c>
      <c r="E156" s="6" t="s">
        <v>32</v>
      </c>
      <c r="F156">
        <f t="shared" ca="1" si="4"/>
        <v>315</v>
      </c>
      <c r="G156" s="1">
        <f ca="1">VLOOKUP(financials[[#This Row],[ID]],Prices!D:F,2,FALSE)</f>
        <v>17</v>
      </c>
      <c r="H156" s="1">
        <f ca="1">VLOOKUP(financials[[#This Row],[ID]],Prices!D:F,3,FALSE)</f>
        <v>22</v>
      </c>
      <c r="I156" s="1">
        <f ca="1">financials[[#This Row],[Units Sold]]*financials[[#This Row],[Sale Price]]</f>
        <v>6930</v>
      </c>
      <c r="J1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346.5</v>
      </c>
      <c r="K156" s="1">
        <f ca="1">financials[[#This Row],[Gross Sales]]-financials[[#This Row],[Discounts]]</f>
        <v>6583.5</v>
      </c>
      <c r="L156" s="1">
        <f ca="1">financials[[#This Row],[Units Sold]]*financials[[#This Row],[Manufacturing Price]]</f>
        <v>5355</v>
      </c>
      <c r="M156" s="1">
        <f ca="1">financials[[#This Row],[Sales]]-financials[[#This Row],[COGS]]</f>
        <v>1228.5</v>
      </c>
      <c r="N156" s="7">
        <f t="shared" ca="1" si="5"/>
        <v>45260</v>
      </c>
      <c r="O156" s="8">
        <f ca="1">MONTH(financials[[#This Row],[Date]])</f>
        <v>11</v>
      </c>
      <c r="P156" s="6" t="str">
        <f ca="1">TEXT(financials[[#This Row],[Date]],"MMM")</f>
        <v>Nov</v>
      </c>
      <c r="Q156">
        <f ca="1">YEAR(financials[[#This Row],[Date]])</f>
        <v>2023</v>
      </c>
      <c r="S156" s="10"/>
    </row>
    <row r="157" spans="1:19" x14ac:dyDescent="0.3">
      <c r="A157" t="s">
        <v>27</v>
      </c>
      <c r="B157" t="s">
        <v>22</v>
      </c>
      <c r="C157" s="6" t="s">
        <v>28</v>
      </c>
      <c r="D157" s="6" t="str">
        <f>CONCATENATE(financials[[#This Row],[Segment]],",",financials[[#This Row],[Country]],",",financials[[#This Row],[Product]])</f>
        <v>Small Business,France,Paseo</v>
      </c>
      <c r="E157" s="6" t="s">
        <v>32</v>
      </c>
      <c r="F157">
        <f t="shared" ca="1" si="4"/>
        <v>172</v>
      </c>
      <c r="G157" s="1">
        <f ca="1">VLOOKUP(financials[[#This Row],[ID]],Prices!D:F,2,FALSE)</f>
        <v>16</v>
      </c>
      <c r="H157" s="1">
        <f ca="1">VLOOKUP(financials[[#This Row],[ID]],Prices!D:F,3,FALSE)</f>
        <v>29</v>
      </c>
      <c r="I157" s="1">
        <f ca="1">financials[[#This Row],[Units Sold]]*financials[[#This Row],[Sale Price]]</f>
        <v>4988</v>
      </c>
      <c r="J1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249.4</v>
      </c>
      <c r="K157" s="1">
        <f ca="1">financials[[#This Row],[Gross Sales]]-financials[[#This Row],[Discounts]]</f>
        <v>4738.6000000000004</v>
      </c>
      <c r="L157" s="1">
        <f ca="1">financials[[#This Row],[Units Sold]]*financials[[#This Row],[Manufacturing Price]]</f>
        <v>2752</v>
      </c>
      <c r="M157" s="1">
        <f ca="1">financials[[#This Row],[Sales]]-financials[[#This Row],[COGS]]</f>
        <v>1986.6000000000004</v>
      </c>
      <c r="N157" s="7">
        <f t="shared" ca="1" si="5"/>
        <v>45142</v>
      </c>
      <c r="O157" s="8">
        <f ca="1">MONTH(financials[[#This Row],[Date]])</f>
        <v>8</v>
      </c>
      <c r="P157" s="6" t="str">
        <f ca="1">TEXT(financials[[#This Row],[Date]],"MMM")</f>
        <v>Aug</v>
      </c>
      <c r="Q157">
        <f ca="1">YEAR(financials[[#This Row],[Date]])</f>
        <v>2023</v>
      </c>
      <c r="S157" s="10"/>
    </row>
    <row r="158" spans="1:19" x14ac:dyDescent="0.3">
      <c r="A158" t="s">
        <v>26</v>
      </c>
      <c r="B158" t="s">
        <v>17</v>
      </c>
      <c r="C158" s="6" t="s">
        <v>28</v>
      </c>
      <c r="D158" s="6" t="str">
        <f>CONCATENATE(financials[[#This Row],[Segment]],",",financials[[#This Row],[Country]],",",financials[[#This Row],[Product]])</f>
        <v>Enterprise,Canada,Paseo</v>
      </c>
      <c r="E158" s="6" t="s">
        <v>32</v>
      </c>
      <c r="F158">
        <f t="shared" ca="1" si="4"/>
        <v>740</v>
      </c>
      <c r="G158" s="1">
        <f ca="1">VLOOKUP(financials[[#This Row],[ID]],Prices!D:F,2,FALSE)</f>
        <v>15</v>
      </c>
      <c r="H158" s="1">
        <f ca="1">VLOOKUP(financials[[#This Row],[ID]],Prices!D:F,3,FALSE)</f>
        <v>23</v>
      </c>
      <c r="I158" s="1">
        <f ca="1">financials[[#This Row],[Units Sold]]*financials[[#This Row],[Sale Price]]</f>
        <v>17020</v>
      </c>
      <c r="J1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851</v>
      </c>
      <c r="K158" s="1">
        <f ca="1">financials[[#This Row],[Gross Sales]]-financials[[#This Row],[Discounts]]</f>
        <v>16169</v>
      </c>
      <c r="L158" s="1">
        <f ca="1">financials[[#This Row],[Units Sold]]*financials[[#This Row],[Manufacturing Price]]</f>
        <v>11100</v>
      </c>
      <c r="M158" s="1">
        <f ca="1">financials[[#This Row],[Sales]]-financials[[#This Row],[COGS]]</f>
        <v>5069</v>
      </c>
      <c r="N158" s="7">
        <f t="shared" ca="1" si="5"/>
        <v>45069</v>
      </c>
      <c r="O158" s="8">
        <f ca="1">MONTH(financials[[#This Row],[Date]])</f>
        <v>5</v>
      </c>
      <c r="P158" s="6" t="str">
        <f ca="1">TEXT(financials[[#This Row],[Date]],"MMM")</f>
        <v>May</v>
      </c>
      <c r="Q158">
        <f ca="1">YEAR(financials[[#This Row],[Date]])</f>
        <v>2023</v>
      </c>
      <c r="S158" s="10"/>
    </row>
    <row r="159" spans="1:19" x14ac:dyDescent="0.3">
      <c r="A159" t="s">
        <v>25</v>
      </c>
      <c r="B159" t="s">
        <v>22</v>
      </c>
      <c r="C159" s="6" t="s">
        <v>28</v>
      </c>
      <c r="D159" s="6" t="str">
        <f>CONCATENATE(financials[[#This Row],[Segment]],",",financials[[#This Row],[Country]],",",financials[[#This Row],[Product]])</f>
        <v>Channel Partners,France,Paseo</v>
      </c>
      <c r="E159" s="6" t="s">
        <v>32</v>
      </c>
      <c r="F159">
        <f t="shared" ca="1" si="4"/>
        <v>347</v>
      </c>
      <c r="G159" s="1">
        <f ca="1">VLOOKUP(financials[[#This Row],[ID]],Prices!D:F,2,FALSE)</f>
        <v>14</v>
      </c>
      <c r="H159" s="1">
        <f ca="1">VLOOKUP(financials[[#This Row],[ID]],Prices!D:F,3,FALSE)</f>
        <v>30</v>
      </c>
      <c r="I159" s="1">
        <f ca="1">financials[[#This Row],[Units Sold]]*financials[[#This Row],[Sale Price]]</f>
        <v>10410</v>
      </c>
      <c r="J1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520.5</v>
      </c>
      <c r="K159" s="1">
        <f ca="1">financials[[#This Row],[Gross Sales]]-financials[[#This Row],[Discounts]]</f>
        <v>9889.5</v>
      </c>
      <c r="L159" s="1">
        <f ca="1">financials[[#This Row],[Units Sold]]*financials[[#This Row],[Manufacturing Price]]</f>
        <v>4858</v>
      </c>
      <c r="M159" s="1">
        <f ca="1">financials[[#This Row],[Sales]]-financials[[#This Row],[COGS]]</f>
        <v>5031.5</v>
      </c>
      <c r="N159" s="7">
        <f t="shared" ca="1" si="5"/>
        <v>45279</v>
      </c>
      <c r="O159" s="8">
        <f ca="1">MONTH(financials[[#This Row],[Date]])</f>
        <v>12</v>
      </c>
      <c r="P159" s="6" t="str">
        <f ca="1">TEXT(financials[[#This Row],[Date]],"MMM")</f>
        <v>Dec</v>
      </c>
      <c r="Q159">
        <f ca="1">YEAR(financials[[#This Row],[Date]])</f>
        <v>2023</v>
      </c>
      <c r="S159" s="10"/>
    </row>
    <row r="160" spans="1:19" x14ac:dyDescent="0.3">
      <c r="A160" t="s">
        <v>27</v>
      </c>
      <c r="B160" t="s">
        <v>20</v>
      </c>
      <c r="C160" s="6" t="s">
        <v>28</v>
      </c>
      <c r="D160" s="6" t="str">
        <f>CONCATENATE(financials[[#This Row],[Segment]],",",financials[[#This Row],[Country]],",",financials[[#This Row],[Product]])</f>
        <v>Small Business,Germany,Paseo</v>
      </c>
      <c r="E160" s="6" t="s">
        <v>32</v>
      </c>
      <c r="F160">
        <f t="shared" ca="1" si="4"/>
        <v>718</v>
      </c>
      <c r="G160" s="1">
        <f ca="1">VLOOKUP(financials[[#This Row],[ID]],Prices!D:F,2,FALSE)</f>
        <v>19</v>
      </c>
      <c r="H160" s="1">
        <f ca="1">VLOOKUP(financials[[#This Row],[ID]],Prices!D:F,3,FALSE)</f>
        <v>25</v>
      </c>
      <c r="I160" s="1">
        <f ca="1">financials[[#This Row],[Units Sold]]*financials[[#This Row],[Sale Price]]</f>
        <v>17950</v>
      </c>
      <c r="J1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897.5</v>
      </c>
      <c r="K160" s="1">
        <f ca="1">financials[[#This Row],[Gross Sales]]-financials[[#This Row],[Discounts]]</f>
        <v>17052.5</v>
      </c>
      <c r="L160" s="1">
        <f ca="1">financials[[#This Row],[Units Sold]]*financials[[#This Row],[Manufacturing Price]]</f>
        <v>13642</v>
      </c>
      <c r="M160" s="1">
        <f ca="1">financials[[#This Row],[Sales]]-financials[[#This Row],[COGS]]</f>
        <v>3410.5</v>
      </c>
      <c r="N160" s="7">
        <f t="shared" ca="1" si="5"/>
        <v>45165</v>
      </c>
      <c r="O160" s="8">
        <f ca="1">MONTH(financials[[#This Row],[Date]])</f>
        <v>8</v>
      </c>
      <c r="P160" s="6" t="str">
        <f ca="1">TEXT(financials[[#This Row],[Date]],"MMM")</f>
        <v>Aug</v>
      </c>
      <c r="Q160">
        <f ca="1">YEAR(financials[[#This Row],[Date]])</f>
        <v>2023</v>
      </c>
      <c r="S160" s="10"/>
    </row>
    <row r="161" spans="1:19" x14ac:dyDescent="0.3">
      <c r="A161" t="s">
        <v>26</v>
      </c>
      <c r="B161" t="s">
        <v>20</v>
      </c>
      <c r="C161" s="6" t="s">
        <v>28</v>
      </c>
      <c r="D161" s="6" t="str">
        <f>CONCATENATE(financials[[#This Row],[Segment]],",",financials[[#This Row],[Country]],",",financials[[#This Row],[Product]])</f>
        <v>Enterprise,Germany,Paseo</v>
      </c>
      <c r="E161" s="6" t="s">
        <v>32</v>
      </c>
      <c r="F161">
        <f t="shared" ca="1" si="4"/>
        <v>210</v>
      </c>
      <c r="G161" s="1">
        <f ca="1">VLOOKUP(financials[[#This Row],[ID]],Prices!D:F,2,FALSE)</f>
        <v>14</v>
      </c>
      <c r="H161" s="1">
        <f ca="1">VLOOKUP(financials[[#This Row],[ID]],Prices!D:F,3,FALSE)</f>
        <v>18</v>
      </c>
      <c r="I161" s="1">
        <f ca="1">financials[[#This Row],[Units Sold]]*financials[[#This Row],[Sale Price]]</f>
        <v>3780</v>
      </c>
      <c r="J1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189</v>
      </c>
      <c r="K161" s="1">
        <f ca="1">financials[[#This Row],[Gross Sales]]-financials[[#This Row],[Discounts]]</f>
        <v>3591</v>
      </c>
      <c r="L161" s="1">
        <f ca="1">financials[[#This Row],[Units Sold]]*financials[[#This Row],[Manufacturing Price]]</f>
        <v>2940</v>
      </c>
      <c r="M161" s="1">
        <f ca="1">financials[[#This Row],[Sales]]-financials[[#This Row],[COGS]]</f>
        <v>651</v>
      </c>
      <c r="N161" s="7">
        <f t="shared" ca="1" si="5"/>
        <v>45119</v>
      </c>
      <c r="O161" s="8">
        <f ca="1">MONTH(financials[[#This Row],[Date]])</f>
        <v>7</v>
      </c>
      <c r="P161" s="6" t="str">
        <f ca="1">TEXT(financials[[#This Row],[Date]],"MMM")</f>
        <v>Jul</v>
      </c>
      <c r="Q161">
        <f ca="1">YEAR(financials[[#This Row],[Date]])</f>
        <v>2023</v>
      </c>
      <c r="S161" s="10"/>
    </row>
    <row r="162" spans="1:19" x14ac:dyDescent="0.3">
      <c r="A162" t="s">
        <v>25</v>
      </c>
      <c r="B162" t="s">
        <v>36</v>
      </c>
      <c r="C162" s="6" t="s">
        <v>28</v>
      </c>
      <c r="D162" s="6" t="str">
        <f>CONCATENATE(financials[[#This Row],[Segment]],",",financials[[#This Row],[Country]],",",financials[[#This Row],[Product]])</f>
        <v>Channel Partners,USA,Paseo</v>
      </c>
      <c r="E162" s="6" t="s">
        <v>32</v>
      </c>
      <c r="F162">
        <f t="shared" ca="1" si="4"/>
        <v>503</v>
      </c>
      <c r="G162" s="1">
        <f ca="1">VLOOKUP(financials[[#This Row],[ID]],Prices!D:F,2,FALSE)</f>
        <v>19</v>
      </c>
      <c r="H162" s="1">
        <f ca="1">VLOOKUP(financials[[#This Row],[ID]],Prices!D:F,3,FALSE)</f>
        <v>26</v>
      </c>
      <c r="I162" s="1">
        <f ca="1">financials[[#This Row],[Units Sold]]*financials[[#This Row],[Sale Price]]</f>
        <v>13078</v>
      </c>
      <c r="J1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653.90000000000009</v>
      </c>
      <c r="K162" s="1">
        <f ca="1">financials[[#This Row],[Gross Sales]]-financials[[#This Row],[Discounts]]</f>
        <v>12424.1</v>
      </c>
      <c r="L162" s="1">
        <f ca="1">financials[[#This Row],[Units Sold]]*financials[[#This Row],[Manufacturing Price]]</f>
        <v>9557</v>
      </c>
      <c r="M162" s="1">
        <f ca="1">financials[[#This Row],[Sales]]-financials[[#This Row],[COGS]]</f>
        <v>2867.1000000000004</v>
      </c>
      <c r="N162" s="7">
        <f t="shared" ca="1" si="5"/>
        <v>45121</v>
      </c>
      <c r="O162" s="8">
        <f ca="1">MONTH(financials[[#This Row],[Date]])</f>
        <v>7</v>
      </c>
      <c r="P162" s="6" t="str">
        <f ca="1">TEXT(financials[[#This Row],[Date]],"MMM")</f>
        <v>Jul</v>
      </c>
      <c r="Q162">
        <f ca="1">YEAR(financials[[#This Row],[Date]])</f>
        <v>2023</v>
      </c>
      <c r="S162" s="10"/>
    </row>
    <row r="163" spans="1:19" x14ac:dyDescent="0.3">
      <c r="A163" t="s">
        <v>26</v>
      </c>
      <c r="B163" t="s">
        <v>17</v>
      </c>
      <c r="C163" s="6" t="s">
        <v>28</v>
      </c>
      <c r="D163" s="6" t="str">
        <f>CONCATENATE(financials[[#This Row],[Segment]],",",financials[[#This Row],[Country]],",",financials[[#This Row],[Product]])</f>
        <v>Enterprise,Canada,Paseo</v>
      </c>
      <c r="E163" s="6" t="s">
        <v>32</v>
      </c>
      <c r="F163">
        <f t="shared" ca="1" si="4"/>
        <v>463</v>
      </c>
      <c r="G163" s="1">
        <f ca="1">VLOOKUP(financials[[#This Row],[ID]],Prices!D:F,2,FALSE)</f>
        <v>15</v>
      </c>
      <c r="H163" s="1">
        <f ca="1">VLOOKUP(financials[[#This Row],[ID]],Prices!D:F,3,FALSE)</f>
        <v>23</v>
      </c>
      <c r="I163" s="1">
        <f ca="1">financials[[#This Row],[Units Sold]]*financials[[#This Row],[Sale Price]]</f>
        <v>10649</v>
      </c>
      <c r="J1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532.45000000000005</v>
      </c>
      <c r="K163" s="1">
        <f ca="1">financials[[#This Row],[Gross Sales]]-financials[[#This Row],[Discounts]]</f>
        <v>10116.549999999999</v>
      </c>
      <c r="L163" s="1">
        <f ca="1">financials[[#This Row],[Units Sold]]*financials[[#This Row],[Manufacturing Price]]</f>
        <v>6945</v>
      </c>
      <c r="M163" s="1">
        <f ca="1">financials[[#This Row],[Sales]]-financials[[#This Row],[COGS]]</f>
        <v>3171.5499999999993</v>
      </c>
      <c r="N163" s="7">
        <f t="shared" ca="1" si="5"/>
        <v>45378</v>
      </c>
      <c r="O163" s="8">
        <f ca="1">MONTH(financials[[#This Row],[Date]])</f>
        <v>3</v>
      </c>
      <c r="P163" s="6" t="str">
        <f ca="1">TEXT(financials[[#This Row],[Date]],"MMM")</f>
        <v>Mar</v>
      </c>
      <c r="Q163">
        <f ca="1">YEAR(financials[[#This Row],[Date]])</f>
        <v>2024</v>
      </c>
      <c r="S163" s="10"/>
    </row>
    <row r="164" spans="1:19" x14ac:dyDescent="0.3">
      <c r="A164" t="s">
        <v>21</v>
      </c>
      <c r="B164" t="s">
        <v>20</v>
      </c>
      <c r="C164" s="6" t="s">
        <v>28</v>
      </c>
      <c r="D164" s="6" t="str">
        <f>CONCATENATE(financials[[#This Row],[Segment]],",",financials[[#This Row],[Country]],",",financials[[#This Row],[Product]])</f>
        <v>Midmarket,Germany,Paseo</v>
      </c>
      <c r="E164" s="6" t="s">
        <v>32</v>
      </c>
      <c r="F164">
        <f t="shared" ca="1" si="4"/>
        <v>982</v>
      </c>
      <c r="G164" s="1">
        <f ca="1">VLOOKUP(financials[[#This Row],[ID]],Prices!D:F,2,FALSE)</f>
        <v>19</v>
      </c>
      <c r="H164" s="1">
        <f ca="1">VLOOKUP(financials[[#This Row],[ID]],Prices!D:F,3,FALSE)</f>
        <v>25</v>
      </c>
      <c r="I164" s="1">
        <f ca="1">financials[[#This Row],[Units Sold]]*financials[[#This Row],[Sale Price]]</f>
        <v>24550</v>
      </c>
      <c r="J1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1227.5</v>
      </c>
      <c r="K164" s="1">
        <f ca="1">financials[[#This Row],[Gross Sales]]-financials[[#This Row],[Discounts]]</f>
        <v>23322.5</v>
      </c>
      <c r="L164" s="1">
        <f ca="1">financials[[#This Row],[Units Sold]]*financials[[#This Row],[Manufacturing Price]]</f>
        <v>18658</v>
      </c>
      <c r="M164" s="1">
        <f ca="1">financials[[#This Row],[Sales]]-financials[[#This Row],[COGS]]</f>
        <v>4664.5</v>
      </c>
      <c r="N164" s="7">
        <f t="shared" ca="1" si="5"/>
        <v>45541</v>
      </c>
      <c r="O164" s="8">
        <f ca="1">MONTH(financials[[#This Row],[Date]])</f>
        <v>9</v>
      </c>
      <c r="P164" s="6" t="str">
        <f ca="1">TEXT(financials[[#This Row],[Date]],"MMM")</f>
        <v>Sep</v>
      </c>
      <c r="Q164">
        <f ca="1">YEAR(financials[[#This Row],[Date]])</f>
        <v>2024</v>
      </c>
      <c r="S164" s="10"/>
    </row>
    <row r="165" spans="1:19" x14ac:dyDescent="0.3">
      <c r="A165" t="s">
        <v>26</v>
      </c>
      <c r="B165" t="s">
        <v>22</v>
      </c>
      <c r="C165" s="6" t="s">
        <v>28</v>
      </c>
      <c r="D165" s="6" t="str">
        <f>CONCATENATE(financials[[#This Row],[Segment]],",",financials[[#This Row],[Country]],",",financials[[#This Row],[Product]])</f>
        <v>Enterprise,France,Paseo</v>
      </c>
      <c r="E165" s="6" t="s">
        <v>32</v>
      </c>
      <c r="F165">
        <f t="shared" ca="1" si="4"/>
        <v>689</v>
      </c>
      <c r="G165" s="1">
        <f ca="1">VLOOKUP(financials[[#This Row],[ID]],Prices!D:F,2,FALSE)</f>
        <v>11</v>
      </c>
      <c r="H165" s="1">
        <f ca="1">VLOOKUP(financials[[#This Row],[ID]],Prices!D:F,3,FALSE)</f>
        <v>21</v>
      </c>
      <c r="I165" s="1">
        <f ca="1">financials[[#This Row],[Units Sold]]*financials[[#This Row],[Sale Price]]</f>
        <v>14469</v>
      </c>
      <c r="J1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723.45</v>
      </c>
      <c r="K165" s="1">
        <f ca="1">financials[[#This Row],[Gross Sales]]-financials[[#This Row],[Discounts]]</f>
        <v>13745.55</v>
      </c>
      <c r="L165" s="1">
        <f ca="1">financials[[#This Row],[Units Sold]]*financials[[#This Row],[Manufacturing Price]]</f>
        <v>7579</v>
      </c>
      <c r="M165" s="1">
        <f ca="1">financials[[#This Row],[Sales]]-financials[[#This Row],[COGS]]</f>
        <v>6166.5499999999993</v>
      </c>
      <c r="N165" s="7">
        <f t="shared" ca="1" si="5"/>
        <v>45614</v>
      </c>
      <c r="O165" s="8">
        <f ca="1">MONTH(financials[[#This Row],[Date]])</f>
        <v>11</v>
      </c>
      <c r="P165" s="6" t="str">
        <f ca="1">TEXT(financials[[#This Row],[Date]],"MMM")</f>
        <v>Nov</v>
      </c>
      <c r="Q165">
        <f ca="1">YEAR(financials[[#This Row],[Date]])</f>
        <v>2024</v>
      </c>
      <c r="S165" s="10"/>
    </row>
    <row r="166" spans="1:19" x14ac:dyDescent="0.3">
      <c r="A166" t="s">
        <v>26</v>
      </c>
      <c r="B166" t="s">
        <v>20</v>
      </c>
      <c r="C166" s="6" t="s">
        <v>28</v>
      </c>
      <c r="D166" s="6" t="str">
        <f>CONCATENATE(financials[[#This Row],[Segment]],",",financials[[#This Row],[Country]],",",financials[[#This Row],[Product]])</f>
        <v>Enterprise,Germany,Paseo</v>
      </c>
      <c r="E166" s="6" t="s">
        <v>32</v>
      </c>
      <c r="F166">
        <f t="shared" ca="1" si="4"/>
        <v>423</v>
      </c>
      <c r="G166" s="1">
        <f ca="1">VLOOKUP(financials[[#This Row],[ID]],Prices!D:F,2,FALSE)</f>
        <v>14</v>
      </c>
      <c r="H166" s="1">
        <f ca="1">VLOOKUP(financials[[#This Row],[ID]],Prices!D:F,3,FALSE)</f>
        <v>18</v>
      </c>
      <c r="I166" s="1">
        <f ca="1">financials[[#This Row],[Units Sold]]*financials[[#This Row],[Sale Price]]</f>
        <v>7614</v>
      </c>
      <c r="J1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380.70000000000005</v>
      </c>
      <c r="K166" s="1">
        <f ca="1">financials[[#This Row],[Gross Sales]]-financials[[#This Row],[Discounts]]</f>
        <v>7233.3</v>
      </c>
      <c r="L166" s="1">
        <f ca="1">financials[[#This Row],[Units Sold]]*financials[[#This Row],[Manufacturing Price]]</f>
        <v>5922</v>
      </c>
      <c r="M166" s="1">
        <f ca="1">financials[[#This Row],[Sales]]-financials[[#This Row],[COGS]]</f>
        <v>1311.3000000000002</v>
      </c>
      <c r="N166" s="7">
        <f t="shared" ca="1" si="5"/>
        <v>45331</v>
      </c>
      <c r="O166" s="8">
        <f ca="1">MONTH(financials[[#This Row],[Date]])</f>
        <v>2</v>
      </c>
      <c r="P166" s="6" t="str">
        <f ca="1">TEXT(financials[[#This Row],[Date]],"MMM")</f>
        <v>Feb</v>
      </c>
      <c r="Q166">
        <f ca="1">YEAR(financials[[#This Row],[Date]])</f>
        <v>2024</v>
      </c>
      <c r="S166" s="10"/>
    </row>
    <row r="167" spans="1:19" x14ac:dyDescent="0.3">
      <c r="A167" t="s">
        <v>26</v>
      </c>
      <c r="B167" t="s">
        <v>17</v>
      </c>
      <c r="C167" s="6" t="s">
        <v>29</v>
      </c>
      <c r="D167" s="6" t="str">
        <f>CONCATENATE(financials[[#This Row],[Segment]],",",financials[[#This Row],[Country]],",",financials[[#This Row],[Product]])</f>
        <v>Enterprise,Canada,Velo</v>
      </c>
      <c r="E167" s="6" t="s">
        <v>32</v>
      </c>
      <c r="F167">
        <f t="shared" ca="1" si="4"/>
        <v>293</v>
      </c>
      <c r="G167" s="1">
        <f ca="1">VLOOKUP(financials[[#This Row],[ID]],Prices!D:F,2,FALSE)</f>
        <v>11</v>
      </c>
      <c r="H167" s="1">
        <f ca="1">VLOOKUP(financials[[#This Row],[ID]],Prices!D:F,3,FALSE)</f>
        <v>34</v>
      </c>
      <c r="I167" s="1">
        <f ca="1">financials[[#This Row],[Units Sold]]*financials[[#This Row],[Sale Price]]</f>
        <v>9962</v>
      </c>
      <c r="J1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498.1</v>
      </c>
      <c r="K167" s="1">
        <f ca="1">financials[[#This Row],[Gross Sales]]-financials[[#This Row],[Discounts]]</f>
        <v>9463.9</v>
      </c>
      <c r="L167" s="1">
        <f ca="1">financials[[#This Row],[Units Sold]]*financials[[#This Row],[Manufacturing Price]]</f>
        <v>3223</v>
      </c>
      <c r="M167" s="1">
        <f ca="1">financials[[#This Row],[Sales]]-financials[[#This Row],[COGS]]</f>
        <v>6240.9</v>
      </c>
      <c r="N167" s="7">
        <f t="shared" ca="1" si="5"/>
        <v>45216</v>
      </c>
      <c r="O167" s="8">
        <f ca="1">MONTH(financials[[#This Row],[Date]])</f>
        <v>10</v>
      </c>
      <c r="P167" s="6" t="str">
        <f ca="1">TEXT(financials[[#This Row],[Date]],"MMM")</f>
        <v>Oct</v>
      </c>
      <c r="Q167">
        <f ca="1">YEAR(financials[[#This Row],[Date]])</f>
        <v>2023</v>
      </c>
      <c r="S167" s="10"/>
    </row>
    <row r="168" spans="1:19" x14ac:dyDescent="0.3">
      <c r="A168" t="s">
        <v>27</v>
      </c>
      <c r="B168" t="s">
        <v>36</v>
      </c>
      <c r="C168" s="6" t="s">
        <v>30</v>
      </c>
      <c r="D168" s="6" t="str">
        <f>CONCATENATE(financials[[#This Row],[Segment]],",",financials[[#This Row],[Country]],",",financials[[#This Row],[Product]])</f>
        <v>Small Business,USA,VTT</v>
      </c>
      <c r="E168" s="6" t="s">
        <v>32</v>
      </c>
      <c r="F168">
        <f t="shared" ca="1" si="4"/>
        <v>671</v>
      </c>
      <c r="G168" s="1">
        <f ca="1">VLOOKUP(financials[[#This Row],[ID]],Prices!D:F,2,FALSE)</f>
        <v>13</v>
      </c>
      <c r="H168" s="1">
        <f ca="1">VLOOKUP(financials[[#This Row],[ID]],Prices!D:F,3,FALSE)</f>
        <v>19</v>
      </c>
      <c r="I168" s="1">
        <f ca="1">financials[[#This Row],[Units Sold]]*financials[[#This Row],[Sale Price]]</f>
        <v>12749</v>
      </c>
      <c r="J1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637.45000000000005</v>
      </c>
      <c r="K168" s="1">
        <f ca="1">financials[[#This Row],[Gross Sales]]-financials[[#This Row],[Discounts]]</f>
        <v>12111.55</v>
      </c>
      <c r="L168" s="1">
        <f ca="1">financials[[#This Row],[Units Sold]]*financials[[#This Row],[Manufacturing Price]]</f>
        <v>8723</v>
      </c>
      <c r="M168" s="1">
        <f ca="1">financials[[#This Row],[Sales]]-financials[[#This Row],[COGS]]</f>
        <v>3388.5499999999993</v>
      </c>
      <c r="N168" s="7">
        <f t="shared" ca="1" si="5"/>
        <v>45454</v>
      </c>
      <c r="O168" s="8">
        <f ca="1">MONTH(financials[[#This Row],[Date]])</f>
        <v>6</v>
      </c>
      <c r="P168" s="6" t="str">
        <f ca="1">TEXT(financials[[#This Row],[Date]],"MMM")</f>
        <v>Jun</v>
      </c>
      <c r="Q168">
        <f ca="1">YEAR(financials[[#This Row],[Date]])</f>
        <v>2024</v>
      </c>
      <c r="S168" s="10"/>
    </row>
    <row r="169" spans="1:19" x14ac:dyDescent="0.3">
      <c r="A169" t="s">
        <v>25</v>
      </c>
      <c r="B169" t="s">
        <v>23</v>
      </c>
      <c r="C169" s="6" t="s">
        <v>30</v>
      </c>
      <c r="D169" s="6" t="str">
        <f>CONCATENATE(financials[[#This Row],[Segment]],",",financials[[#This Row],[Country]],",",financials[[#This Row],[Product]])</f>
        <v>Channel Partners,Mexico,VTT</v>
      </c>
      <c r="E169" s="6" t="s">
        <v>32</v>
      </c>
      <c r="F169">
        <f t="shared" ca="1" si="4"/>
        <v>522</v>
      </c>
      <c r="G169" s="1">
        <f ca="1">VLOOKUP(financials[[#This Row],[ID]],Prices!D:F,2,FALSE)</f>
        <v>12</v>
      </c>
      <c r="H169" s="1">
        <f ca="1">VLOOKUP(financials[[#This Row],[ID]],Prices!D:F,3,FALSE)</f>
        <v>38</v>
      </c>
      <c r="I169" s="1">
        <f ca="1">financials[[#This Row],[Units Sold]]*financials[[#This Row],[Sale Price]]</f>
        <v>19836</v>
      </c>
      <c r="J1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991.80000000000007</v>
      </c>
      <c r="K169" s="1">
        <f ca="1">financials[[#This Row],[Gross Sales]]-financials[[#This Row],[Discounts]]</f>
        <v>18844.2</v>
      </c>
      <c r="L169" s="1">
        <f ca="1">financials[[#This Row],[Units Sold]]*financials[[#This Row],[Manufacturing Price]]</f>
        <v>6264</v>
      </c>
      <c r="M169" s="1">
        <f ca="1">financials[[#This Row],[Sales]]-financials[[#This Row],[COGS]]</f>
        <v>12580.2</v>
      </c>
      <c r="N169" s="7">
        <f t="shared" ca="1" si="5"/>
        <v>45313</v>
      </c>
      <c r="O169" s="8">
        <f ca="1">MONTH(financials[[#This Row],[Date]])</f>
        <v>1</v>
      </c>
      <c r="P169" s="6" t="str">
        <f ca="1">TEXT(financials[[#This Row],[Date]],"MMM")</f>
        <v>Jan</v>
      </c>
      <c r="Q169">
        <f ca="1">YEAR(financials[[#This Row],[Date]])</f>
        <v>2024</v>
      </c>
      <c r="S169" s="10"/>
    </row>
    <row r="170" spans="1:19" x14ac:dyDescent="0.3">
      <c r="A170" t="s">
        <v>26</v>
      </c>
      <c r="B170" t="s">
        <v>20</v>
      </c>
      <c r="C170" s="6" t="s">
        <v>30</v>
      </c>
      <c r="D170" s="6" t="str">
        <f>CONCATENATE(financials[[#This Row],[Segment]],",",financials[[#This Row],[Country]],",",financials[[#This Row],[Product]])</f>
        <v>Enterprise,Germany,VTT</v>
      </c>
      <c r="E170" s="6" t="s">
        <v>32</v>
      </c>
      <c r="F170">
        <f t="shared" ca="1" si="4"/>
        <v>366</v>
      </c>
      <c r="G170" s="1">
        <f ca="1">VLOOKUP(financials[[#This Row],[ID]],Prices!D:F,2,FALSE)</f>
        <v>14</v>
      </c>
      <c r="H170" s="1">
        <f ca="1">VLOOKUP(financials[[#This Row],[ID]],Prices!D:F,3,FALSE)</f>
        <v>23</v>
      </c>
      <c r="I170" s="1">
        <f ca="1">financials[[#This Row],[Units Sold]]*financials[[#This Row],[Sale Price]]</f>
        <v>8418</v>
      </c>
      <c r="J1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420.90000000000003</v>
      </c>
      <c r="K170" s="1">
        <f ca="1">financials[[#This Row],[Gross Sales]]-financials[[#This Row],[Discounts]]</f>
        <v>7997.1</v>
      </c>
      <c r="L170" s="1">
        <f ca="1">financials[[#This Row],[Units Sold]]*financials[[#This Row],[Manufacturing Price]]</f>
        <v>5124</v>
      </c>
      <c r="M170" s="1">
        <f ca="1">financials[[#This Row],[Sales]]-financials[[#This Row],[COGS]]</f>
        <v>2873.1000000000004</v>
      </c>
      <c r="N170" s="7">
        <f t="shared" ca="1" si="5"/>
        <v>45312</v>
      </c>
      <c r="O170" s="8">
        <f ca="1">MONTH(financials[[#This Row],[Date]])</f>
        <v>1</v>
      </c>
      <c r="P170" s="6" t="str">
        <f ca="1">TEXT(financials[[#This Row],[Date]],"MMM")</f>
        <v>Jan</v>
      </c>
      <c r="Q170">
        <f ca="1">YEAR(financials[[#This Row],[Date]])</f>
        <v>2024</v>
      </c>
      <c r="S170" s="10"/>
    </row>
    <row r="171" spans="1:19" x14ac:dyDescent="0.3">
      <c r="A171" t="s">
        <v>27</v>
      </c>
      <c r="B171" t="s">
        <v>17</v>
      </c>
      <c r="C171" s="6" t="s">
        <v>30</v>
      </c>
      <c r="D171" s="6" t="str">
        <f>CONCATENATE(financials[[#This Row],[Segment]],",",financials[[#This Row],[Country]],",",financials[[#This Row],[Product]])</f>
        <v>Small Business,Canada,VTT</v>
      </c>
      <c r="E171" s="6" t="s">
        <v>32</v>
      </c>
      <c r="F171">
        <f t="shared" ca="1" si="4"/>
        <v>110</v>
      </c>
      <c r="G171" s="1">
        <f ca="1">VLOOKUP(financials[[#This Row],[ID]],Prices!D:F,2,FALSE)</f>
        <v>10</v>
      </c>
      <c r="H171" s="1">
        <f ca="1">VLOOKUP(financials[[#This Row],[ID]],Prices!D:F,3,FALSE)</f>
        <v>21</v>
      </c>
      <c r="I171" s="1">
        <f ca="1">financials[[#This Row],[Units Sold]]*financials[[#This Row],[Sale Price]]</f>
        <v>2310</v>
      </c>
      <c r="J1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115.5</v>
      </c>
      <c r="K171" s="1">
        <f ca="1">financials[[#This Row],[Gross Sales]]-financials[[#This Row],[Discounts]]</f>
        <v>2194.5</v>
      </c>
      <c r="L171" s="1">
        <f ca="1">financials[[#This Row],[Units Sold]]*financials[[#This Row],[Manufacturing Price]]</f>
        <v>1100</v>
      </c>
      <c r="M171" s="1">
        <f ca="1">financials[[#This Row],[Sales]]-financials[[#This Row],[COGS]]</f>
        <v>1094.5</v>
      </c>
      <c r="N171" s="7">
        <f t="shared" ca="1" si="5"/>
        <v>45600</v>
      </c>
      <c r="O171" s="8">
        <f ca="1">MONTH(financials[[#This Row],[Date]])</f>
        <v>11</v>
      </c>
      <c r="P171" s="6" t="str">
        <f ca="1">TEXT(financials[[#This Row],[Date]],"MMM")</f>
        <v>Nov</v>
      </c>
      <c r="Q171">
        <f ca="1">YEAR(financials[[#This Row],[Date]])</f>
        <v>2024</v>
      </c>
      <c r="S171" s="10"/>
    </row>
    <row r="172" spans="1:19" x14ac:dyDescent="0.3">
      <c r="A172" t="s">
        <v>16</v>
      </c>
      <c r="B172" t="s">
        <v>23</v>
      </c>
      <c r="C172" s="6" t="s">
        <v>30</v>
      </c>
      <c r="D172" s="6" t="str">
        <f>CONCATENATE(financials[[#This Row],[Segment]],",",financials[[#This Row],[Country]],",",financials[[#This Row],[Product]])</f>
        <v>Government,Mexico,VTT</v>
      </c>
      <c r="E172" s="6" t="s">
        <v>32</v>
      </c>
      <c r="F172">
        <f t="shared" ca="1" si="4"/>
        <v>384</v>
      </c>
      <c r="G172" s="1">
        <f ca="1">VLOOKUP(financials[[#This Row],[ID]],Prices!D:F,2,FALSE)</f>
        <v>18</v>
      </c>
      <c r="H172" s="1">
        <f ca="1">VLOOKUP(financials[[#This Row],[ID]],Prices!D:F,3,FALSE)</f>
        <v>20</v>
      </c>
      <c r="I172" s="1">
        <f ca="1">financials[[#This Row],[Units Sold]]*financials[[#This Row],[Sale Price]]</f>
        <v>7680</v>
      </c>
      <c r="J1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384</v>
      </c>
      <c r="K172" s="1">
        <f ca="1">financials[[#This Row],[Gross Sales]]-financials[[#This Row],[Discounts]]</f>
        <v>7296</v>
      </c>
      <c r="L172" s="1">
        <f ca="1">financials[[#This Row],[Units Sold]]*financials[[#This Row],[Manufacturing Price]]</f>
        <v>6912</v>
      </c>
      <c r="M172" s="1">
        <f ca="1">financials[[#This Row],[Sales]]-financials[[#This Row],[COGS]]</f>
        <v>384</v>
      </c>
      <c r="N172" s="7">
        <f t="shared" ca="1" si="5"/>
        <v>45525</v>
      </c>
      <c r="O172" s="8">
        <f ca="1">MONTH(financials[[#This Row],[Date]])</f>
        <v>8</v>
      </c>
      <c r="P172" s="6" t="str">
        <f ca="1">TEXT(financials[[#This Row],[Date]],"MMM")</f>
        <v>Aug</v>
      </c>
      <c r="Q172">
        <f ca="1">YEAR(financials[[#This Row],[Date]])</f>
        <v>2024</v>
      </c>
      <c r="S172" s="10"/>
    </row>
    <row r="173" spans="1:19" x14ac:dyDescent="0.3">
      <c r="A173" t="s">
        <v>21</v>
      </c>
      <c r="B173" t="s">
        <v>20</v>
      </c>
      <c r="C173" s="6" t="s">
        <v>30</v>
      </c>
      <c r="D173" s="6" t="str">
        <f>CONCATENATE(financials[[#This Row],[Segment]],",",financials[[#This Row],[Country]],",",financials[[#This Row],[Product]])</f>
        <v>Midmarket,Germany,VTT</v>
      </c>
      <c r="E173" s="6" t="s">
        <v>32</v>
      </c>
      <c r="F173">
        <f t="shared" ca="1" si="4"/>
        <v>593</v>
      </c>
      <c r="G173" s="1">
        <f ca="1">VLOOKUP(financials[[#This Row],[ID]],Prices!D:F,2,FALSE)</f>
        <v>12</v>
      </c>
      <c r="H173" s="1">
        <f ca="1">VLOOKUP(financials[[#This Row],[ID]],Prices!D:F,3,FALSE)</f>
        <v>17</v>
      </c>
      <c r="I173" s="1">
        <f ca="1">financials[[#This Row],[Units Sold]]*financials[[#This Row],[Sale Price]]</f>
        <v>10081</v>
      </c>
      <c r="J1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504.05</v>
      </c>
      <c r="K173" s="1">
        <f ca="1">financials[[#This Row],[Gross Sales]]-financials[[#This Row],[Discounts]]</f>
        <v>9576.9500000000007</v>
      </c>
      <c r="L173" s="1">
        <f ca="1">financials[[#This Row],[Units Sold]]*financials[[#This Row],[Manufacturing Price]]</f>
        <v>7116</v>
      </c>
      <c r="M173" s="1">
        <f ca="1">financials[[#This Row],[Sales]]-financials[[#This Row],[COGS]]</f>
        <v>2460.9500000000007</v>
      </c>
      <c r="N173" s="7">
        <f t="shared" ca="1" si="5"/>
        <v>45452</v>
      </c>
      <c r="O173" s="8">
        <f ca="1">MONTH(financials[[#This Row],[Date]])</f>
        <v>6</v>
      </c>
      <c r="P173" s="6" t="str">
        <f ca="1">TEXT(financials[[#This Row],[Date]],"MMM")</f>
        <v>Jun</v>
      </c>
      <c r="Q173">
        <f ca="1">YEAR(financials[[#This Row],[Date]])</f>
        <v>2024</v>
      </c>
      <c r="S173" s="10"/>
    </row>
    <row r="174" spans="1:19" x14ac:dyDescent="0.3">
      <c r="A174" t="s">
        <v>16</v>
      </c>
      <c r="B174" t="s">
        <v>17</v>
      </c>
      <c r="C174" s="6" t="s">
        <v>18</v>
      </c>
      <c r="D174" s="6" t="str">
        <f>CONCATENATE(financials[[#This Row],[Segment]],",",financials[[#This Row],[Country]],",",financials[[#This Row],[Product]])</f>
        <v>Government,Canada,Carretera</v>
      </c>
      <c r="E174" s="6" t="s">
        <v>32</v>
      </c>
      <c r="F174">
        <f t="shared" ca="1" si="4"/>
        <v>706</v>
      </c>
      <c r="G174" s="1">
        <f ca="1">VLOOKUP(financials[[#This Row],[ID]],Prices!D:F,2,FALSE)</f>
        <v>20</v>
      </c>
      <c r="H174" s="1">
        <f ca="1">VLOOKUP(financials[[#This Row],[ID]],Prices!D:F,3,FALSE)</f>
        <v>29</v>
      </c>
      <c r="I174" s="1">
        <f ca="1">financials[[#This Row],[Units Sold]]*financials[[#This Row],[Sale Price]]</f>
        <v>20474</v>
      </c>
      <c r="J1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1023.7</v>
      </c>
      <c r="K174" s="1">
        <f ca="1">financials[[#This Row],[Gross Sales]]-financials[[#This Row],[Discounts]]</f>
        <v>19450.3</v>
      </c>
      <c r="L174" s="1">
        <f ca="1">financials[[#This Row],[Units Sold]]*financials[[#This Row],[Manufacturing Price]]</f>
        <v>14120</v>
      </c>
      <c r="M174" s="1">
        <f ca="1">financials[[#This Row],[Sales]]-financials[[#This Row],[COGS]]</f>
        <v>5330.2999999999993</v>
      </c>
      <c r="N174" s="7">
        <f t="shared" ca="1" si="5"/>
        <v>45362</v>
      </c>
      <c r="O174" s="8">
        <f ca="1">MONTH(financials[[#This Row],[Date]])</f>
        <v>3</v>
      </c>
      <c r="P174" s="6" t="str">
        <f ca="1">TEXT(financials[[#This Row],[Date]],"MMM")</f>
        <v>Mar</v>
      </c>
      <c r="Q174">
        <f ca="1">YEAR(financials[[#This Row],[Date]])</f>
        <v>2024</v>
      </c>
      <c r="S174" s="10"/>
    </row>
    <row r="175" spans="1:19" x14ac:dyDescent="0.3">
      <c r="A175" t="s">
        <v>16</v>
      </c>
      <c r="B175" t="s">
        <v>23</v>
      </c>
      <c r="C175" s="6" t="s">
        <v>28</v>
      </c>
      <c r="D175" s="6" t="str">
        <f>CONCATENATE(financials[[#This Row],[Segment]],",",financials[[#This Row],[Country]],",",financials[[#This Row],[Product]])</f>
        <v>Government,Mexico,Paseo</v>
      </c>
      <c r="E175" s="6" t="s">
        <v>32</v>
      </c>
      <c r="F175">
        <f t="shared" ca="1" si="4"/>
        <v>705</v>
      </c>
      <c r="G175" s="1">
        <f ca="1">VLOOKUP(financials[[#This Row],[ID]],Prices!D:F,2,FALSE)</f>
        <v>18</v>
      </c>
      <c r="H175" s="1">
        <f ca="1">VLOOKUP(financials[[#This Row],[ID]],Prices!D:F,3,FALSE)</f>
        <v>19</v>
      </c>
      <c r="I175" s="1">
        <f ca="1">financials[[#This Row],[Units Sold]]*financials[[#This Row],[Sale Price]]</f>
        <v>13395</v>
      </c>
      <c r="J1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669.75</v>
      </c>
      <c r="K175" s="1">
        <f ca="1">financials[[#This Row],[Gross Sales]]-financials[[#This Row],[Discounts]]</f>
        <v>12725.25</v>
      </c>
      <c r="L175" s="1">
        <f ca="1">financials[[#This Row],[Units Sold]]*financials[[#This Row],[Manufacturing Price]]</f>
        <v>12690</v>
      </c>
      <c r="M175" s="1">
        <f ca="1">financials[[#This Row],[Sales]]-financials[[#This Row],[COGS]]</f>
        <v>35.25</v>
      </c>
      <c r="N175" s="7">
        <f t="shared" ca="1" si="5"/>
        <v>45111</v>
      </c>
      <c r="O175" s="8">
        <f ca="1">MONTH(financials[[#This Row],[Date]])</f>
        <v>7</v>
      </c>
      <c r="P175" s="6" t="str">
        <f ca="1">TEXT(financials[[#This Row],[Date]],"MMM")</f>
        <v>Jul</v>
      </c>
      <c r="Q175">
        <f ca="1">YEAR(financials[[#This Row],[Date]])</f>
        <v>2023</v>
      </c>
      <c r="S175" s="10"/>
    </row>
    <row r="176" spans="1:19" x14ac:dyDescent="0.3">
      <c r="A176" t="s">
        <v>16</v>
      </c>
      <c r="B176" t="s">
        <v>17</v>
      </c>
      <c r="C176" s="6" t="s">
        <v>29</v>
      </c>
      <c r="D176" s="6" t="str">
        <f>CONCATENATE(financials[[#This Row],[Segment]],",",financials[[#This Row],[Country]],",",financials[[#This Row],[Product]])</f>
        <v>Government,Canada,Velo</v>
      </c>
      <c r="E176" s="6" t="s">
        <v>32</v>
      </c>
      <c r="F176">
        <f t="shared" ca="1" si="4"/>
        <v>920</v>
      </c>
      <c r="G176" s="1">
        <f ca="1">VLOOKUP(financials[[#This Row],[ID]],Prices!D:F,2,FALSE)</f>
        <v>19</v>
      </c>
      <c r="H176" s="1">
        <f ca="1">VLOOKUP(financials[[#This Row],[ID]],Prices!D:F,3,FALSE)</f>
        <v>37</v>
      </c>
      <c r="I176" s="1">
        <f ca="1">financials[[#This Row],[Units Sold]]*financials[[#This Row],[Sale Price]]</f>
        <v>34040</v>
      </c>
      <c r="J1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1702</v>
      </c>
      <c r="K176" s="1">
        <f ca="1">financials[[#This Row],[Gross Sales]]-financials[[#This Row],[Discounts]]</f>
        <v>32338</v>
      </c>
      <c r="L176" s="1">
        <f ca="1">financials[[#This Row],[Units Sold]]*financials[[#This Row],[Manufacturing Price]]</f>
        <v>17480</v>
      </c>
      <c r="M176" s="1">
        <f ca="1">financials[[#This Row],[Sales]]-financials[[#This Row],[COGS]]</f>
        <v>14858</v>
      </c>
      <c r="N176" s="7">
        <f t="shared" ca="1" si="5"/>
        <v>45572</v>
      </c>
      <c r="O176" s="8">
        <f ca="1">MONTH(financials[[#This Row],[Date]])</f>
        <v>10</v>
      </c>
      <c r="P176" s="6" t="str">
        <f ca="1">TEXT(financials[[#This Row],[Date]],"MMM")</f>
        <v>Oct</v>
      </c>
      <c r="Q176">
        <f ca="1">YEAR(financials[[#This Row],[Date]])</f>
        <v>2024</v>
      </c>
      <c r="S176" s="10"/>
    </row>
    <row r="177" spans="1:19" x14ac:dyDescent="0.3">
      <c r="A177" t="s">
        <v>25</v>
      </c>
      <c r="B177" t="s">
        <v>20</v>
      </c>
      <c r="C177" s="6" t="s">
        <v>30</v>
      </c>
      <c r="D177" s="6" t="str">
        <f>CONCATENATE(financials[[#This Row],[Segment]],",",financials[[#This Row],[Country]],",",financials[[#This Row],[Product]])</f>
        <v>Channel Partners,Germany,VTT</v>
      </c>
      <c r="E177" s="6" t="s">
        <v>32</v>
      </c>
      <c r="F177">
        <f t="shared" ca="1" si="4"/>
        <v>973</v>
      </c>
      <c r="G177" s="1">
        <f ca="1">VLOOKUP(financials[[#This Row],[ID]],Prices!D:F,2,FALSE)</f>
        <v>20</v>
      </c>
      <c r="H177" s="1">
        <f ca="1">VLOOKUP(financials[[#This Row],[ID]],Prices!D:F,3,FALSE)</f>
        <v>32</v>
      </c>
      <c r="I177" s="1">
        <f ca="1">financials[[#This Row],[Units Sold]]*financials[[#This Row],[Sale Price]]</f>
        <v>31136</v>
      </c>
      <c r="J1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1556.8000000000002</v>
      </c>
      <c r="K177" s="1">
        <f ca="1">financials[[#This Row],[Gross Sales]]-financials[[#This Row],[Discounts]]</f>
        <v>29579.200000000001</v>
      </c>
      <c r="L177" s="1">
        <f ca="1">financials[[#This Row],[Units Sold]]*financials[[#This Row],[Manufacturing Price]]</f>
        <v>19460</v>
      </c>
      <c r="M177" s="1">
        <f ca="1">financials[[#This Row],[Sales]]-financials[[#This Row],[COGS]]</f>
        <v>10119.200000000001</v>
      </c>
      <c r="N177" s="7">
        <f t="shared" ca="1" si="5"/>
        <v>45385</v>
      </c>
      <c r="O177" s="8">
        <f ca="1">MONTH(financials[[#This Row],[Date]])</f>
        <v>4</v>
      </c>
      <c r="P177" s="6" t="str">
        <f ca="1">TEXT(financials[[#This Row],[Date]],"MMM")</f>
        <v>Apr</v>
      </c>
      <c r="Q177">
        <f ca="1">YEAR(financials[[#This Row],[Date]])</f>
        <v>2024</v>
      </c>
      <c r="S177" s="10"/>
    </row>
    <row r="178" spans="1:19" x14ac:dyDescent="0.3">
      <c r="A178" t="s">
        <v>21</v>
      </c>
      <c r="B178" t="s">
        <v>23</v>
      </c>
      <c r="C178" s="6" t="s">
        <v>24</v>
      </c>
      <c r="D178" s="6" t="str">
        <f>CONCATENATE(financials[[#This Row],[Segment]],",",financials[[#This Row],[Country]],",",financials[[#This Row],[Product]])</f>
        <v>Midmarket,Mexico,Montana</v>
      </c>
      <c r="E178" s="6" t="s">
        <v>32</v>
      </c>
      <c r="F178">
        <f t="shared" ca="1" si="4"/>
        <v>996</v>
      </c>
      <c r="G178" s="1">
        <f ca="1">VLOOKUP(financials[[#This Row],[ID]],Prices!D:F,2,FALSE)</f>
        <v>19</v>
      </c>
      <c r="H178" s="1">
        <f ca="1">VLOOKUP(financials[[#This Row],[ID]],Prices!D:F,3,FALSE)</f>
        <v>17</v>
      </c>
      <c r="I178" s="1">
        <f ca="1">financials[[#This Row],[Units Sold]]*financials[[#This Row],[Sale Price]]</f>
        <v>16932</v>
      </c>
      <c r="J1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846.6</v>
      </c>
      <c r="K178" s="1">
        <f ca="1">financials[[#This Row],[Gross Sales]]-financials[[#This Row],[Discounts]]</f>
        <v>16085.4</v>
      </c>
      <c r="L178" s="1">
        <f ca="1">financials[[#This Row],[Units Sold]]*financials[[#This Row],[Manufacturing Price]]</f>
        <v>18924</v>
      </c>
      <c r="M178" s="1">
        <f ca="1">financials[[#This Row],[Sales]]-financials[[#This Row],[COGS]]</f>
        <v>-2838.6000000000004</v>
      </c>
      <c r="N178" s="7">
        <f t="shared" ca="1" si="5"/>
        <v>45514</v>
      </c>
      <c r="O178" s="8">
        <f ca="1">MONTH(financials[[#This Row],[Date]])</f>
        <v>8</v>
      </c>
      <c r="P178" s="6" t="str">
        <f ca="1">TEXT(financials[[#This Row],[Date]],"MMM")</f>
        <v>Aug</v>
      </c>
      <c r="Q178">
        <f ca="1">YEAR(financials[[#This Row],[Date]])</f>
        <v>2024</v>
      </c>
      <c r="S178" s="10"/>
    </row>
    <row r="179" spans="1:19" x14ac:dyDescent="0.3">
      <c r="A179" t="s">
        <v>21</v>
      </c>
      <c r="B179" t="s">
        <v>23</v>
      </c>
      <c r="C179" s="6" t="s">
        <v>28</v>
      </c>
      <c r="D179" s="6" t="str">
        <f>CONCATENATE(financials[[#This Row],[Segment]],",",financials[[#This Row],[Country]],",",financials[[#This Row],[Product]])</f>
        <v>Midmarket,Mexico,Paseo</v>
      </c>
      <c r="E179" s="6" t="s">
        <v>32</v>
      </c>
      <c r="F179">
        <f t="shared" ca="1" si="4"/>
        <v>941</v>
      </c>
      <c r="G179" s="1">
        <f ca="1">VLOOKUP(financials[[#This Row],[ID]],Prices!D:F,2,FALSE)</f>
        <v>11</v>
      </c>
      <c r="H179" s="1">
        <f ca="1">VLOOKUP(financials[[#This Row],[ID]],Prices!D:F,3,FALSE)</f>
        <v>21</v>
      </c>
      <c r="I179" s="1">
        <f ca="1">financials[[#This Row],[Units Sold]]*financials[[#This Row],[Sale Price]]</f>
        <v>19761</v>
      </c>
      <c r="J1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988.05000000000007</v>
      </c>
      <c r="K179" s="1">
        <f ca="1">financials[[#This Row],[Gross Sales]]-financials[[#This Row],[Discounts]]</f>
        <v>18772.95</v>
      </c>
      <c r="L179" s="1">
        <f ca="1">financials[[#This Row],[Units Sold]]*financials[[#This Row],[Manufacturing Price]]</f>
        <v>10351</v>
      </c>
      <c r="M179" s="1">
        <f ca="1">financials[[#This Row],[Sales]]-financials[[#This Row],[COGS]]</f>
        <v>8421.9500000000007</v>
      </c>
      <c r="N179" s="7">
        <f t="shared" ca="1" si="5"/>
        <v>45222</v>
      </c>
      <c r="O179" s="8">
        <f ca="1">MONTH(financials[[#This Row],[Date]])</f>
        <v>10</v>
      </c>
      <c r="P179" s="6" t="str">
        <f ca="1">TEXT(financials[[#This Row],[Date]],"MMM")</f>
        <v>Oct</v>
      </c>
      <c r="Q179">
        <f ca="1">YEAR(financials[[#This Row],[Date]])</f>
        <v>2023</v>
      </c>
      <c r="S179" s="10"/>
    </row>
    <row r="180" spans="1:19" x14ac:dyDescent="0.3">
      <c r="A180" t="s">
        <v>21</v>
      </c>
      <c r="B180" t="s">
        <v>22</v>
      </c>
      <c r="C180" s="6" t="s">
        <v>28</v>
      </c>
      <c r="D180" s="6" t="str">
        <f>CONCATENATE(financials[[#This Row],[Segment]],",",financials[[#This Row],[Country]],",",financials[[#This Row],[Product]])</f>
        <v>Midmarket,France,Paseo</v>
      </c>
      <c r="E180" s="6" t="s">
        <v>32</v>
      </c>
      <c r="F180">
        <f t="shared" ca="1" si="4"/>
        <v>725</v>
      </c>
      <c r="G180" s="1">
        <f ca="1">VLOOKUP(financials[[#This Row],[ID]],Prices!D:F,2,FALSE)</f>
        <v>20</v>
      </c>
      <c r="H180" s="1">
        <f ca="1">VLOOKUP(financials[[#This Row],[ID]],Prices!D:F,3,FALSE)</f>
        <v>38</v>
      </c>
      <c r="I180" s="1">
        <f ca="1">financials[[#This Row],[Units Sold]]*financials[[#This Row],[Sale Price]]</f>
        <v>27550</v>
      </c>
      <c r="J1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1377.5</v>
      </c>
      <c r="K180" s="1">
        <f ca="1">financials[[#This Row],[Gross Sales]]-financials[[#This Row],[Discounts]]</f>
        <v>26172.5</v>
      </c>
      <c r="L180" s="1">
        <f ca="1">financials[[#This Row],[Units Sold]]*financials[[#This Row],[Manufacturing Price]]</f>
        <v>14500</v>
      </c>
      <c r="M180" s="1">
        <f ca="1">financials[[#This Row],[Sales]]-financials[[#This Row],[COGS]]</f>
        <v>11672.5</v>
      </c>
      <c r="N180" s="7">
        <f t="shared" ca="1" si="5"/>
        <v>45274</v>
      </c>
      <c r="O180" s="8">
        <f ca="1">MONTH(financials[[#This Row],[Date]])</f>
        <v>12</v>
      </c>
      <c r="P180" s="6" t="str">
        <f ca="1">TEXT(financials[[#This Row],[Date]],"MMM")</f>
        <v>Dec</v>
      </c>
      <c r="Q180">
        <f ca="1">YEAR(financials[[#This Row],[Date]])</f>
        <v>2023</v>
      </c>
      <c r="S180" s="10"/>
    </row>
    <row r="181" spans="1:19" x14ac:dyDescent="0.3">
      <c r="A181" t="s">
        <v>16</v>
      </c>
      <c r="B181" t="s">
        <v>36</v>
      </c>
      <c r="C181" s="6" t="s">
        <v>29</v>
      </c>
      <c r="D181" s="6" t="str">
        <f>CONCATENATE(financials[[#This Row],[Segment]],",",financials[[#This Row],[Country]],",",financials[[#This Row],[Product]])</f>
        <v>Government,USA,Velo</v>
      </c>
      <c r="E181" s="6" t="s">
        <v>32</v>
      </c>
      <c r="F181">
        <f t="shared" ca="1" si="4"/>
        <v>664</v>
      </c>
      <c r="G181" s="1">
        <f ca="1">VLOOKUP(financials[[#This Row],[ID]],Prices!D:F,2,FALSE)</f>
        <v>18</v>
      </c>
      <c r="H181" s="1">
        <f ca="1">VLOOKUP(financials[[#This Row],[ID]],Prices!D:F,3,FALSE)</f>
        <v>38</v>
      </c>
      <c r="I181" s="1">
        <f ca="1">financials[[#This Row],[Units Sold]]*financials[[#This Row],[Sale Price]]</f>
        <v>25232</v>
      </c>
      <c r="J1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1261.6000000000001</v>
      </c>
      <c r="K181" s="1">
        <f ca="1">financials[[#This Row],[Gross Sales]]-financials[[#This Row],[Discounts]]</f>
        <v>23970.400000000001</v>
      </c>
      <c r="L181" s="1">
        <f ca="1">financials[[#This Row],[Units Sold]]*financials[[#This Row],[Manufacturing Price]]</f>
        <v>11952</v>
      </c>
      <c r="M181" s="1">
        <f ca="1">financials[[#This Row],[Sales]]-financials[[#This Row],[COGS]]</f>
        <v>12018.400000000001</v>
      </c>
      <c r="N181" s="7">
        <f t="shared" ca="1" si="5"/>
        <v>45517</v>
      </c>
      <c r="O181" s="8">
        <f ca="1">MONTH(financials[[#This Row],[Date]])</f>
        <v>8</v>
      </c>
      <c r="P181" s="6" t="str">
        <f ca="1">TEXT(financials[[#This Row],[Date]],"MMM")</f>
        <v>Aug</v>
      </c>
      <c r="Q181">
        <f ca="1">YEAR(financials[[#This Row],[Date]])</f>
        <v>2024</v>
      </c>
      <c r="S181" s="10"/>
    </row>
    <row r="182" spans="1:19" x14ac:dyDescent="0.3">
      <c r="A182" t="s">
        <v>16</v>
      </c>
      <c r="B182" t="s">
        <v>17</v>
      </c>
      <c r="C182" s="6" t="s">
        <v>18</v>
      </c>
      <c r="D182" s="6" t="str">
        <f>CONCATENATE(financials[[#This Row],[Segment]],",",financials[[#This Row],[Country]],",",financials[[#This Row],[Product]])</f>
        <v>Government,Canada,Carretera</v>
      </c>
      <c r="E182" s="6" t="s">
        <v>32</v>
      </c>
      <c r="F182">
        <f t="shared" ca="1" si="4"/>
        <v>258</v>
      </c>
      <c r="G182" s="1">
        <f ca="1">VLOOKUP(financials[[#This Row],[ID]],Prices!D:F,2,FALSE)</f>
        <v>20</v>
      </c>
      <c r="H182" s="1">
        <f ca="1">VLOOKUP(financials[[#This Row],[ID]],Prices!D:F,3,FALSE)</f>
        <v>29</v>
      </c>
      <c r="I182" s="1">
        <f ca="1">financials[[#This Row],[Units Sold]]*financials[[#This Row],[Sale Price]]</f>
        <v>7482</v>
      </c>
      <c r="J1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374.1</v>
      </c>
      <c r="K182" s="1">
        <f ca="1">financials[[#This Row],[Gross Sales]]-financials[[#This Row],[Discounts]]</f>
        <v>7107.9</v>
      </c>
      <c r="L182" s="1">
        <f ca="1">financials[[#This Row],[Units Sold]]*financials[[#This Row],[Manufacturing Price]]</f>
        <v>5160</v>
      </c>
      <c r="M182" s="1">
        <f ca="1">financials[[#This Row],[Sales]]-financials[[#This Row],[COGS]]</f>
        <v>1947.8999999999996</v>
      </c>
      <c r="N182" s="7">
        <f t="shared" ca="1" si="5"/>
        <v>45117</v>
      </c>
      <c r="O182" s="8">
        <f ca="1">MONTH(financials[[#This Row],[Date]])</f>
        <v>7</v>
      </c>
      <c r="P182" s="6" t="str">
        <f ca="1">TEXT(financials[[#This Row],[Date]],"MMM")</f>
        <v>Jul</v>
      </c>
      <c r="Q182">
        <f ca="1">YEAR(financials[[#This Row],[Date]])</f>
        <v>2023</v>
      </c>
      <c r="S182" s="10"/>
    </row>
    <row r="183" spans="1:19" x14ac:dyDescent="0.3">
      <c r="A183" t="s">
        <v>27</v>
      </c>
      <c r="B183" t="s">
        <v>20</v>
      </c>
      <c r="C183" s="6" t="s">
        <v>18</v>
      </c>
      <c r="D183" s="6" t="str">
        <f>CONCATENATE(financials[[#This Row],[Segment]],",",financials[[#This Row],[Country]],",",financials[[#This Row],[Product]])</f>
        <v>Small Business,Germany,Carretera</v>
      </c>
      <c r="E183" s="6" t="s">
        <v>32</v>
      </c>
      <c r="F183">
        <f t="shared" ca="1" si="4"/>
        <v>568</v>
      </c>
      <c r="G183" s="1">
        <f ca="1">VLOOKUP(financials[[#This Row],[ID]],Prices!D:F,2,FALSE)</f>
        <v>20</v>
      </c>
      <c r="H183" s="1">
        <f ca="1">VLOOKUP(financials[[#This Row],[ID]],Prices!D:F,3,FALSE)</f>
        <v>30</v>
      </c>
      <c r="I183" s="1">
        <f ca="1">financials[[#This Row],[Units Sold]]*financials[[#This Row],[Sale Price]]</f>
        <v>17040</v>
      </c>
      <c r="J1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852</v>
      </c>
      <c r="K183" s="1">
        <f ca="1">financials[[#This Row],[Gross Sales]]-financials[[#This Row],[Discounts]]</f>
        <v>16188</v>
      </c>
      <c r="L183" s="1">
        <f ca="1">financials[[#This Row],[Units Sold]]*financials[[#This Row],[Manufacturing Price]]</f>
        <v>11360</v>
      </c>
      <c r="M183" s="1">
        <f ca="1">financials[[#This Row],[Sales]]-financials[[#This Row],[COGS]]</f>
        <v>4828</v>
      </c>
      <c r="N183" s="7">
        <f t="shared" ca="1" si="5"/>
        <v>45360</v>
      </c>
      <c r="O183" s="8">
        <f ca="1">MONTH(financials[[#This Row],[Date]])</f>
        <v>3</v>
      </c>
      <c r="P183" s="6" t="str">
        <f ca="1">TEXT(financials[[#This Row],[Date]],"MMM")</f>
        <v>Mar</v>
      </c>
      <c r="Q183">
        <f ca="1">YEAR(financials[[#This Row],[Date]])</f>
        <v>2024</v>
      </c>
      <c r="S183" s="10"/>
    </row>
    <row r="184" spans="1:19" x14ac:dyDescent="0.3">
      <c r="A184" t="s">
        <v>16</v>
      </c>
      <c r="B184" t="s">
        <v>36</v>
      </c>
      <c r="C184" s="6" t="s">
        <v>18</v>
      </c>
      <c r="D184" s="6" t="str">
        <f>CONCATENATE(financials[[#This Row],[Segment]],",",financials[[#This Row],[Country]],",",financials[[#This Row],[Product]])</f>
        <v>Government,USA,Carretera</v>
      </c>
      <c r="E184" s="6" t="s">
        <v>32</v>
      </c>
      <c r="F184">
        <f t="shared" ca="1" si="4"/>
        <v>459</v>
      </c>
      <c r="G184" s="1">
        <f ca="1">VLOOKUP(financials[[#This Row],[ID]],Prices!D:F,2,FALSE)</f>
        <v>11</v>
      </c>
      <c r="H184" s="1">
        <f ca="1">VLOOKUP(financials[[#This Row],[ID]],Prices!D:F,3,FALSE)</f>
        <v>21</v>
      </c>
      <c r="I184" s="1">
        <f ca="1">financials[[#This Row],[Units Sold]]*financials[[#This Row],[Sale Price]]</f>
        <v>9639</v>
      </c>
      <c r="J1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481.95000000000005</v>
      </c>
      <c r="K184" s="1">
        <f ca="1">financials[[#This Row],[Gross Sales]]-financials[[#This Row],[Discounts]]</f>
        <v>9157.0499999999993</v>
      </c>
      <c r="L184" s="1">
        <f ca="1">financials[[#This Row],[Units Sold]]*financials[[#This Row],[Manufacturing Price]]</f>
        <v>5049</v>
      </c>
      <c r="M184" s="1">
        <f ca="1">financials[[#This Row],[Sales]]-financials[[#This Row],[COGS]]</f>
        <v>4108.0499999999993</v>
      </c>
      <c r="N184" s="7">
        <f t="shared" ca="1" si="5"/>
        <v>45688</v>
      </c>
      <c r="O184" s="8">
        <f ca="1">MONTH(financials[[#This Row],[Date]])</f>
        <v>1</v>
      </c>
      <c r="P184" s="6" t="str">
        <f ca="1">TEXT(financials[[#This Row],[Date]],"MMM")</f>
        <v>Jan</v>
      </c>
      <c r="Q184">
        <f ca="1">YEAR(financials[[#This Row],[Date]])</f>
        <v>2025</v>
      </c>
      <c r="S184" s="10"/>
    </row>
    <row r="185" spans="1:19" x14ac:dyDescent="0.3">
      <c r="A185" t="s">
        <v>21</v>
      </c>
      <c r="B185" t="s">
        <v>17</v>
      </c>
      <c r="C185" s="6" t="s">
        <v>24</v>
      </c>
      <c r="D185" s="6" t="str">
        <f>CONCATENATE(financials[[#This Row],[Segment]],",",financials[[#This Row],[Country]],",",financials[[#This Row],[Product]])</f>
        <v>Midmarket,Canada,Montana</v>
      </c>
      <c r="E185" s="6" t="s">
        <v>32</v>
      </c>
      <c r="F185">
        <f t="shared" ca="1" si="4"/>
        <v>302</v>
      </c>
      <c r="G185" s="1">
        <f ca="1">VLOOKUP(financials[[#This Row],[ID]],Prices!D:F,2,FALSE)</f>
        <v>14</v>
      </c>
      <c r="H185" s="1">
        <f ca="1">VLOOKUP(financials[[#This Row],[ID]],Prices!D:F,3,FALSE)</f>
        <v>37</v>
      </c>
      <c r="I185" s="1">
        <f ca="1">financials[[#This Row],[Units Sold]]*financials[[#This Row],[Sale Price]]</f>
        <v>11174</v>
      </c>
      <c r="J1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558.70000000000005</v>
      </c>
      <c r="K185" s="1">
        <f ca="1">financials[[#This Row],[Gross Sales]]-financials[[#This Row],[Discounts]]</f>
        <v>10615.3</v>
      </c>
      <c r="L185" s="1">
        <f ca="1">financials[[#This Row],[Units Sold]]*financials[[#This Row],[Manufacturing Price]]</f>
        <v>4228</v>
      </c>
      <c r="M185" s="1">
        <f ca="1">financials[[#This Row],[Sales]]-financials[[#This Row],[COGS]]</f>
        <v>6387.2999999999993</v>
      </c>
      <c r="N185" s="7">
        <f t="shared" ca="1" si="5"/>
        <v>45116</v>
      </c>
      <c r="O185" s="8">
        <f ca="1">MONTH(financials[[#This Row],[Date]])</f>
        <v>7</v>
      </c>
      <c r="P185" s="6" t="str">
        <f ca="1">TEXT(financials[[#This Row],[Date]],"MMM")</f>
        <v>Jul</v>
      </c>
      <c r="Q185">
        <f ca="1">YEAR(financials[[#This Row],[Date]])</f>
        <v>2023</v>
      </c>
      <c r="S185" s="10"/>
    </row>
    <row r="186" spans="1:19" x14ac:dyDescent="0.3">
      <c r="A186" t="s">
        <v>27</v>
      </c>
      <c r="B186" t="s">
        <v>20</v>
      </c>
      <c r="C186" s="6" t="s">
        <v>24</v>
      </c>
      <c r="D186" s="6" t="str">
        <f>CONCATENATE(financials[[#This Row],[Segment]],",",financials[[#This Row],[Country]],",",financials[[#This Row],[Product]])</f>
        <v>Small Business,Germany,Montana</v>
      </c>
      <c r="E186" s="6" t="s">
        <v>32</v>
      </c>
      <c r="F186">
        <f t="shared" ca="1" si="4"/>
        <v>628</v>
      </c>
      <c r="G186" s="1">
        <f ca="1">VLOOKUP(financials[[#This Row],[ID]],Prices!D:F,2,FALSE)</f>
        <v>18</v>
      </c>
      <c r="H186" s="1">
        <f ca="1">VLOOKUP(financials[[#This Row],[ID]],Prices!D:F,3,FALSE)</f>
        <v>35</v>
      </c>
      <c r="I186" s="1">
        <f ca="1">financials[[#This Row],[Units Sold]]*financials[[#This Row],[Sale Price]]</f>
        <v>21980</v>
      </c>
      <c r="J1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1099</v>
      </c>
      <c r="K186" s="1">
        <f ca="1">financials[[#This Row],[Gross Sales]]-financials[[#This Row],[Discounts]]</f>
        <v>20881</v>
      </c>
      <c r="L186" s="1">
        <f ca="1">financials[[#This Row],[Units Sold]]*financials[[#This Row],[Manufacturing Price]]</f>
        <v>11304</v>
      </c>
      <c r="M186" s="1">
        <f ca="1">financials[[#This Row],[Sales]]-financials[[#This Row],[COGS]]</f>
        <v>9577</v>
      </c>
      <c r="N186" s="7">
        <f t="shared" ca="1" si="5"/>
        <v>45395</v>
      </c>
      <c r="O186" s="8">
        <f ca="1">MONTH(financials[[#This Row],[Date]])</f>
        <v>4</v>
      </c>
      <c r="P186" s="6" t="str">
        <f ca="1">TEXT(financials[[#This Row],[Date]],"MMM")</f>
        <v>Apr</v>
      </c>
      <c r="Q186">
        <f ca="1">YEAR(financials[[#This Row],[Date]])</f>
        <v>2024</v>
      </c>
      <c r="S186" s="10"/>
    </row>
    <row r="187" spans="1:19" x14ac:dyDescent="0.3">
      <c r="A187" t="s">
        <v>16</v>
      </c>
      <c r="B187" t="s">
        <v>17</v>
      </c>
      <c r="C187" s="6" t="s">
        <v>24</v>
      </c>
      <c r="D187" s="6" t="str">
        <f>CONCATENATE(financials[[#This Row],[Segment]],",",financials[[#This Row],[Country]],",",financials[[#This Row],[Product]])</f>
        <v>Government,Canada,Montana</v>
      </c>
      <c r="E187" s="6" t="s">
        <v>32</v>
      </c>
      <c r="F187">
        <f t="shared" ca="1" si="4"/>
        <v>315</v>
      </c>
      <c r="G187" s="1">
        <f ca="1">VLOOKUP(financials[[#This Row],[ID]],Prices!D:F,2,FALSE)</f>
        <v>12</v>
      </c>
      <c r="H187" s="1">
        <f ca="1">VLOOKUP(financials[[#This Row],[ID]],Prices!D:F,3,FALSE)</f>
        <v>30</v>
      </c>
      <c r="I187" s="1">
        <f ca="1">financials[[#This Row],[Units Sold]]*financials[[#This Row],[Sale Price]]</f>
        <v>9450</v>
      </c>
      <c r="J1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472.5</v>
      </c>
      <c r="K187" s="1">
        <f ca="1">financials[[#This Row],[Gross Sales]]-financials[[#This Row],[Discounts]]</f>
        <v>8977.5</v>
      </c>
      <c r="L187" s="1">
        <f ca="1">financials[[#This Row],[Units Sold]]*financials[[#This Row],[Manufacturing Price]]</f>
        <v>3780</v>
      </c>
      <c r="M187" s="1">
        <f ca="1">financials[[#This Row],[Sales]]-financials[[#This Row],[COGS]]</f>
        <v>5197.5</v>
      </c>
      <c r="N187" s="7">
        <f t="shared" ca="1" si="5"/>
        <v>45237</v>
      </c>
      <c r="O187" s="8">
        <f ca="1">MONTH(financials[[#This Row],[Date]])</f>
        <v>11</v>
      </c>
      <c r="P187" s="6" t="str">
        <f ca="1">TEXT(financials[[#This Row],[Date]],"MMM")</f>
        <v>Nov</v>
      </c>
      <c r="Q187">
        <f ca="1">YEAR(financials[[#This Row],[Date]])</f>
        <v>2023</v>
      </c>
      <c r="S187" s="10"/>
    </row>
    <row r="188" spans="1:19" x14ac:dyDescent="0.3">
      <c r="A188" t="s">
        <v>27</v>
      </c>
      <c r="B188" t="s">
        <v>20</v>
      </c>
      <c r="C188" s="6" t="s">
        <v>24</v>
      </c>
      <c r="D188" s="6" t="str">
        <f>CONCATENATE(financials[[#This Row],[Segment]],",",financials[[#This Row],[Country]],",",financials[[#This Row],[Product]])</f>
        <v>Small Business,Germany,Montana</v>
      </c>
      <c r="E188" s="6" t="s">
        <v>32</v>
      </c>
      <c r="F188">
        <f t="shared" ca="1" si="4"/>
        <v>608</v>
      </c>
      <c r="G188" s="1">
        <f ca="1">VLOOKUP(financials[[#This Row],[ID]],Prices!D:F,2,FALSE)</f>
        <v>18</v>
      </c>
      <c r="H188" s="1">
        <f ca="1">VLOOKUP(financials[[#This Row],[ID]],Prices!D:F,3,FALSE)</f>
        <v>35</v>
      </c>
      <c r="I188" s="1">
        <f ca="1">financials[[#This Row],[Units Sold]]*financials[[#This Row],[Sale Price]]</f>
        <v>21280</v>
      </c>
      <c r="J1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1064</v>
      </c>
      <c r="K188" s="1">
        <f ca="1">financials[[#This Row],[Gross Sales]]-financials[[#This Row],[Discounts]]</f>
        <v>20216</v>
      </c>
      <c r="L188" s="1">
        <f ca="1">financials[[#This Row],[Units Sold]]*financials[[#This Row],[Manufacturing Price]]</f>
        <v>10944</v>
      </c>
      <c r="M188" s="1">
        <f ca="1">financials[[#This Row],[Sales]]-financials[[#This Row],[COGS]]</f>
        <v>9272</v>
      </c>
      <c r="N188" s="7">
        <f t="shared" ca="1" si="5"/>
        <v>45109</v>
      </c>
      <c r="O188" s="8">
        <f ca="1">MONTH(financials[[#This Row],[Date]])</f>
        <v>7</v>
      </c>
      <c r="P188" s="6" t="str">
        <f ca="1">TEXT(financials[[#This Row],[Date]],"MMM")</f>
        <v>Jul</v>
      </c>
      <c r="Q188">
        <f ca="1">YEAR(financials[[#This Row],[Date]])</f>
        <v>2023</v>
      </c>
      <c r="S188" s="10"/>
    </row>
    <row r="189" spans="1:19" x14ac:dyDescent="0.3">
      <c r="A189" t="s">
        <v>26</v>
      </c>
      <c r="B189" t="s">
        <v>23</v>
      </c>
      <c r="C189" s="6" t="s">
        <v>24</v>
      </c>
      <c r="D189" s="6" t="str">
        <f>CONCATENATE(financials[[#This Row],[Segment]],",",financials[[#This Row],[Country]],",",financials[[#This Row],[Product]])</f>
        <v>Enterprise,Mexico,Montana</v>
      </c>
      <c r="E189" s="6" t="s">
        <v>32</v>
      </c>
      <c r="F189">
        <f t="shared" ca="1" si="4"/>
        <v>153</v>
      </c>
      <c r="G189" s="1">
        <f ca="1">VLOOKUP(financials[[#This Row],[ID]],Prices!D:F,2,FALSE)</f>
        <v>10</v>
      </c>
      <c r="H189" s="1">
        <f ca="1">VLOOKUP(financials[[#This Row],[ID]],Prices!D:F,3,FALSE)</f>
        <v>31</v>
      </c>
      <c r="I189" s="1">
        <f ca="1">financials[[#This Row],[Units Sold]]*financials[[#This Row],[Sale Price]]</f>
        <v>4743</v>
      </c>
      <c r="J1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237.15</v>
      </c>
      <c r="K189" s="1">
        <f ca="1">financials[[#This Row],[Gross Sales]]-financials[[#This Row],[Discounts]]</f>
        <v>4505.8500000000004</v>
      </c>
      <c r="L189" s="1">
        <f ca="1">financials[[#This Row],[Units Sold]]*financials[[#This Row],[Manufacturing Price]]</f>
        <v>1530</v>
      </c>
      <c r="M189" s="1">
        <f ca="1">financials[[#This Row],[Sales]]-financials[[#This Row],[COGS]]</f>
        <v>2975.8500000000004</v>
      </c>
      <c r="N189" s="7">
        <f t="shared" ca="1" si="5"/>
        <v>45561</v>
      </c>
      <c r="O189" s="8">
        <f ca="1">MONTH(financials[[#This Row],[Date]])</f>
        <v>9</v>
      </c>
      <c r="P189" s="6" t="str">
        <f ca="1">TEXT(financials[[#This Row],[Date]],"MMM")</f>
        <v>Sep</v>
      </c>
      <c r="Q189">
        <f ca="1">YEAR(financials[[#This Row],[Date]])</f>
        <v>2024</v>
      </c>
      <c r="S189" s="10"/>
    </row>
    <row r="190" spans="1:19" x14ac:dyDescent="0.3">
      <c r="A190" t="s">
        <v>16</v>
      </c>
      <c r="B190" t="s">
        <v>17</v>
      </c>
      <c r="C190" s="6" t="s">
        <v>28</v>
      </c>
      <c r="D190" s="6" t="str">
        <f>CONCATENATE(financials[[#This Row],[Segment]],",",financials[[#This Row],[Country]],",",financials[[#This Row],[Product]])</f>
        <v>Government,Canada,Paseo</v>
      </c>
      <c r="E190" s="6" t="s">
        <v>32</v>
      </c>
      <c r="F190">
        <f t="shared" ca="1" si="4"/>
        <v>406</v>
      </c>
      <c r="G190" s="1">
        <f ca="1">VLOOKUP(financials[[#This Row],[ID]],Prices!D:F,2,FALSE)</f>
        <v>10</v>
      </c>
      <c r="H190" s="1">
        <f ca="1">VLOOKUP(financials[[#This Row],[ID]],Prices!D:F,3,FALSE)</f>
        <v>23</v>
      </c>
      <c r="I190" s="1">
        <f ca="1">financials[[#This Row],[Units Sold]]*financials[[#This Row],[Sale Price]]</f>
        <v>9338</v>
      </c>
      <c r="J1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466.90000000000003</v>
      </c>
      <c r="K190" s="1">
        <f ca="1">financials[[#This Row],[Gross Sales]]-financials[[#This Row],[Discounts]]</f>
        <v>8871.1</v>
      </c>
      <c r="L190" s="1">
        <f ca="1">financials[[#This Row],[Units Sold]]*financials[[#This Row],[Manufacturing Price]]</f>
        <v>4060</v>
      </c>
      <c r="M190" s="1">
        <f ca="1">financials[[#This Row],[Sales]]-financials[[#This Row],[COGS]]</f>
        <v>4811.1000000000004</v>
      </c>
      <c r="N190" s="7">
        <f t="shared" ca="1" si="5"/>
        <v>45271</v>
      </c>
      <c r="O190" s="8">
        <f ca="1">MONTH(financials[[#This Row],[Date]])</f>
        <v>12</v>
      </c>
      <c r="P190" s="6" t="str">
        <f ca="1">TEXT(financials[[#This Row],[Date]],"MMM")</f>
        <v>Dec</v>
      </c>
      <c r="Q190">
        <f ca="1">YEAR(financials[[#This Row],[Date]])</f>
        <v>2023</v>
      </c>
      <c r="S190" s="10"/>
    </row>
    <row r="191" spans="1:19" x14ac:dyDescent="0.3">
      <c r="A191" t="s">
        <v>26</v>
      </c>
      <c r="B191" t="s">
        <v>20</v>
      </c>
      <c r="C191" s="6" t="s">
        <v>28</v>
      </c>
      <c r="D191" s="6" t="str">
        <f>CONCATENATE(financials[[#This Row],[Segment]],",",financials[[#This Row],[Country]],",",financials[[#This Row],[Product]])</f>
        <v>Enterprise,Germany,Paseo</v>
      </c>
      <c r="E191" s="6" t="s">
        <v>32</v>
      </c>
      <c r="F191">
        <f t="shared" ca="1" si="4"/>
        <v>655</v>
      </c>
      <c r="G191" s="1">
        <f ca="1">VLOOKUP(financials[[#This Row],[ID]],Prices!D:F,2,FALSE)</f>
        <v>14</v>
      </c>
      <c r="H191" s="1">
        <f ca="1">VLOOKUP(financials[[#This Row],[ID]],Prices!D:F,3,FALSE)</f>
        <v>18</v>
      </c>
      <c r="I191" s="1">
        <f ca="1">financials[[#This Row],[Units Sold]]*financials[[#This Row],[Sale Price]]</f>
        <v>11790</v>
      </c>
      <c r="J1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589.5</v>
      </c>
      <c r="K191" s="1">
        <f ca="1">financials[[#This Row],[Gross Sales]]-financials[[#This Row],[Discounts]]</f>
        <v>11200.5</v>
      </c>
      <c r="L191" s="1">
        <f ca="1">financials[[#This Row],[Units Sold]]*financials[[#This Row],[Manufacturing Price]]</f>
        <v>9170</v>
      </c>
      <c r="M191" s="1">
        <f ca="1">financials[[#This Row],[Sales]]-financials[[#This Row],[COGS]]</f>
        <v>2030.5</v>
      </c>
      <c r="N191" s="7">
        <f t="shared" ca="1" si="5"/>
        <v>45750</v>
      </c>
      <c r="O191" s="8">
        <f ca="1">MONTH(financials[[#This Row],[Date]])</f>
        <v>4</v>
      </c>
      <c r="P191" s="6" t="str">
        <f ca="1">TEXT(financials[[#This Row],[Date]],"MMM")</f>
        <v>Apr</v>
      </c>
      <c r="Q191">
        <f ca="1">YEAR(financials[[#This Row],[Date]])</f>
        <v>2025</v>
      </c>
      <c r="S191" s="10"/>
    </row>
    <row r="192" spans="1:19" x14ac:dyDescent="0.3">
      <c r="A192" t="s">
        <v>27</v>
      </c>
      <c r="B192" t="s">
        <v>20</v>
      </c>
      <c r="C192" s="6" t="s">
        <v>28</v>
      </c>
      <c r="D192" s="6" t="str">
        <f>CONCATENATE(financials[[#This Row],[Segment]],",",financials[[#This Row],[Country]],",",financials[[#This Row],[Product]])</f>
        <v>Small Business,Germany,Paseo</v>
      </c>
      <c r="E192" s="6" t="s">
        <v>32</v>
      </c>
      <c r="F192">
        <f t="shared" ca="1" si="4"/>
        <v>775</v>
      </c>
      <c r="G192" s="1">
        <f ca="1">VLOOKUP(financials[[#This Row],[ID]],Prices!D:F,2,FALSE)</f>
        <v>19</v>
      </c>
      <c r="H192" s="1">
        <f ca="1">VLOOKUP(financials[[#This Row],[ID]],Prices!D:F,3,FALSE)</f>
        <v>25</v>
      </c>
      <c r="I192" s="1">
        <f ca="1">financials[[#This Row],[Units Sold]]*financials[[#This Row],[Sale Price]]</f>
        <v>19375</v>
      </c>
      <c r="J1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968.75</v>
      </c>
      <c r="K192" s="1">
        <f ca="1">financials[[#This Row],[Gross Sales]]-financials[[#This Row],[Discounts]]</f>
        <v>18406.25</v>
      </c>
      <c r="L192" s="1">
        <f ca="1">financials[[#This Row],[Units Sold]]*financials[[#This Row],[Manufacturing Price]]</f>
        <v>14725</v>
      </c>
      <c r="M192" s="1">
        <f ca="1">financials[[#This Row],[Sales]]-financials[[#This Row],[COGS]]</f>
        <v>3681.25</v>
      </c>
      <c r="N192" s="7">
        <f t="shared" ca="1" si="5"/>
        <v>45491</v>
      </c>
      <c r="O192" s="8">
        <f ca="1">MONTH(financials[[#This Row],[Date]])</f>
        <v>7</v>
      </c>
      <c r="P192" s="6" t="str">
        <f ca="1">TEXT(financials[[#This Row],[Date]],"MMM")</f>
        <v>Jul</v>
      </c>
      <c r="Q192">
        <f ca="1">YEAR(financials[[#This Row],[Date]])</f>
        <v>2024</v>
      </c>
      <c r="S192" s="10"/>
    </row>
    <row r="193" spans="1:19" x14ac:dyDescent="0.3">
      <c r="A193" t="s">
        <v>27</v>
      </c>
      <c r="B193" t="s">
        <v>36</v>
      </c>
      <c r="C193" s="6" t="s">
        <v>28</v>
      </c>
      <c r="D193" s="6" t="str">
        <f>CONCATENATE(financials[[#This Row],[Segment]],",",financials[[#This Row],[Country]],",",financials[[#This Row],[Product]])</f>
        <v>Small Business,USA,Paseo</v>
      </c>
      <c r="E193" s="6" t="s">
        <v>32</v>
      </c>
      <c r="F193">
        <f t="shared" ca="1" si="4"/>
        <v>479</v>
      </c>
      <c r="G193" s="1">
        <f ca="1">VLOOKUP(financials[[#This Row],[ID]],Prices!D:F,2,FALSE)</f>
        <v>17</v>
      </c>
      <c r="H193" s="1">
        <f ca="1">VLOOKUP(financials[[#This Row],[ID]],Prices!D:F,3,FALSE)</f>
        <v>23</v>
      </c>
      <c r="I193" s="1">
        <f ca="1">financials[[#This Row],[Units Sold]]*financials[[#This Row],[Sale Price]]</f>
        <v>11017</v>
      </c>
      <c r="J1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550.85</v>
      </c>
      <c r="K193" s="1">
        <f ca="1">financials[[#This Row],[Gross Sales]]-financials[[#This Row],[Discounts]]</f>
        <v>10466.15</v>
      </c>
      <c r="L193" s="1">
        <f ca="1">financials[[#This Row],[Units Sold]]*financials[[#This Row],[Manufacturing Price]]</f>
        <v>8143</v>
      </c>
      <c r="M193" s="1">
        <f ca="1">financials[[#This Row],[Sales]]-financials[[#This Row],[COGS]]</f>
        <v>2323.1499999999996</v>
      </c>
      <c r="N193" s="7">
        <f t="shared" ca="1" si="5"/>
        <v>45634</v>
      </c>
      <c r="O193" s="8">
        <f ca="1">MONTH(financials[[#This Row],[Date]])</f>
        <v>12</v>
      </c>
      <c r="P193" s="6" t="str">
        <f ca="1">TEXT(financials[[#This Row],[Date]],"MMM")</f>
        <v>Dec</v>
      </c>
      <c r="Q193">
        <f ca="1">YEAR(financials[[#This Row],[Date]])</f>
        <v>2024</v>
      </c>
      <c r="S193" s="10"/>
    </row>
    <row r="194" spans="1:19" x14ac:dyDescent="0.3">
      <c r="A194" t="s">
        <v>16</v>
      </c>
      <c r="B194" t="s">
        <v>36</v>
      </c>
      <c r="C194" s="6" t="s">
        <v>28</v>
      </c>
      <c r="D194" s="6" t="str">
        <f>CONCATENATE(financials[[#This Row],[Segment]],",",financials[[#This Row],[Country]],",",financials[[#This Row],[Product]])</f>
        <v>Government,USA,Paseo</v>
      </c>
      <c r="E194" s="6" t="s">
        <v>32</v>
      </c>
      <c r="F194">
        <f t="shared" ca="1" si="4"/>
        <v>258</v>
      </c>
      <c r="G194" s="1">
        <f ca="1">VLOOKUP(financials[[#This Row],[ID]],Prices!D:F,2,FALSE)</f>
        <v>17</v>
      </c>
      <c r="H194" s="1">
        <f ca="1">VLOOKUP(financials[[#This Row],[ID]],Prices!D:F,3,FALSE)</f>
        <v>36</v>
      </c>
      <c r="I194" s="1">
        <f ca="1">financials[[#This Row],[Units Sold]]*financials[[#This Row],[Sale Price]]</f>
        <v>9288</v>
      </c>
      <c r="J1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464.40000000000003</v>
      </c>
      <c r="K194" s="1">
        <f ca="1">financials[[#This Row],[Gross Sales]]-financials[[#This Row],[Discounts]]</f>
        <v>8823.6</v>
      </c>
      <c r="L194" s="1">
        <f ca="1">financials[[#This Row],[Units Sold]]*financials[[#This Row],[Manufacturing Price]]</f>
        <v>4386</v>
      </c>
      <c r="M194" s="1">
        <f ca="1">financials[[#This Row],[Sales]]-financials[[#This Row],[COGS]]</f>
        <v>4437.6000000000004</v>
      </c>
      <c r="N194" s="7">
        <f t="shared" ca="1" si="5"/>
        <v>45263</v>
      </c>
      <c r="O194" s="8">
        <f ca="1">MONTH(financials[[#This Row],[Date]])</f>
        <v>12</v>
      </c>
      <c r="P194" s="6" t="str">
        <f ca="1">TEXT(financials[[#This Row],[Date]],"MMM")</f>
        <v>Dec</v>
      </c>
      <c r="Q194">
        <f ca="1">YEAR(financials[[#This Row],[Date]])</f>
        <v>2023</v>
      </c>
      <c r="S194" s="10"/>
    </row>
    <row r="195" spans="1:19" x14ac:dyDescent="0.3">
      <c r="A195" t="s">
        <v>26</v>
      </c>
      <c r="B195" t="s">
        <v>22</v>
      </c>
      <c r="C195" s="6" t="s">
        <v>28</v>
      </c>
      <c r="D195" s="6" t="str">
        <f>CONCATENATE(financials[[#This Row],[Segment]],",",financials[[#This Row],[Country]],",",financials[[#This Row],[Product]])</f>
        <v>Enterprise,France,Paseo</v>
      </c>
      <c r="E195" s="6" t="s">
        <v>32</v>
      </c>
      <c r="F195">
        <f t="shared" ref="F195:F258" ca="1" si="6">RANDBETWEEN(10,1000)</f>
        <v>353</v>
      </c>
      <c r="G195" s="1">
        <f ca="1">VLOOKUP(financials[[#This Row],[ID]],Prices!D:F,2,FALSE)</f>
        <v>11</v>
      </c>
      <c r="H195" s="1">
        <f ca="1">VLOOKUP(financials[[#This Row],[ID]],Prices!D:F,3,FALSE)</f>
        <v>21</v>
      </c>
      <c r="I195" s="1">
        <f ca="1">financials[[#This Row],[Units Sold]]*financials[[#This Row],[Sale Price]]</f>
        <v>7413</v>
      </c>
      <c r="J1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370.65000000000003</v>
      </c>
      <c r="K195" s="1">
        <f ca="1">financials[[#This Row],[Gross Sales]]-financials[[#This Row],[Discounts]]</f>
        <v>7042.35</v>
      </c>
      <c r="L195" s="1">
        <f ca="1">financials[[#This Row],[Units Sold]]*financials[[#This Row],[Manufacturing Price]]</f>
        <v>3883</v>
      </c>
      <c r="M195" s="1">
        <f ca="1">financials[[#This Row],[Sales]]-financials[[#This Row],[COGS]]</f>
        <v>3159.3500000000004</v>
      </c>
      <c r="N195" s="7">
        <f t="shared" ref="N195:N258" ca="1" si="7">TODAY()-RANDBETWEEN(1,732)</f>
        <v>45271</v>
      </c>
      <c r="O195" s="8">
        <f ca="1">MONTH(financials[[#This Row],[Date]])</f>
        <v>12</v>
      </c>
      <c r="P195" s="6" t="str">
        <f ca="1">TEXT(financials[[#This Row],[Date]],"MMM")</f>
        <v>Dec</v>
      </c>
      <c r="Q195">
        <f ca="1">YEAR(financials[[#This Row],[Date]])</f>
        <v>2023</v>
      </c>
      <c r="S195" s="10"/>
    </row>
    <row r="196" spans="1:19" x14ac:dyDescent="0.3">
      <c r="A196" t="s">
        <v>21</v>
      </c>
      <c r="B196" t="s">
        <v>17</v>
      </c>
      <c r="C196" s="6" t="s">
        <v>28</v>
      </c>
      <c r="D196" s="6" t="str">
        <f>CONCATENATE(financials[[#This Row],[Segment]],",",financials[[#This Row],[Country]],",",financials[[#This Row],[Product]])</f>
        <v>Midmarket,Canada,Paseo</v>
      </c>
      <c r="E196" s="6" t="s">
        <v>32</v>
      </c>
      <c r="F196">
        <f t="shared" ca="1" si="6"/>
        <v>252</v>
      </c>
      <c r="G196" s="1">
        <f ca="1">VLOOKUP(financials[[#This Row],[ID]],Prices!D:F,2,FALSE)</f>
        <v>15</v>
      </c>
      <c r="H196" s="1">
        <f ca="1">VLOOKUP(financials[[#This Row],[ID]],Prices!D:F,3,FALSE)</f>
        <v>36</v>
      </c>
      <c r="I196" s="1">
        <f ca="1">financials[[#This Row],[Units Sold]]*financials[[#This Row],[Sale Price]]</f>
        <v>9072</v>
      </c>
      <c r="J1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453.6</v>
      </c>
      <c r="K196" s="1">
        <f ca="1">financials[[#This Row],[Gross Sales]]-financials[[#This Row],[Discounts]]</f>
        <v>8618.4</v>
      </c>
      <c r="L196" s="1">
        <f ca="1">financials[[#This Row],[Units Sold]]*financials[[#This Row],[Manufacturing Price]]</f>
        <v>3780</v>
      </c>
      <c r="M196" s="1">
        <f ca="1">financials[[#This Row],[Sales]]-financials[[#This Row],[COGS]]</f>
        <v>4838.3999999999996</v>
      </c>
      <c r="N196" s="7">
        <f t="shared" ca="1" si="7"/>
        <v>45460</v>
      </c>
      <c r="O196" s="8">
        <f ca="1">MONTH(financials[[#This Row],[Date]])</f>
        <v>6</v>
      </c>
      <c r="P196" s="6" t="str">
        <f ca="1">TEXT(financials[[#This Row],[Date]],"MMM")</f>
        <v>Jun</v>
      </c>
      <c r="Q196">
        <f ca="1">YEAR(financials[[#This Row],[Date]])</f>
        <v>2024</v>
      </c>
      <c r="S196" s="10"/>
    </row>
    <row r="197" spans="1:19" x14ac:dyDescent="0.3">
      <c r="A197" t="s">
        <v>16</v>
      </c>
      <c r="B197" t="s">
        <v>17</v>
      </c>
      <c r="C197" s="6" t="s">
        <v>28</v>
      </c>
      <c r="D197" s="6" t="str">
        <f>CONCATENATE(financials[[#This Row],[Segment]],",",financials[[#This Row],[Country]],",",financials[[#This Row],[Product]])</f>
        <v>Government,Canada,Paseo</v>
      </c>
      <c r="E197" s="6" t="s">
        <v>32</v>
      </c>
      <c r="F197">
        <f t="shared" ca="1" si="6"/>
        <v>218</v>
      </c>
      <c r="G197" s="1">
        <f ca="1">VLOOKUP(financials[[#This Row],[ID]],Prices!D:F,2,FALSE)</f>
        <v>10</v>
      </c>
      <c r="H197" s="1">
        <f ca="1">VLOOKUP(financials[[#This Row],[ID]],Prices!D:F,3,FALSE)</f>
        <v>23</v>
      </c>
      <c r="I197" s="1">
        <f ca="1">financials[[#This Row],[Units Sold]]*financials[[#This Row],[Sale Price]]</f>
        <v>5014</v>
      </c>
      <c r="J1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250.70000000000002</v>
      </c>
      <c r="K197" s="1">
        <f ca="1">financials[[#This Row],[Gross Sales]]-financials[[#This Row],[Discounts]]</f>
        <v>4763.3</v>
      </c>
      <c r="L197" s="1">
        <f ca="1">financials[[#This Row],[Units Sold]]*financials[[#This Row],[Manufacturing Price]]</f>
        <v>2180</v>
      </c>
      <c r="M197" s="1">
        <f ca="1">financials[[#This Row],[Sales]]-financials[[#This Row],[COGS]]</f>
        <v>2583.3000000000002</v>
      </c>
      <c r="N197" s="7">
        <f t="shared" ca="1" si="7"/>
        <v>45155</v>
      </c>
      <c r="O197" s="8">
        <f ca="1">MONTH(financials[[#This Row],[Date]])</f>
        <v>8</v>
      </c>
      <c r="P197" s="6" t="str">
        <f ca="1">TEXT(financials[[#This Row],[Date]],"MMM")</f>
        <v>Aug</v>
      </c>
      <c r="Q197">
        <f ca="1">YEAR(financials[[#This Row],[Date]])</f>
        <v>2023</v>
      </c>
      <c r="S197" s="10"/>
    </row>
    <row r="198" spans="1:19" x14ac:dyDescent="0.3">
      <c r="A198" t="s">
        <v>16</v>
      </c>
      <c r="B198" t="s">
        <v>36</v>
      </c>
      <c r="C198" s="6" t="s">
        <v>28</v>
      </c>
      <c r="D198" s="6" t="str">
        <f>CONCATENATE(financials[[#This Row],[Segment]],",",financials[[#This Row],[Country]],",",financials[[#This Row],[Product]])</f>
        <v>Government,USA,Paseo</v>
      </c>
      <c r="E198" s="6" t="s">
        <v>32</v>
      </c>
      <c r="F198">
        <f t="shared" ca="1" si="6"/>
        <v>115</v>
      </c>
      <c r="G198" s="1">
        <f ca="1">VLOOKUP(financials[[#This Row],[ID]],Prices!D:F,2,FALSE)</f>
        <v>17</v>
      </c>
      <c r="H198" s="1">
        <f ca="1">VLOOKUP(financials[[#This Row],[ID]],Prices!D:F,3,FALSE)</f>
        <v>36</v>
      </c>
      <c r="I198" s="1">
        <f ca="1">financials[[#This Row],[Units Sold]]*financials[[#This Row],[Sale Price]]</f>
        <v>4140</v>
      </c>
      <c r="J1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207</v>
      </c>
      <c r="K198" s="1">
        <f ca="1">financials[[#This Row],[Gross Sales]]-financials[[#This Row],[Discounts]]</f>
        <v>3933</v>
      </c>
      <c r="L198" s="1">
        <f ca="1">financials[[#This Row],[Units Sold]]*financials[[#This Row],[Manufacturing Price]]</f>
        <v>1955</v>
      </c>
      <c r="M198" s="1">
        <f ca="1">financials[[#This Row],[Sales]]-financials[[#This Row],[COGS]]</f>
        <v>1978</v>
      </c>
      <c r="N198" s="7">
        <f t="shared" ca="1" si="7"/>
        <v>45044</v>
      </c>
      <c r="O198" s="8">
        <f ca="1">MONTH(financials[[#This Row],[Date]])</f>
        <v>4</v>
      </c>
      <c r="P198" s="6" t="str">
        <f ca="1">TEXT(financials[[#This Row],[Date]],"MMM")</f>
        <v>Apr</v>
      </c>
      <c r="Q198">
        <f ca="1">YEAR(financials[[#This Row],[Date]])</f>
        <v>2023</v>
      </c>
      <c r="S198" s="10"/>
    </row>
    <row r="199" spans="1:19" x14ac:dyDescent="0.3">
      <c r="A199" t="s">
        <v>21</v>
      </c>
      <c r="B199" t="s">
        <v>36</v>
      </c>
      <c r="C199" s="6" t="s">
        <v>28</v>
      </c>
      <c r="D199" s="6" t="str">
        <f>CONCATENATE(financials[[#This Row],[Segment]],",",financials[[#This Row],[Country]],",",financials[[#This Row],[Product]])</f>
        <v>Midmarket,USA,Paseo</v>
      </c>
      <c r="E199" s="6" t="s">
        <v>32</v>
      </c>
      <c r="F199">
        <f t="shared" ca="1" si="6"/>
        <v>78</v>
      </c>
      <c r="G199" s="1">
        <f ca="1">VLOOKUP(financials[[#This Row],[ID]],Prices!D:F,2,FALSE)</f>
        <v>13</v>
      </c>
      <c r="H199" s="1">
        <f ca="1">VLOOKUP(financials[[#This Row],[ID]],Prices!D:F,3,FALSE)</f>
        <v>25</v>
      </c>
      <c r="I199" s="1">
        <f ca="1">financials[[#This Row],[Units Sold]]*financials[[#This Row],[Sale Price]]</f>
        <v>1950</v>
      </c>
      <c r="J1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97.5</v>
      </c>
      <c r="K199" s="1">
        <f ca="1">financials[[#This Row],[Gross Sales]]-financials[[#This Row],[Discounts]]</f>
        <v>1852.5</v>
      </c>
      <c r="L199" s="1">
        <f ca="1">financials[[#This Row],[Units Sold]]*financials[[#This Row],[Manufacturing Price]]</f>
        <v>1014</v>
      </c>
      <c r="M199" s="1">
        <f ca="1">financials[[#This Row],[Sales]]-financials[[#This Row],[COGS]]</f>
        <v>838.5</v>
      </c>
      <c r="N199" s="7">
        <f t="shared" ca="1" si="7"/>
        <v>45201</v>
      </c>
      <c r="O199" s="8">
        <f ca="1">MONTH(financials[[#This Row],[Date]])</f>
        <v>10</v>
      </c>
      <c r="P199" s="6" t="str">
        <f ca="1">TEXT(financials[[#This Row],[Date]],"MMM")</f>
        <v>Oct</v>
      </c>
      <c r="Q199">
        <f ca="1">YEAR(financials[[#This Row],[Date]])</f>
        <v>2023</v>
      </c>
      <c r="S199" s="10"/>
    </row>
    <row r="200" spans="1:19" x14ac:dyDescent="0.3">
      <c r="A200" t="s">
        <v>21</v>
      </c>
      <c r="B200" t="s">
        <v>23</v>
      </c>
      <c r="C200" s="6" t="s">
        <v>28</v>
      </c>
      <c r="D200" s="6" t="str">
        <f>CONCATENATE(financials[[#This Row],[Segment]],",",financials[[#This Row],[Country]],",",financials[[#This Row],[Product]])</f>
        <v>Midmarket,Mexico,Paseo</v>
      </c>
      <c r="E200" s="6" t="s">
        <v>32</v>
      </c>
      <c r="F200">
        <f t="shared" ca="1" si="6"/>
        <v>375</v>
      </c>
      <c r="G200" s="1">
        <f ca="1">VLOOKUP(financials[[#This Row],[ID]],Prices!D:F,2,FALSE)</f>
        <v>11</v>
      </c>
      <c r="H200" s="1">
        <f ca="1">VLOOKUP(financials[[#This Row],[ID]],Prices!D:F,3,FALSE)</f>
        <v>21</v>
      </c>
      <c r="I200" s="1">
        <f ca="1">financials[[#This Row],[Units Sold]]*financials[[#This Row],[Sale Price]]</f>
        <v>7875</v>
      </c>
      <c r="J2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393.75</v>
      </c>
      <c r="K200" s="1">
        <f ca="1">financials[[#This Row],[Gross Sales]]-financials[[#This Row],[Discounts]]</f>
        <v>7481.25</v>
      </c>
      <c r="L200" s="1">
        <f ca="1">financials[[#This Row],[Units Sold]]*financials[[#This Row],[Manufacturing Price]]</f>
        <v>4125</v>
      </c>
      <c r="M200" s="1">
        <f ca="1">financials[[#This Row],[Sales]]-financials[[#This Row],[COGS]]</f>
        <v>3356.25</v>
      </c>
      <c r="N200" s="7">
        <f t="shared" ca="1" si="7"/>
        <v>45650</v>
      </c>
      <c r="O200" s="8">
        <f ca="1">MONTH(financials[[#This Row],[Date]])</f>
        <v>12</v>
      </c>
      <c r="P200" s="6" t="str">
        <f ca="1">TEXT(financials[[#This Row],[Date]],"MMM")</f>
        <v>Dec</v>
      </c>
      <c r="Q200">
        <f ca="1">YEAR(financials[[#This Row],[Date]])</f>
        <v>2024</v>
      </c>
      <c r="S200" s="10"/>
    </row>
    <row r="201" spans="1:19" x14ac:dyDescent="0.3">
      <c r="A201" t="s">
        <v>16</v>
      </c>
      <c r="B201" t="s">
        <v>36</v>
      </c>
      <c r="C201" s="6" t="s">
        <v>28</v>
      </c>
      <c r="D201" s="6" t="str">
        <f>CONCATENATE(financials[[#This Row],[Segment]],",",financials[[#This Row],[Country]],",",financials[[#This Row],[Product]])</f>
        <v>Government,USA,Paseo</v>
      </c>
      <c r="E201" s="6" t="s">
        <v>32</v>
      </c>
      <c r="F201">
        <f t="shared" ca="1" si="6"/>
        <v>794</v>
      </c>
      <c r="G201" s="1">
        <f ca="1">VLOOKUP(financials[[#This Row],[ID]],Prices!D:F,2,FALSE)</f>
        <v>17</v>
      </c>
      <c r="H201" s="1">
        <f ca="1">VLOOKUP(financials[[#This Row],[ID]],Prices!D:F,3,FALSE)</f>
        <v>36</v>
      </c>
      <c r="I201" s="1">
        <f ca="1">financials[[#This Row],[Units Sold]]*financials[[#This Row],[Sale Price]]</f>
        <v>28584</v>
      </c>
      <c r="J2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1429.2</v>
      </c>
      <c r="K201" s="1">
        <f ca="1">financials[[#This Row],[Gross Sales]]-financials[[#This Row],[Discounts]]</f>
        <v>27154.799999999999</v>
      </c>
      <c r="L201" s="1">
        <f ca="1">financials[[#This Row],[Units Sold]]*financials[[#This Row],[Manufacturing Price]]</f>
        <v>13498</v>
      </c>
      <c r="M201" s="1">
        <f ca="1">financials[[#This Row],[Sales]]-financials[[#This Row],[COGS]]</f>
        <v>13656.8</v>
      </c>
      <c r="N201" s="7">
        <f t="shared" ca="1" si="7"/>
        <v>45573</v>
      </c>
      <c r="O201" s="8">
        <f ca="1">MONTH(financials[[#This Row],[Date]])</f>
        <v>10</v>
      </c>
      <c r="P201" s="6" t="str">
        <f ca="1">TEXT(financials[[#This Row],[Date]],"MMM")</f>
        <v>Oct</v>
      </c>
      <c r="Q201">
        <f ca="1">YEAR(financials[[#This Row],[Date]])</f>
        <v>2024</v>
      </c>
      <c r="S201" s="10"/>
    </row>
    <row r="202" spans="1:19" x14ac:dyDescent="0.3">
      <c r="A202" t="s">
        <v>26</v>
      </c>
      <c r="B202" t="s">
        <v>23</v>
      </c>
      <c r="C202" s="6" t="s">
        <v>28</v>
      </c>
      <c r="D202" s="6" t="str">
        <f>CONCATENATE(financials[[#This Row],[Segment]],",",financials[[#This Row],[Country]],",",financials[[#This Row],[Product]])</f>
        <v>Enterprise,Mexico,Paseo</v>
      </c>
      <c r="E202" s="6" t="s">
        <v>32</v>
      </c>
      <c r="F202">
        <f t="shared" ca="1" si="6"/>
        <v>647</v>
      </c>
      <c r="G202" s="1">
        <f ca="1">VLOOKUP(financials[[#This Row],[ID]],Prices!D:F,2,FALSE)</f>
        <v>17</v>
      </c>
      <c r="H202" s="1">
        <f ca="1">VLOOKUP(financials[[#This Row],[ID]],Prices!D:F,3,FALSE)</f>
        <v>27</v>
      </c>
      <c r="I202" s="1">
        <f ca="1">financials[[#This Row],[Units Sold]]*financials[[#This Row],[Sale Price]]</f>
        <v>17469</v>
      </c>
      <c r="J2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873.45</v>
      </c>
      <c r="K202" s="1">
        <f ca="1">financials[[#This Row],[Gross Sales]]-financials[[#This Row],[Discounts]]</f>
        <v>16595.55</v>
      </c>
      <c r="L202" s="1">
        <f ca="1">financials[[#This Row],[Units Sold]]*financials[[#This Row],[Manufacturing Price]]</f>
        <v>10999</v>
      </c>
      <c r="M202" s="1">
        <f ca="1">financials[[#This Row],[Sales]]-financials[[#This Row],[COGS]]</f>
        <v>5596.5499999999993</v>
      </c>
      <c r="N202" s="7">
        <f t="shared" ca="1" si="7"/>
        <v>45533</v>
      </c>
      <c r="O202" s="8">
        <f ca="1">MONTH(financials[[#This Row],[Date]])</f>
        <v>8</v>
      </c>
      <c r="P202" s="6" t="str">
        <f ca="1">TEXT(financials[[#This Row],[Date]],"MMM")</f>
        <v>Aug</v>
      </c>
      <c r="Q202">
        <f ca="1">YEAR(financials[[#This Row],[Date]])</f>
        <v>2024</v>
      </c>
      <c r="S202" s="10"/>
    </row>
    <row r="203" spans="1:19" x14ac:dyDescent="0.3">
      <c r="A203" t="s">
        <v>25</v>
      </c>
      <c r="B203" t="s">
        <v>36</v>
      </c>
      <c r="C203" s="6" t="s">
        <v>29</v>
      </c>
      <c r="D203" s="6" t="str">
        <f>CONCATENATE(financials[[#This Row],[Segment]],",",financials[[#This Row],[Country]],",",financials[[#This Row],[Product]])</f>
        <v>Channel Partners,USA,Velo</v>
      </c>
      <c r="E203" s="6" t="s">
        <v>32</v>
      </c>
      <c r="F203">
        <f t="shared" ca="1" si="6"/>
        <v>236</v>
      </c>
      <c r="G203" s="1">
        <f ca="1">VLOOKUP(financials[[#This Row],[ID]],Prices!D:F,2,FALSE)</f>
        <v>11</v>
      </c>
      <c r="H203" s="1">
        <f ca="1">VLOOKUP(financials[[#This Row],[ID]],Prices!D:F,3,FALSE)</f>
        <v>34</v>
      </c>
      <c r="I203" s="1">
        <f ca="1">financials[[#This Row],[Units Sold]]*financials[[#This Row],[Sale Price]]</f>
        <v>8024</v>
      </c>
      <c r="J2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401.20000000000005</v>
      </c>
      <c r="K203" s="1">
        <f ca="1">financials[[#This Row],[Gross Sales]]-financials[[#This Row],[Discounts]]</f>
        <v>7622.8</v>
      </c>
      <c r="L203" s="1">
        <f ca="1">financials[[#This Row],[Units Sold]]*financials[[#This Row],[Manufacturing Price]]</f>
        <v>2596</v>
      </c>
      <c r="M203" s="1">
        <f ca="1">financials[[#This Row],[Sales]]-financials[[#This Row],[COGS]]</f>
        <v>5026.8</v>
      </c>
      <c r="N203" s="7">
        <f t="shared" ca="1" si="7"/>
        <v>45167</v>
      </c>
      <c r="O203" s="8">
        <f ca="1">MONTH(financials[[#This Row],[Date]])</f>
        <v>8</v>
      </c>
      <c r="P203" s="6" t="str">
        <f ca="1">TEXT(financials[[#This Row],[Date]],"MMM")</f>
        <v>Aug</v>
      </c>
      <c r="Q203">
        <f ca="1">YEAR(financials[[#This Row],[Date]])</f>
        <v>2023</v>
      </c>
      <c r="S203" s="10"/>
    </row>
    <row r="204" spans="1:19" x14ac:dyDescent="0.3">
      <c r="A204" t="s">
        <v>16</v>
      </c>
      <c r="B204" t="s">
        <v>17</v>
      </c>
      <c r="C204" s="6" t="s">
        <v>29</v>
      </c>
      <c r="D204" s="6" t="str">
        <f>CONCATENATE(financials[[#This Row],[Segment]],",",financials[[#This Row],[Country]],",",financials[[#This Row],[Product]])</f>
        <v>Government,Canada,Velo</v>
      </c>
      <c r="E204" s="6" t="s">
        <v>32</v>
      </c>
      <c r="F204">
        <f t="shared" ca="1" si="6"/>
        <v>425</v>
      </c>
      <c r="G204" s="1">
        <f ca="1">VLOOKUP(financials[[#This Row],[ID]],Prices!D:F,2,FALSE)</f>
        <v>19</v>
      </c>
      <c r="H204" s="1">
        <f ca="1">VLOOKUP(financials[[#This Row],[ID]],Prices!D:F,3,FALSE)</f>
        <v>37</v>
      </c>
      <c r="I204" s="1">
        <f ca="1">financials[[#This Row],[Units Sold]]*financials[[#This Row],[Sale Price]]</f>
        <v>15725</v>
      </c>
      <c r="J2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786.25</v>
      </c>
      <c r="K204" s="1">
        <f ca="1">financials[[#This Row],[Gross Sales]]-financials[[#This Row],[Discounts]]</f>
        <v>14938.75</v>
      </c>
      <c r="L204" s="1">
        <f ca="1">financials[[#This Row],[Units Sold]]*financials[[#This Row],[Manufacturing Price]]</f>
        <v>8075</v>
      </c>
      <c r="M204" s="1">
        <f ca="1">financials[[#This Row],[Sales]]-financials[[#This Row],[COGS]]</f>
        <v>6863.75</v>
      </c>
      <c r="N204" s="7">
        <f t="shared" ca="1" si="7"/>
        <v>45054</v>
      </c>
      <c r="O204" s="8">
        <f ca="1">MONTH(financials[[#This Row],[Date]])</f>
        <v>5</v>
      </c>
      <c r="P204" s="6" t="str">
        <f ca="1">TEXT(financials[[#This Row],[Date]],"MMM")</f>
        <v>May</v>
      </c>
      <c r="Q204">
        <f ca="1">YEAR(financials[[#This Row],[Date]])</f>
        <v>2023</v>
      </c>
      <c r="S204" s="10"/>
    </row>
    <row r="205" spans="1:19" x14ac:dyDescent="0.3">
      <c r="A205" t="s">
        <v>16</v>
      </c>
      <c r="B205" t="s">
        <v>22</v>
      </c>
      <c r="C205" s="6" t="s">
        <v>29</v>
      </c>
      <c r="D205" s="6" t="str">
        <f>CONCATENATE(financials[[#This Row],[Segment]],",",financials[[#This Row],[Country]],",",financials[[#This Row],[Product]])</f>
        <v>Government,France,Velo</v>
      </c>
      <c r="E205" s="6" t="s">
        <v>32</v>
      </c>
      <c r="F205">
        <f t="shared" ca="1" si="6"/>
        <v>706</v>
      </c>
      <c r="G205" s="1">
        <f ca="1">VLOOKUP(financials[[#This Row],[ID]],Prices!D:F,2,FALSE)</f>
        <v>20</v>
      </c>
      <c r="H205" s="1">
        <f ca="1">VLOOKUP(financials[[#This Row],[ID]],Prices!D:F,3,FALSE)</f>
        <v>36</v>
      </c>
      <c r="I205" s="1">
        <f ca="1">financials[[#This Row],[Units Sold]]*financials[[#This Row],[Sale Price]]</f>
        <v>25416</v>
      </c>
      <c r="J2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1270.8000000000002</v>
      </c>
      <c r="K205" s="1">
        <f ca="1">financials[[#This Row],[Gross Sales]]-financials[[#This Row],[Discounts]]</f>
        <v>24145.200000000001</v>
      </c>
      <c r="L205" s="1">
        <f ca="1">financials[[#This Row],[Units Sold]]*financials[[#This Row],[Manufacturing Price]]</f>
        <v>14120</v>
      </c>
      <c r="M205" s="1">
        <f ca="1">financials[[#This Row],[Sales]]-financials[[#This Row],[COGS]]</f>
        <v>10025.200000000001</v>
      </c>
      <c r="N205" s="7">
        <f t="shared" ca="1" si="7"/>
        <v>45126</v>
      </c>
      <c r="O205" s="8">
        <f ca="1">MONTH(financials[[#This Row],[Date]])</f>
        <v>7</v>
      </c>
      <c r="P205" s="6" t="str">
        <f ca="1">TEXT(financials[[#This Row],[Date]],"MMM")</f>
        <v>Jul</v>
      </c>
      <c r="Q205">
        <f ca="1">YEAR(financials[[#This Row],[Date]])</f>
        <v>2023</v>
      </c>
      <c r="S205" s="10"/>
    </row>
    <row r="206" spans="1:19" x14ac:dyDescent="0.3">
      <c r="A206" t="s">
        <v>25</v>
      </c>
      <c r="B206" t="s">
        <v>22</v>
      </c>
      <c r="C206" s="6" t="s">
        <v>30</v>
      </c>
      <c r="D206" s="6" t="str">
        <f>CONCATENATE(financials[[#This Row],[Segment]],",",financials[[#This Row],[Country]],",",financials[[#This Row],[Product]])</f>
        <v>Channel Partners,France,VTT</v>
      </c>
      <c r="E206" s="6" t="s">
        <v>32</v>
      </c>
      <c r="F206">
        <f t="shared" ca="1" si="6"/>
        <v>743</v>
      </c>
      <c r="G206" s="1">
        <f ca="1">VLOOKUP(financials[[#This Row],[ID]],Prices!D:F,2,FALSE)</f>
        <v>11</v>
      </c>
      <c r="H206" s="1">
        <f ca="1">VLOOKUP(financials[[#This Row],[ID]],Prices!D:F,3,FALSE)</f>
        <v>38</v>
      </c>
      <c r="I206" s="1">
        <f ca="1">financials[[#This Row],[Units Sold]]*financials[[#This Row],[Sale Price]]</f>
        <v>28234</v>
      </c>
      <c r="J2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1411.7</v>
      </c>
      <c r="K206" s="1">
        <f ca="1">financials[[#This Row],[Gross Sales]]-financials[[#This Row],[Discounts]]</f>
        <v>26822.3</v>
      </c>
      <c r="L206" s="1">
        <f ca="1">financials[[#This Row],[Units Sold]]*financials[[#This Row],[Manufacturing Price]]</f>
        <v>8173</v>
      </c>
      <c r="M206" s="1">
        <f ca="1">financials[[#This Row],[Sales]]-financials[[#This Row],[COGS]]</f>
        <v>18649.3</v>
      </c>
      <c r="N206" s="7">
        <f t="shared" ca="1" si="7"/>
        <v>45673</v>
      </c>
      <c r="O206" s="8">
        <f ca="1">MONTH(financials[[#This Row],[Date]])</f>
        <v>1</v>
      </c>
      <c r="P206" s="6" t="str">
        <f ca="1">TEXT(financials[[#This Row],[Date]],"MMM")</f>
        <v>Jan</v>
      </c>
      <c r="Q206">
        <f ca="1">YEAR(financials[[#This Row],[Date]])</f>
        <v>2025</v>
      </c>
      <c r="S206" s="10"/>
    </row>
    <row r="207" spans="1:19" x14ac:dyDescent="0.3">
      <c r="A207" t="s">
        <v>16</v>
      </c>
      <c r="B207" t="s">
        <v>36</v>
      </c>
      <c r="C207" s="6" t="s">
        <v>30</v>
      </c>
      <c r="D207" s="6" t="str">
        <f>CONCATENATE(financials[[#This Row],[Segment]],",",financials[[#This Row],[Country]],",",financials[[#This Row],[Product]])</f>
        <v>Government,USA,VTT</v>
      </c>
      <c r="E207" s="6" t="s">
        <v>32</v>
      </c>
      <c r="F207">
        <f t="shared" ca="1" si="6"/>
        <v>571</v>
      </c>
      <c r="G207" s="1">
        <f ca="1">VLOOKUP(financials[[#This Row],[ID]],Prices!D:F,2,FALSE)</f>
        <v>13</v>
      </c>
      <c r="H207" s="1">
        <f ca="1">VLOOKUP(financials[[#This Row],[ID]],Prices!D:F,3,FALSE)</f>
        <v>31</v>
      </c>
      <c r="I207" s="1">
        <f ca="1">financials[[#This Row],[Units Sold]]*financials[[#This Row],[Sale Price]]</f>
        <v>17701</v>
      </c>
      <c r="J2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885.05000000000007</v>
      </c>
      <c r="K207" s="1">
        <f ca="1">financials[[#This Row],[Gross Sales]]-financials[[#This Row],[Discounts]]</f>
        <v>16815.95</v>
      </c>
      <c r="L207" s="1">
        <f ca="1">financials[[#This Row],[Units Sold]]*financials[[#This Row],[Manufacturing Price]]</f>
        <v>7423</v>
      </c>
      <c r="M207" s="1">
        <f ca="1">financials[[#This Row],[Sales]]-financials[[#This Row],[COGS]]</f>
        <v>9392.9500000000007</v>
      </c>
      <c r="N207" s="7">
        <f t="shared" ca="1" si="7"/>
        <v>45249</v>
      </c>
      <c r="O207" s="8">
        <f ca="1">MONTH(financials[[#This Row],[Date]])</f>
        <v>11</v>
      </c>
      <c r="P207" s="6" t="str">
        <f ca="1">TEXT(financials[[#This Row],[Date]],"MMM")</f>
        <v>Nov</v>
      </c>
      <c r="Q207">
        <f ca="1">YEAR(financials[[#This Row],[Date]])</f>
        <v>2023</v>
      </c>
      <c r="S207" s="10"/>
    </row>
    <row r="208" spans="1:19" x14ac:dyDescent="0.3">
      <c r="A208" t="s">
        <v>16</v>
      </c>
      <c r="B208" t="s">
        <v>22</v>
      </c>
      <c r="C208" s="6" t="s">
        <v>30</v>
      </c>
      <c r="D208" s="6" t="str">
        <f>CONCATENATE(financials[[#This Row],[Segment]],",",financials[[#This Row],[Country]],",",financials[[#This Row],[Product]])</f>
        <v>Government,France,VTT</v>
      </c>
      <c r="E208" s="6" t="s">
        <v>32</v>
      </c>
      <c r="F208">
        <f t="shared" ca="1" si="6"/>
        <v>858</v>
      </c>
      <c r="G208" s="1">
        <f ca="1">VLOOKUP(financials[[#This Row],[ID]],Prices!D:F,2,FALSE)</f>
        <v>18</v>
      </c>
      <c r="H208" s="1">
        <f ca="1">VLOOKUP(financials[[#This Row],[ID]],Prices!D:F,3,FALSE)</f>
        <v>32</v>
      </c>
      <c r="I208" s="1">
        <f ca="1">financials[[#This Row],[Units Sold]]*financials[[#This Row],[Sale Price]]</f>
        <v>27456</v>
      </c>
      <c r="J2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1372.8000000000002</v>
      </c>
      <c r="K208" s="1">
        <f ca="1">financials[[#This Row],[Gross Sales]]-financials[[#This Row],[Discounts]]</f>
        <v>26083.200000000001</v>
      </c>
      <c r="L208" s="1">
        <f ca="1">financials[[#This Row],[Units Sold]]*financials[[#This Row],[Manufacturing Price]]</f>
        <v>15444</v>
      </c>
      <c r="M208" s="1">
        <f ca="1">financials[[#This Row],[Sales]]-financials[[#This Row],[COGS]]</f>
        <v>10639.2</v>
      </c>
      <c r="N208" s="7">
        <f t="shared" ca="1" si="7"/>
        <v>45748</v>
      </c>
      <c r="O208" s="8">
        <f ca="1">MONTH(financials[[#This Row],[Date]])</f>
        <v>4</v>
      </c>
      <c r="P208" s="6" t="str">
        <f ca="1">TEXT(financials[[#This Row],[Date]],"MMM")</f>
        <v>Apr</v>
      </c>
      <c r="Q208">
        <f ca="1">YEAR(financials[[#This Row],[Date]])</f>
        <v>2025</v>
      </c>
      <c r="S208" s="10"/>
    </row>
    <row r="209" spans="1:19" x14ac:dyDescent="0.3">
      <c r="A209" t="s">
        <v>21</v>
      </c>
      <c r="B209" t="s">
        <v>23</v>
      </c>
      <c r="C209" s="6" t="s">
        <v>30</v>
      </c>
      <c r="D209" s="6" t="str">
        <f>CONCATENATE(financials[[#This Row],[Segment]],",",financials[[#This Row],[Country]],",",financials[[#This Row],[Product]])</f>
        <v>Midmarket,Mexico,VTT</v>
      </c>
      <c r="E209" s="6" t="s">
        <v>32</v>
      </c>
      <c r="F209">
        <f t="shared" ca="1" si="6"/>
        <v>976</v>
      </c>
      <c r="G209" s="1">
        <f ca="1">VLOOKUP(financials[[#This Row],[ID]],Prices!D:F,2,FALSE)</f>
        <v>19</v>
      </c>
      <c r="H209" s="1">
        <f ca="1">VLOOKUP(financials[[#This Row],[ID]],Prices!D:F,3,FALSE)</f>
        <v>20</v>
      </c>
      <c r="I209" s="1">
        <f ca="1">financials[[#This Row],[Units Sold]]*financials[[#This Row],[Sale Price]]</f>
        <v>19520</v>
      </c>
      <c r="J2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976</v>
      </c>
      <c r="K209" s="1">
        <f ca="1">financials[[#This Row],[Gross Sales]]-financials[[#This Row],[Discounts]]</f>
        <v>18544</v>
      </c>
      <c r="L209" s="1">
        <f ca="1">financials[[#This Row],[Units Sold]]*financials[[#This Row],[Manufacturing Price]]</f>
        <v>18544</v>
      </c>
      <c r="M209" s="1">
        <f ca="1">financials[[#This Row],[Sales]]-financials[[#This Row],[COGS]]</f>
        <v>0</v>
      </c>
      <c r="N209" s="7">
        <f t="shared" ca="1" si="7"/>
        <v>45347</v>
      </c>
      <c r="O209" s="8">
        <f ca="1">MONTH(financials[[#This Row],[Date]])</f>
        <v>2</v>
      </c>
      <c r="P209" s="6" t="str">
        <f ca="1">TEXT(financials[[#This Row],[Date]],"MMM")</f>
        <v>Feb</v>
      </c>
      <c r="Q209">
        <f ca="1">YEAR(financials[[#This Row],[Date]])</f>
        <v>2024</v>
      </c>
      <c r="S209" s="10"/>
    </row>
    <row r="210" spans="1:19" x14ac:dyDescent="0.3">
      <c r="A210" t="s">
        <v>16</v>
      </c>
      <c r="B210" t="s">
        <v>23</v>
      </c>
      <c r="C210" s="6" t="s">
        <v>31</v>
      </c>
      <c r="D210" s="6" t="str">
        <f>CONCATENATE(financials[[#This Row],[Segment]],",",financials[[#This Row],[Country]],",",financials[[#This Row],[Product]])</f>
        <v>Government,Mexico,Amarilla</v>
      </c>
      <c r="E210" s="6" t="s">
        <v>32</v>
      </c>
      <c r="F210">
        <f t="shared" ca="1" si="6"/>
        <v>359</v>
      </c>
      <c r="G210" s="1">
        <f ca="1">VLOOKUP(financials[[#This Row],[ID]],Prices!D:F,2,FALSE)</f>
        <v>15</v>
      </c>
      <c r="H210" s="1">
        <f ca="1">VLOOKUP(financials[[#This Row],[ID]],Prices!D:F,3,FALSE)</f>
        <v>32</v>
      </c>
      <c r="I210" s="1">
        <f ca="1">financials[[#This Row],[Units Sold]]*financials[[#This Row],[Sale Price]]</f>
        <v>11488</v>
      </c>
      <c r="J2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574.4</v>
      </c>
      <c r="K210" s="1">
        <f ca="1">financials[[#This Row],[Gross Sales]]-financials[[#This Row],[Discounts]]</f>
        <v>10913.6</v>
      </c>
      <c r="L210" s="1">
        <f ca="1">financials[[#This Row],[Units Sold]]*financials[[#This Row],[Manufacturing Price]]</f>
        <v>5385</v>
      </c>
      <c r="M210" s="1">
        <f ca="1">financials[[#This Row],[Sales]]-financials[[#This Row],[COGS]]</f>
        <v>5528.6</v>
      </c>
      <c r="N210" s="7">
        <f t="shared" ca="1" si="7"/>
        <v>45270</v>
      </c>
      <c r="O210" s="8">
        <f ca="1">MONTH(financials[[#This Row],[Date]])</f>
        <v>12</v>
      </c>
      <c r="P210" s="6" t="str">
        <f ca="1">TEXT(financials[[#This Row],[Date]],"MMM")</f>
        <v>Dec</v>
      </c>
      <c r="Q210">
        <f ca="1">YEAR(financials[[#This Row],[Date]])</f>
        <v>2023</v>
      </c>
      <c r="S210" s="10"/>
    </row>
    <row r="211" spans="1:19" x14ac:dyDescent="0.3">
      <c r="A211" t="s">
        <v>26</v>
      </c>
      <c r="B211" t="s">
        <v>23</v>
      </c>
      <c r="C211" s="6" t="s">
        <v>31</v>
      </c>
      <c r="D211" s="6" t="str">
        <f>CONCATENATE(financials[[#This Row],[Segment]],",",financials[[#This Row],[Country]],",",financials[[#This Row],[Product]])</f>
        <v>Enterprise,Mexico,Amarilla</v>
      </c>
      <c r="E211" s="6" t="s">
        <v>32</v>
      </c>
      <c r="F211">
        <f t="shared" ca="1" si="6"/>
        <v>973</v>
      </c>
      <c r="G211" s="1">
        <f ca="1">VLOOKUP(financials[[#This Row],[ID]],Prices!D:F,2,FALSE)</f>
        <v>11</v>
      </c>
      <c r="H211" s="1">
        <f ca="1">VLOOKUP(financials[[#This Row],[ID]],Prices!D:F,3,FALSE)</f>
        <v>30</v>
      </c>
      <c r="I211" s="1">
        <f ca="1">financials[[#This Row],[Units Sold]]*financials[[#This Row],[Sale Price]]</f>
        <v>29190</v>
      </c>
      <c r="J2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1459.5</v>
      </c>
      <c r="K211" s="1">
        <f ca="1">financials[[#This Row],[Gross Sales]]-financials[[#This Row],[Discounts]]</f>
        <v>27730.5</v>
      </c>
      <c r="L211" s="1">
        <f ca="1">financials[[#This Row],[Units Sold]]*financials[[#This Row],[Manufacturing Price]]</f>
        <v>10703</v>
      </c>
      <c r="M211" s="1">
        <f ca="1">financials[[#This Row],[Sales]]-financials[[#This Row],[COGS]]</f>
        <v>17027.5</v>
      </c>
      <c r="N211" s="7">
        <f t="shared" ca="1" si="7"/>
        <v>45130</v>
      </c>
      <c r="O211" s="8">
        <f ca="1">MONTH(financials[[#This Row],[Date]])</f>
        <v>7</v>
      </c>
      <c r="P211" s="6" t="str">
        <f ca="1">TEXT(financials[[#This Row],[Date]],"MMM")</f>
        <v>Jul</v>
      </c>
      <c r="Q211">
        <f ca="1">YEAR(financials[[#This Row],[Date]])</f>
        <v>2023</v>
      </c>
      <c r="S211" s="10"/>
    </row>
    <row r="212" spans="1:19" x14ac:dyDescent="0.3">
      <c r="A212" t="s">
        <v>16</v>
      </c>
      <c r="B212" t="s">
        <v>20</v>
      </c>
      <c r="C212" s="6" t="s">
        <v>31</v>
      </c>
      <c r="D212" s="6" t="str">
        <f>CONCATENATE(financials[[#This Row],[Segment]],",",financials[[#This Row],[Country]],",",financials[[#This Row],[Product]])</f>
        <v>Government,Germany,Amarilla</v>
      </c>
      <c r="E212" s="6" t="s">
        <v>32</v>
      </c>
      <c r="F212">
        <f t="shared" ca="1" si="6"/>
        <v>235</v>
      </c>
      <c r="G212" s="1">
        <f ca="1">VLOOKUP(financials[[#This Row],[ID]],Prices!D:F,2,FALSE)</f>
        <v>10</v>
      </c>
      <c r="H212" s="1">
        <f ca="1">VLOOKUP(financials[[#This Row],[ID]],Prices!D:F,3,FALSE)</f>
        <v>20</v>
      </c>
      <c r="I212" s="1">
        <f ca="1">financials[[#This Row],[Units Sold]]*financials[[#This Row],[Sale Price]]</f>
        <v>4700</v>
      </c>
      <c r="J2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235</v>
      </c>
      <c r="K212" s="1">
        <f ca="1">financials[[#This Row],[Gross Sales]]-financials[[#This Row],[Discounts]]</f>
        <v>4465</v>
      </c>
      <c r="L212" s="1">
        <f ca="1">financials[[#This Row],[Units Sold]]*financials[[#This Row],[Manufacturing Price]]</f>
        <v>2350</v>
      </c>
      <c r="M212" s="1">
        <f ca="1">financials[[#This Row],[Sales]]-financials[[#This Row],[COGS]]</f>
        <v>2115</v>
      </c>
      <c r="N212" s="7">
        <f t="shared" ca="1" si="7"/>
        <v>45642</v>
      </c>
      <c r="O212" s="8">
        <f ca="1">MONTH(financials[[#This Row],[Date]])</f>
        <v>12</v>
      </c>
      <c r="P212" s="6" t="str">
        <f ca="1">TEXT(financials[[#This Row],[Date]],"MMM")</f>
        <v>Dec</v>
      </c>
      <c r="Q212">
        <f ca="1">YEAR(financials[[#This Row],[Date]])</f>
        <v>2024</v>
      </c>
      <c r="S212" s="10"/>
    </row>
    <row r="213" spans="1:19" x14ac:dyDescent="0.3">
      <c r="A213" t="s">
        <v>21</v>
      </c>
      <c r="B213" t="s">
        <v>36</v>
      </c>
      <c r="C213" s="6" t="s">
        <v>31</v>
      </c>
      <c r="D213" s="6" t="str">
        <f>CONCATENATE(financials[[#This Row],[Segment]],",",financials[[#This Row],[Country]],",",financials[[#This Row],[Product]])</f>
        <v>Midmarket,USA,Amarilla</v>
      </c>
      <c r="E213" s="6" t="s">
        <v>32</v>
      </c>
      <c r="F213">
        <f t="shared" ca="1" si="6"/>
        <v>917</v>
      </c>
      <c r="G213" s="1">
        <f ca="1">VLOOKUP(financials[[#This Row],[ID]],Prices!D:F,2,FALSE)</f>
        <v>12</v>
      </c>
      <c r="H213" s="1">
        <f ca="1">VLOOKUP(financials[[#This Row],[ID]],Prices!D:F,3,FALSE)</f>
        <v>21</v>
      </c>
      <c r="I213" s="1">
        <f ca="1">financials[[#This Row],[Units Sold]]*financials[[#This Row],[Sale Price]]</f>
        <v>19257</v>
      </c>
      <c r="J2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962.85</v>
      </c>
      <c r="K213" s="1">
        <f ca="1">financials[[#This Row],[Gross Sales]]-financials[[#This Row],[Discounts]]</f>
        <v>18294.150000000001</v>
      </c>
      <c r="L213" s="1">
        <f ca="1">financials[[#This Row],[Units Sold]]*financials[[#This Row],[Manufacturing Price]]</f>
        <v>11004</v>
      </c>
      <c r="M213" s="1">
        <f ca="1">financials[[#This Row],[Sales]]-financials[[#This Row],[COGS]]</f>
        <v>7290.1500000000015</v>
      </c>
      <c r="N213" s="7">
        <f t="shared" ca="1" si="7"/>
        <v>45068</v>
      </c>
      <c r="O213" s="8">
        <f ca="1">MONTH(financials[[#This Row],[Date]])</f>
        <v>5</v>
      </c>
      <c r="P213" s="6" t="str">
        <f ca="1">TEXT(financials[[#This Row],[Date]],"MMM")</f>
        <v>May</v>
      </c>
      <c r="Q213">
        <f ca="1">YEAR(financials[[#This Row],[Date]])</f>
        <v>2023</v>
      </c>
      <c r="S213" s="10"/>
    </row>
    <row r="214" spans="1:19" x14ac:dyDescent="0.3">
      <c r="A214" t="s">
        <v>16</v>
      </c>
      <c r="B214" t="s">
        <v>17</v>
      </c>
      <c r="C214" s="6" t="s">
        <v>31</v>
      </c>
      <c r="D214" s="6" t="str">
        <f>CONCATENATE(financials[[#This Row],[Segment]],",",financials[[#This Row],[Country]],",",financials[[#This Row],[Product]])</f>
        <v>Government,Canada,Amarilla</v>
      </c>
      <c r="E214" s="6" t="s">
        <v>32</v>
      </c>
      <c r="F214">
        <f t="shared" ca="1" si="6"/>
        <v>350</v>
      </c>
      <c r="G214" s="1">
        <f ca="1">VLOOKUP(financials[[#This Row],[ID]],Prices!D:F,2,FALSE)</f>
        <v>11</v>
      </c>
      <c r="H214" s="1">
        <f ca="1">VLOOKUP(financials[[#This Row],[ID]],Prices!D:F,3,FALSE)</f>
        <v>29</v>
      </c>
      <c r="I214" s="1">
        <f ca="1">financials[[#This Row],[Units Sold]]*financials[[#This Row],[Sale Price]]</f>
        <v>10150</v>
      </c>
      <c r="J2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507.5</v>
      </c>
      <c r="K214" s="1">
        <f ca="1">financials[[#This Row],[Gross Sales]]-financials[[#This Row],[Discounts]]</f>
        <v>9642.5</v>
      </c>
      <c r="L214" s="1">
        <f ca="1">financials[[#This Row],[Units Sold]]*financials[[#This Row],[Manufacturing Price]]</f>
        <v>3850</v>
      </c>
      <c r="M214" s="1">
        <f ca="1">financials[[#This Row],[Sales]]-financials[[#This Row],[COGS]]</f>
        <v>5792.5</v>
      </c>
      <c r="N214" s="7">
        <f t="shared" ca="1" si="7"/>
        <v>45072</v>
      </c>
      <c r="O214" s="8">
        <f ca="1">MONTH(financials[[#This Row],[Date]])</f>
        <v>5</v>
      </c>
      <c r="P214" s="6" t="str">
        <f ca="1">TEXT(financials[[#This Row],[Date]],"MMM")</f>
        <v>May</v>
      </c>
      <c r="Q214">
        <f ca="1">YEAR(financials[[#This Row],[Date]])</f>
        <v>2023</v>
      </c>
      <c r="S214" s="10"/>
    </row>
    <row r="215" spans="1:19" x14ac:dyDescent="0.3">
      <c r="A215" t="s">
        <v>16</v>
      </c>
      <c r="B215" t="s">
        <v>20</v>
      </c>
      <c r="C215" s="6" t="s">
        <v>24</v>
      </c>
      <c r="D215" s="6" t="str">
        <f>CONCATENATE(financials[[#This Row],[Segment]],",",financials[[#This Row],[Country]],",",financials[[#This Row],[Product]])</f>
        <v>Government,Germany,Montana</v>
      </c>
      <c r="E215" s="6" t="s">
        <v>33</v>
      </c>
      <c r="F215">
        <f t="shared" ca="1" si="6"/>
        <v>822</v>
      </c>
      <c r="G215" s="1">
        <f ca="1">VLOOKUP(financials[[#This Row],[ID]],Prices!D:F,2,FALSE)</f>
        <v>20</v>
      </c>
      <c r="H215" s="1">
        <f ca="1">VLOOKUP(financials[[#This Row],[ID]],Prices!D:F,3,FALSE)</f>
        <v>27</v>
      </c>
      <c r="I215" s="1">
        <f ca="1">financials[[#This Row],[Units Sold]]*financials[[#This Row],[Sale Price]]</f>
        <v>22194</v>
      </c>
      <c r="J2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1109.7</v>
      </c>
      <c r="K215" s="1">
        <f ca="1">financials[[#This Row],[Gross Sales]]-financials[[#This Row],[Discounts]]</f>
        <v>21084.3</v>
      </c>
      <c r="L215" s="1">
        <f ca="1">financials[[#This Row],[Units Sold]]*financials[[#This Row],[Manufacturing Price]]</f>
        <v>16440</v>
      </c>
      <c r="M215" s="1">
        <f ca="1">financials[[#This Row],[Sales]]-financials[[#This Row],[COGS]]</f>
        <v>4644.2999999999993</v>
      </c>
      <c r="N215" s="7">
        <f t="shared" ca="1" si="7"/>
        <v>45541</v>
      </c>
      <c r="O215" s="8">
        <f ca="1">MONTH(financials[[#This Row],[Date]])</f>
        <v>9</v>
      </c>
      <c r="P215" s="6" t="str">
        <f ca="1">TEXT(financials[[#This Row],[Date]],"MMM")</f>
        <v>Sep</v>
      </c>
      <c r="Q215">
        <f ca="1">YEAR(financials[[#This Row],[Date]])</f>
        <v>2024</v>
      </c>
      <c r="S215" s="10"/>
    </row>
    <row r="216" spans="1:19" x14ac:dyDescent="0.3">
      <c r="A216" t="s">
        <v>16</v>
      </c>
      <c r="B216" t="s">
        <v>20</v>
      </c>
      <c r="C216" s="6" t="s">
        <v>28</v>
      </c>
      <c r="D216" s="6" t="str">
        <f>CONCATENATE(financials[[#This Row],[Segment]],",",financials[[#This Row],[Country]],",",financials[[#This Row],[Product]])</f>
        <v>Government,Germany,Paseo</v>
      </c>
      <c r="E216" s="6" t="s">
        <v>33</v>
      </c>
      <c r="F216">
        <f t="shared" ca="1" si="6"/>
        <v>317</v>
      </c>
      <c r="G216" s="1">
        <f ca="1">VLOOKUP(financials[[#This Row],[ID]],Prices!D:F,2,FALSE)</f>
        <v>19</v>
      </c>
      <c r="H216" s="1">
        <f ca="1">VLOOKUP(financials[[#This Row],[ID]],Prices!D:F,3,FALSE)</f>
        <v>37</v>
      </c>
      <c r="I216" s="1">
        <f ca="1">financials[[#This Row],[Units Sold]]*financials[[#This Row],[Sale Price]]</f>
        <v>11729</v>
      </c>
      <c r="J2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586.45000000000005</v>
      </c>
      <c r="K216" s="1">
        <f ca="1">financials[[#This Row],[Gross Sales]]-financials[[#This Row],[Discounts]]</f>
        <v>11142.55</v>
      </c>
      <c r="L216" s="1">
        <f ca="1">financials[[#This Row],[Units Sold]]*financials[[#This Row],[Manufacturing Price]]</f>
        <v>6023</v>
      </c>
      <c r="M216" s="1">
        <f ca="1">financials[[#This Row],[Sales]]-financials[[#This Row],[COGS]]</f>
        <v>5119.5499999999993</v>
      </c>
      <c r="N216" s="7">
        <f t="shared" ca="1" si="7"/>
        <v>45070</v>
      </c>
      <c r="O216" s="8">
        <f ca="1">MONTH(financials[[#This Row],[Date]])</f>
        <v>5</v>
      </c>
      <c r="P216" s="6" t="str">
        <f ca="1">TEXT(financials[[#This Row],[Date]],"MMM")</f>
        <v>May</v>
      </c>
      <c r="Q216">
        <f ca="1">YEAR(financials[[#This Row],[Date]])</f>
        <v>2023</v>
      </c>
      <c r="S216" s="10"/>
    </row>
    <row r="217" spans="1:19" x14ac:dyDescent="0.3">
      <c r="A217" t="s">
        <v>16</v>
      </c>
      <c r="B217" t="s">
        <v>17</v>
      </c>
      <c r="C217" s="6" t="s">
        <v>28</v>
      </c>
      <c r="D217" s="6" t="str">
        <f>CONCATENATE(financials[[#This Row],[Segment]],",",financials[[#This Row],[Country]],",",financials[[#This Row],[Product]])</f>
        <v>Government,Canada,Paseo</v>
      </c>
      <c r="E217" s="6" t="s">
        <v>33</v>
      </c>
      <c r="F217">
        <f t="shared" ca="1" si="6"/>
        <v>438</v>
      </c>
      <c r="G217" s="1">
        <f ca="1">VLOOKUP(financials[[#This Row],[ID]],Prices!D:F,2,FALSE)</f>
        <v>10</v>
      </c>
      <c r="H217" s="1">
        <f ca="1">VLOOKUP(financials[[#This Row],[ID]],Prices!D:F,3,FALSE)</f>
        <v>23</v>
      </c>
      <c r="I217" s="1">
        <f ca="1">financials[[#This Row],[Units Sold]]*financials[[#This Row],[Sale Price]]</f>
        <v>10074</v>
      </c>
      <c r="J2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503.70000000000005</v>
      </c>
      <c r="K217" s="1">
        <f ca="1">financials[[#This Row],[Gross Sales]]-financials[[#This Row],[Discounts]]</f>
        <v>9570.2999999999993</v>
      </c>
      <c r="L217" s="1">
        <f ca="1">financials[[#This Row],[Units Sold]]*financials[[#This Row],[Manufacturing Price]]</f>
        <v>4380</v>
      </c>
      <c r="M217" s="1">
        <f ca="1">financials[[#This Row],[Sales]]-financials[[#This Row],[COGS]]</f>
        <v>5190.2999999999993</v>
      </c>
      <c r="N217" s="7">
        <f t="shared" ca="1" si="7"/>
        <v>45682</v>
      </c>
      <c r="O217" s="8">
        <f ca="1">MONTH(financials[[#This Row],[Date]])</f>
        <v>1</v>
      </c>
      <c r="P217" s="6" t="str">
        <f ca="1">TEXT(financials[[#This Row],[Date]],"MMM")</f>
        <v>Jan</v>
      </c>
      <c r="Q217">
        <f ca="1">YEAR(financials[[#This Row],[Date]])</f>
        <v>2025</v>
      </c>
      <c r="S217" s="10"/>
    </row>
    <row r="218" spans="1:19" x14ac:dyDescent="0.3">
      <c r="A218" t="s">
        <v>16</v>
      </c>
      <c r="B218" t="s">
        <v>23</v>
      </c>
      <c r="C218" s="6" t="s">
        <v>28</v>
      </c>
      <c r="D218" s="6" t="str">
        <f>CONCATENATE(financials[[#This Row],[Segment]],",",financials[[#This Row],[Country]],",",financials[[#This Row],[Product]])</f>
        <v>Government,Mexico,Paseo</v>
      </c>
      <c r="E218" s="6" t="s">
        <v>33</v>
      </c>
      <c r="F218">
        <f t="shared" ca="1" si="6"/>
        <v>811</v>
      </c>
      <c r="G218" s="1">
        <f ca="1">VLOOKUP(financials[[#This Row],[ID]],Prices!D:F,2,FALSE)</f>
        <v>18</v>
      </c>
      <c r="H218" s="1">
        <f ca="1">VLOOKUP(financials[[#This Row],[ID]],Prices!D:F,3,FALSE)</f>
        <v>19</v>
      </c>
      <c r="I218" s="1">
        <f ca="1">financials[[#This Row],[Units Sold]]*financials[[#This Row],[Sale Price]]</f>
        <v>15409</v>
      </c>
      <c r="J2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770.45</v>
      </c>
      <c r="K218" s="1">
        <f ca="1">financials[[#This Row],[Gross Sales]]-financials[[#This Row],[Discounts]]</f>
        <v>14638.55</v>
      </c>
      <c r="L218" s="1">
        <f ca="1">financials[[#This Row],[Units Sold]]*financials[[#This Row],[Manufacturing Price]]</f>
        <v>14598</v>
      </c>
      <c r="M218" s="1">
        <f ca="1">financials[[#This Row],[Sales]]-financials[[#This Row],[COGS]]</f>
        <v>40.549999999999272</v>
      </c>
      <c r="N218" s="7">
        <f t="shared" ca="1" si="7"/>
        <v>45470</v>
      </c>
      <c r="O218" s="8">
        <f ca="1">MONTH(financials[[#This Row],[Date]])</f>
        <v>6</v>
      </c>
      <c r="P218" s="6" t="str">
        <f ca="1">TEXT(financials[[#This Row],[Date]],"MMM")</f>
        <v>Jun</v>
      </c>
      <c r="Q218">
        <f ca="1">YEAR(financials[[#This Row],[Date]])</f>
        <v>2024</v>
      </c>
      <c r="S218" s="10"/>
    </row>
    <row r="219" spans="1:19" x14ac:dyDescent="0.3">
      <c r="A219" t="s">
        <v>25</v>
      </c>
      <c r="B219" t="s">
        <v>17</v>
      </c>
      <c r="C219" s="6" t="s">
        <v>28</v>
      </c>
      <c r="D219" s="6" t="str">
        <f>CONCATENATE(financials[[#This Row],[Segment]],",",financials[[#This Row],[Country]],",",financials[[#This Row],[Product]])</f>
        <v>Channel Partners,Canada,Paseo</v>
      </c>
      <c r="E219" s="6" t="s">
        <v>33</v>
      </c>
      <c r="F219">
        <f t="shared" ca="1" si="6"/>
        <v>541</v>
      </c>
      <c r="G219" s="1">
        <f ca="1">VLOOKUP(financials[[#This Row],[ID]],Prices!D:F,2,FALSE)</f>
        <v>13</v>
      </c>
      <c r="H219" s="1">
        <f ca="1">VLOOKUP(financials[[#This Row],[ID]],Prices!D:F,3,FALSE)</f>
        <v>26</v>
      </c>
      <c r="I219" s="1">
        <f ca="1">financials[[#This Row],[Units Sold]]*financials[[#This Row],[Sale Price]]</f>
        <v>14066</v>
      </c>
      <c r="J2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703.30000000000007</v>
      </c>
      <c r="K219" s="1">
        <f ca="1">financials[[#This Row],[Gross Sales]]-financials[[#This Row],[Discounts]]</f>
        <v>13362.7</v>
      </c>
      <c r="L219" s="1">
        <f ca="1">financials[[#This Row],[Units Sold]]*financials[[#This Row],[Manufacturing Price]]</f>
        <v>7033</v>
      </c>
      <c r="M219" s="1">
        <f ca="1">financials[[#This Row],[Sales]]-financials[[#This Row],[COGS]]</f>
        <v>6329.7000000000007</v>
      </c>
      <c r="N219" s="7">
        <f t="shared" ca="1" si="7"/>
        <v>45139</v>
      </c>
      <c r="O219" s="8">
        <f ca="1">MONTH(financials[[#This Row],[Date]])</f>
        <v>8</v>
      </c>
      <c r="P219" s="6" t="str">
        <f ca="1">TEXT(financials[[#This Row],[Date]],"MMM")</f>
        <v>Aug</v>
      </c>
      <c r="Q219">
        <f ca="1">YEAR(financials[[#This Row],[Date]])</f>
        <v>2023</v>
      </c>
      <c r="S219" s="10"/>
    </row>
    <row r="220" spans="1:19" x14ac:dyDescent="0.3">
      <c r="A220" t="s">
        <v>25</v>
      </c>
      <c r="B220" t="s">
        <v>17</v>
      </c>
      <c r="C220" s="6" t="s">
        <v>29</v>
      </c>
      <c r="D220" s="6" t="str">
        <f>CONCATENATE(financials[[#This Row],[Segment]],",",financials[[#This Row],[Country]],",",financials[[#This Row],[Product]])</f>
        <v>Channel Partners,Canada,Velo</v>
      </c>
      <c r="E220" s="6" t="s">
        <v>33</v>
      </c>
      <c r="F220">
        <f t="shared" ca="1" si="6"/>
        <v>196</v>
      </c>
      <c r="G220" s="1">
        <f ca="1">VLOOKUP(financials[[#This Row],[ID]],Prices!D:F,2,FALSE)</f>
        <v>15</v>
      </c>
      <c r="H220" s="1">
        <f ca="1">VLOOKUP(financials[[#This Row],[ID]],Prices!D:F,3,FALSE)</f>
        <v>33</v>
      </c>
      <c r="I220" s="1">
        <f ca="1">financials[[#This Row],[Units Sold]]*financials[[#This Row],[Sale Price]]</f>
        <v>6468</v>
      </c>
      <c r="J2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323.40000000000003</v>
      </c>
      <c r="K220" s="1">
        <f ca="1">financials[[#This Row],[Gross Sales]]-financials[[#This Row],[Discounts]]</f>
        <v>6144.6</v>
      </c>
      <c r="L220" s="1">
        <f ca="1">financials[[#This Row],[Units Sold]]*financials[[#This Row],[Manufacturing Price]]</f>
        <v>2940</v>
      </c>
      <c r="M220" s="1">
        <f ca="1">financials[[#This Row],[Sales]]-financials[[#This Row],[COGS]]</f>
        <v>3204.6000000000004</v>
      </c>
      <c r="N220" s="7">
        <f t="shared" ca="1" si="7"/>
        <v>45296</v>
      </c>
      <c r="O220" s="8">
        <f ca="1">MONTH(financials[[#This Row],[Date]])</f>
        <v>1</v>
      </c>
      <c r="P220" s="6" t="str">
        <f ca="1">TEXT(financials[[#This Row],[Date]],"MMM")</f>
        <v>Jan</v>
      </c>
      <c r="Q220">
        <f ca="1">YEAR(financials[[#This Row],[Date]])</f>
        <v>2024</v>
      </c>
      <c r="S220" s="10"/>
    </row>
    <row r="221" spans="1:19" x14ac:dyDescent="0.3">
      <c r="A221" t="s">
        <v>16</v>
      </c>
      <c r="B221" t="s">
        <v>23</v>
      </c>
      <c r="C221" s="6" t="s">
        <v>30</v>
      </c>
      <c r="D221" s="6" t="str">
        <f>CONCATENATE(financials[[#This Row],[Segment]],",",financials[[#This Row],[Country]],",",financials[[#This Row],[Product]])</f>
        <v>Government,Mexico,VTT</v>
      </c>
      <c r="E221" s="6" t="s">
        <v>33</v>
      </c>
      <c r="F221">
        <f t="shared" ca="1" si="6"/>
        <v>515</v>
      </c>
      <c r="G221" s="1">
        <f ca="1">VLOOKUP(financials[[#This Row],[ID]],Prices!D:F,2,FALSE)</f>
        <v>18</v>
      </c>
      <c r="H221" s="1">
        <f ca="1">VLOOKUP(financials[[#This Row],[ID]],Prices!D:F,3,FALSE)</f>
        <v>20</v>
      </c>
      <c r="I221" s="1">
        <f ca="1">financials[[#This Row],[Units Sold]]*financials[[#This Row],[Sale Price]]</f>
        <v>10300</v>
      </c>
      <c r="J2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515</v>
      </c>
      <c r="K221" s="1">
        <f ca="1">financials[[#This Row],[Gross Sales]]-financials[[#This Row],[Discounts]]</f>
        <v>9785</v>
      </c>
      <c r="L221" s="1">
        <f ca="1">financials[[#This Row],[Units Sold]]*financials[[#This Row],[Manufacturing Price]]</f>
        <v>9270</v>
      </c>
      <c r="M221" s="1">
        <f ca="1">financials[[#This Row],[Sales]]-financials[[#This Row],[COGS]]</f>
        <v>515</v>
      </c>
      <c r="N221" s="7">
        <f t="shared" ca="1" si="7"/>
        <v>45709</v>
      </c>
      <c r="O221" s="8">
        <f ca="1">MONTH(financials[[#This Row],[Date]])</f>
        <v>2</v>
      </c>
      <c r="P221" s="6" t="str">
        <f ca="1">TEXT(financials[[#This Row],[Date]],"MMM")</f>
        <v>Feb</v>
      </c>
      <c r="Q221">
        <f ca="1">YEAR(financials[[#This Row],[Date]])</f>
        <v>2025</v>
      </c>
      <c r="S221" s="10"/>
    </row>
    <row r="222" spans="1:19" x14ac:dyDescent="0.3">
      <c r="A222" t="s">
        <v>16</v>
      </c>
      <c r="B222" t="s">
        <v>23</v>
      </c>
      <c r="C222" s="6" t="s">
        <v>31</v>
      </c>
      <c r="D222" s="6" t="str">
        <f>CONCATENATE(financials[[#This Row],[Segment]],",",financials[[#This Row],[Country]],",",financials[[#This Row],[Product]])</f>
        <v>Government,Mexico,Amarilla</v>
      </c>
      <c r="E222" s="6" t="s">
        <v>33</v>
      </c>
      <c r="F222">
        <f t="shared" ca="1" si="6"/>
        <v>461</v>
      </c>
      <c r="G222" s="1">
        <f ca="1">VLOOKUP(financials[[#This Row],[ID]],Prices!D:F,2,FALSE)</f>
        <v>15</v>
      </c>
      <c r="H222" s="1">
        <f ca="1">VLOOKUP(financials[[#This Row],[ID]],Prices!D:F,3,FALSE)</f>
        <v>32</v>
      </c>
      <c r="I222" s="1">
        <f ca="1">financials[[#This Row],[Units Sold]]*financials[[#This Row],[Sale Price]]</f>
        <v>14752</v>
      </c>
      <c r="J2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737.6</v>
      </c>
      <c r="K222" s="1">
        <f ca="1">financials[[#This Row],[Gross Sales]]-financials[[#This Row],[Discounts]]</f>
        <v>14014.4</v>
      </c>
      <c r="L222" s="1">
        <f ca="1">financials[[#This Row],[Units Sold]]*financials[[#This Row],[Manufacturing Price]]</f>
        <v>6915</v>
      </c>
      <c r="M222" s="1">
        <f ca="1">financials[[#This Row],[Sales]]-financials[[#This Row],[COGS]]</f>
        <v>7099.4</v>
      </c>
      <c r="N222" s="7">
        <f t="shared" ca="1" si="7"/>
        <v>45253</v>
      </c>
      <c r="O222" s="8">
        <f ca="1">MONTH(financials[[#This Row],[Date]])</f>
        <v>11</v>
      </c>
      <c r="P222" s="6" t="str">
        <f ca="1">TEXT(financials[[#This Row],[Date]],"MMM")</f>
        <v>Nov</v>
      </c>
      <c r="Q222">
        <f ca="1">YEAR(financials[[#This Row],[Date]])</f>
        <v>2023</v>
      </c>
      <c r="S222" s="10"/>
    </row>
    <row r="223" spans="1:19" x14ac:dyDescent="0.3">
      <c r="A223" t="s">
        <v>25</v>
      </c>
      <c r="B223" t="s">
        <v>23</v>
      </c>
      <c r="C223" s="6" t="s">
        <v>31</v>
      </c>
      <c r="D223" s="6" t="str">
        <f>CONCATENATE(financials[[#This Row],[Segment]],",",financials[[#This Row],[Country]],",",financials[[#This Row],[Product]])</f>
        <v>Channel Partners,Mexico,Amarilla</v>
      </c>
      <c r="E223" s="6" t="s">
        <v>33</v>
      </c>
      <c r="F223">
        <f t="shared" ca="1" si="6"/>
        <v>696</v>
      </c>
      <c r="G223" s="1">
        <f ca="1">VLOOKUP(financials[[#This Row],[ID]],Prices!D:F,2,FALSE)</f>
        <v>11</v>
      </c>
      <c r="H223" s="1">
        <f ca="1">VLOOKUP(financials[[#This Row],[ID]],Prices!D:F,3,FALSE)</f>
        <v>20</v>
      </c>
      <c r="I223" s="1">
        <f ca="1">financials[[#This Row],[Units Sold]]*financials[[#This Row],[Sale Price]]</f>
        <v>13920</v>
      </c>
      <c r="J2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696</v>
      </c>
      <c r="K223" s="1">
        <f ca="1">financials[[#This Row],[Gross Sales]]-financials[[#This Row],[Discounts]]</f>
        <v>13224</v>
      </c>
      <c r="L223" s="1">
        <f ca="1">financials[[#This Row],[Units Sold]]*financials[[#This Row],[Manufacturing Price]]</f>
        <v>7656</v>
      </c>
      <c r="M223" s="1">
        <f ca="1">financials[[#This Row],[Sales]]-financials[[#This Row],[COGS]]</f>
        <v>5568</v>
      </c>
      <c r="N223" s="7">
        <f t="shared" ca="1" si="7"/>
        <v>45144</v>
      </c>
      <c r="O223" s="8">
        <f ca="1">MONTH(financials[[#This Row],[Date]])</f>
        <v>8</v>
      </c>
      <c r="P223" s="6" t="str">
        <f ca="1">TEXT(financials[[#This Row],[Date]],"MMM")</f>
        <v>Aug</v>
      </c>
      <c r="Q223">
        <f ca="1">YEAR(financials[[#This Row],[Date]])</f>
        <v>2023</v>
      </c>
      <c r="S223" s="10"/>
    </row>
    <row r="224" spans="1:19" x14ac:dyDescent="0.3">
      <c r="A224" t="s">
        <v>16</v>
      </c>
      <c r="B224" t="s">
        <v>20</v>
      </c>
      <c r="C224" s="6" t="s">
        <v>31</v>
      </c>
      <c r="D224" s="6" t="str">
        <f>CONCATENATE(financials[[#This Row],[Segment]],",",financials[[#This Row],[Country]],",",financials[[#This Row],[Product]])</f>
        <v>Government,Germany,Amarilla</v>
      </c>
      <c r="E224" s="6" t="s">
        <v>33</v>
      </c>
      <c r="F224">
        <f t="shared" ca="1" si="6"/>
        <v>757</v>
      </c>
      <c r="G224" s="1">
        <f ca="1">VLOOKUP(financials[[#This Row],[ID]],Prices!D:F,2,FALSE)</f>
        <v>10</v>
      </c>
      <c r="H224" s="1">
        <f ca="1">VLOOKUP(financials[[#This Row],[ID]],Prices!D:F,3,FALSE)</f>
        <v>20</v>
      </c>
      <c r="I224" s="1">
        <f ca="1">financials[[#This Row],[Units Sold]]*financials[[#This Row],[Sale Price]]</f>
        <v>15140</v>
      </c>
      <c r="J2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757</v>
      </c>
      <c r="K224" s="1">
        <f ca="1">financials[[#This Row],[Gross Sales]]-financials[[#This Row],[Discounts]]</f>
        <v>14383</v>
      </c>
      <c r="L224" s="1">
        <f ca="1">financials[[#This Row],[Units Sold]]*financials[[#This Row],[Manufacturing Price]]</f>
        <v>7570</v>
      </c>
      <c r="M224" s="1">
        <f ca="1">financials[[#This Row],[Sales]]-financials[[#This Row],[COGS]]</f>
        <v>6813</v>
      </c>
      <c r="N224" s="7">
        <f t="shared" ca="1" si="7"/>
        <v>45487</v>
      </c>
      <c r="O224" s="8">
        <f ca="1">MONTH(financials[[#This Row],[Date]])</f>
        <v>7</v>
      </c>
      <c r="P224" s="6" t="str">
        <f ca="1">TEXT(financials[[#This Row],[Date]],"MMM")</f>
        <v>Jul</v>
      </c>
      <c r="Q224">
        <f ca="1">YEAR(financials[[#This Row],[Date]])</f>
        <v>2024</v>
      </c>
      <c r="S224" s="10"/>
    </row>
    <row r="225" spans="1:19" x14ac:dyDescent="0.3">
      <c r="A225" t="s">
        <v>25</v>
      </c>
      <c r="B225" t="s">
        <v>22</v>
      </c>
      <c r="C225" s="6" t="s">
        <v>18</v>
      </c>
      <c r="D225" s="6" t="str">
        <f>CONCATENATE(financials[[#This Row],[Segment]],",",financials[[#This Row],[Country]],",",financials[[#This Row],[Product]])</f>
        <v>Channel Partners,France,Carretera</v>
      </c>
      <c r="E225" s="6" t="s">
        <v>33</v>
      </c>
      <c r="F225">
        <f t="shared" ca="1" si="6"/>
        <v>583</v>
      </c>
      <c r="G225" s="1">
        <f ca="1">VLOOKUP(financials[[#This Row],[ID]],Prices!D:F,2,FALSE)</f>
        <v>10</v>
      </c>
      <c r="H225" s="1">
        <f ca="1">VLOOKUP(financials[[#This Row],[ID]],Prices!D:F,3,FALSE)</f>
        <v>25</v>
      </c>
      <c r="I225" s="1">
        <f ca="1">financials[[#This Row],[Units Sold]]*financials[[#This Row],[Sale Price]]</f>
        <v>14575</v>
      </c>
      <c r="J2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728.75</v>
      </c>
      <c r="K225" s="1">
        <f ca="1">financials[[#This Row],[Gross Sales]]-financials[[#This Row],[Discounts]]</f>
        <v>13846.25</v>
      </c>
      <c r="L225" s="1">
        <f ca="1">financials[[#This Row],[Units Sold]]*financials[[#This Row],[Manufacturing Price]]</f>
        <v>5830</v>
      </c>
      <c r="M225" s="1">
        <f ca="1">financials[[#This Row],[Sales]]-financials[[#This Row],[COGS]]</f>
        <v>8016.25</v>
      </c>
      <c r="N225" s="7">
        <f t="shared" ca="1" si="7"/>
        <v>45521</v>
      </c>
      <c r="O225" s="8">
        <f ca="1">MONTH(financials[[#This Row],[Date]])</f>
        <v>8</v>
      </c>
      <c r="P225" s="6" t="str">
        <f ca="1">TEXT(financials[[#This Row],[Date]],"MMM")</f>
        <v>Aug</v>
      </c>
      <c r="Q225">
        <f ca="1">YEAR(financials[[#This Row],[Date]])</f>
        <v>2024</v>
      </c>
      <c r="S225" s="10"/>
    </row>
    <row r="226" spans="1:19" x14ac:dyDescent="0.3">
      <c r="A226" t="s">
        <v>25</v>
      </c>
      <c r="B226" t="s">
        <v>20</v>
      </c>
      <c r="C226" s="6" t="s">
        <v>18</v>
      </c>
      <c r="D226" s="6" t="str">
        <f>CONCATENATE(financials[[#This Row],[Segment]],",",financials[[#This Row],[Country]],",",financials[[#This Row],[Product]])</f>
        <v>Channel Partners,Germany,Carretera</v>
      </c>
      <c r="E226" s="6" t="s">
        <v>33</v>
      </c>
      <c r="F226">
        <f t="shared" ca="1" si="6"/>
        <v>668</v>
      </c>
      <c r="G226" s="1">
        <f ca="1">VLOOKUP(financials[[#This Row],[ID]],Prices!D:F,2,FALSE)</f>
        <v>11</v>
      </c>
      <c r="H226" s="1">
        <f ca="1">VLOOKUP(financials[[#This Row],[ID]],Prices!D:F,3,FALSE)</f>
        <v>16</v>
      </c>
      <c r="I226" s="1">
        <f ca="1">financials[[#This Row],[Units Sold]]*financials[[#This Row],[Sale Price]]</f>
        <v>10688</v>
      </c>
      <c r="J2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534.4</v>
      </c>
      <c r="K226" s="1">
        <f ca="1">financials[[#This Row],[Gross Sales]]-financials[[#This Row],[Discounts]]</f>
        <v>10153.6</v>
      </c>
      <c r="L226" s="1">
        <f ca="1">financials[[#This Row],[Units Sold]]*financials[[#This Row],[Manufacturing Price]]</f>
        <v>7348</v>
      </c>
      <c r="M226" s="1">
        <f ca="1">financials[[#This Row],[Sales]]-financials[[#This Row],[COGS]]</f>
        <v>2805.6000000000004</v>
      </c>
      <c r="N226" s="7">
        <f t="shared" ca="1" si="7"/>
        <v>45729</v>
      </c>
      <c r="O226" s="8">
        <f ca="1">MONTH(financials[[#This Row],[Date]])</f>
        <v>3</v>
      </c>
      <c r="P226" s="6" t="str">
        <f ca="1">TEXT(financials[[#This Row],[Date]],"MMM")</f>
        <v>Mar</v>
      </c>
      <c r="Q226">
        <f ca="1">YEAR(financials[[#This Row],[Date]])</f>
        <v>2025</v>
      </c>
      <c r="S226" s="10"/>
    </row>
    <row r="227" spans="1:19" x14ac:dyDescent="0.3">
      <c r="A227" t="s">
        <v>16</v>
      </c>
      <c r="B227" t="s">
        <v>22</v>
      </c>
      <c r="C227" s="6" t="s">
        <v>18</v>
      </c>
      <c r="D227" s="6" t="str">
        <f>CONCATENATE(financials[[#This Row],[Segment]],",",financials[[#This Row],[Country]],",",financials[[#This Row],[Product]])</f>
        <v>Government,France,Carretera</v>
      </c>
      <c r="E227" s="6" t="s">
        <v>33</v>
      </c>
      <c r="F227">
        <f t="shared" ca="1" si="6"/>
        <v>984</v>
      </c>
      <c r="G227" s="1">
        <f ca="1">VLOOKUP(financials[[#This Row],[ID]],Prices!D:F,2,FALSE)</f>
        <v>12</v>
      </c>
      <c r="H227" s="1">
        <f ca="1">VLOOKUP(financials[[#This Row],[ID]],Prices!D:F,3,FALSE)</f>
        <v>38</v>
      </c>
      <c r="I227" s="1">
        <f ca="1">financials[[#This Row],[Units Sold]]*financials[[#This Row],[Sale Price]]</f>
        <v>37392</v>
      </c>
      <c r="J2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1869.6000000000001</v>
      </c>
      <c r="K227" s="1">
        <f ca="1">financials[[#This Row],[Gross Sales]]-financials[[#This Row],[Discounts]]</f>
        <v>35522.400000000001</v>
      </c>
      <c r="L227" s="1">
        <f ca="1">financials[[#This Row],[Units Sold]]*financials[[#This Row],[Manufacturing Price]]</f>
        <v>11808</v>
      </c>
      <c r="M227" s="1">
        <f ca="1">financials[[#This Row],[Sales]]-financials[[#This Row],[COGS]]</f>
        <v>23714.400000000001</v>
      </c>
      <c r="N227" s="7">
        <f t="shared" ca="1" si="7"/>
        <v>45506</v>
      </c>
      <c r="O227" s="8">
        <f ca="1">MONTH(financials[[#This Row],[Date]])</f>
        <v>8</v>
      </c>
      <c r="P227" s="6" t="str">
        <f ca="1">TEXT(financials[[#This Row],[Date]],"MMM")</f>
        <v>Aug</v>
      </c>
      <c r="Q227">
        <f ca="1">YEAR(financials[[#This Row],[Date]])</f>
        <v>2024</v>
      </c>
      <c r="S227" s="10"/>
    </row>
    <row r="228" spans="1:19" x14ac:dyDescent="0.3">
      <c r="A228" t="s">
        <v>27</v>
      </c>
      <c r="B228" t="s">
        <v>36</v>
      </c>
      <c r="C228" s="6" t="s">
        <v>18</v>
      </c>
      <c r="D228" s="6" t="str">
        <f>CONCATENATE(financials[[#This Row],[Segment]],",",financials[[#This Row],[Country]],",",financials[[#This Row],[Product]])</f>
        <v>Small Business,USA,Carretera</v>
      </c>
      <c r="E228" s="6" t="s">
        <v>33</v>
      </c>
      <c r="F228">
        <f t="shared" ca="1" si="6"/>
        <v>307</v>
      </c>
      <c r="G228" s="1">
        <f ca="1">VLOOKUP(financials[[#This Row],[ID]],Prices!D:F,2,FALSE)</f>
        <v>14</v>
      </c>
      <c r="H228" s="1">
        <f ca="1">VLOOKUP(financials[[#This Row],[ID]],Prices!D:F,3,FALSE)</f>
        <v>25</v>
      </c>
      <c r="I228" s="1">
        <f ca="1">financials[[#This Row],[Units Sold]]*financials[[#This Row],[Sale Price]]</f>
        <v>7675</v>
      </c>
      <c r="J2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383.75</v>
      </c>
      <c r="K228" s="1">
        <f ca="1">financials[[#This Row],[Gross Sales]]-financials[[#This Row],[Discounts]]</f>
        <v>7291.25</v>
      </c>
      <c r="L228" s="1">
        <f ca="1">financials[[#This Row],[Units Sold]]*financials[[#This Row],[Manufacturing Price]]</f>
        <v>4298</v>
      </c>
      <c r="M228" s="1">
        <f ca="1">financials[[#This Row],[Sales]]-financials[[#This Row],[COGS]]</f>
        <v>2993.25</v>
      </c>
      <c r="N228" s="7">
        <f t="shared" ca="1" si="7"/>
        <v>45607</v>
      </c>
      <c r="O228" s="8">
        <f ca="1">MONTH(financials[[#This Row],[Date]])</f>
        <v>11</v>
      </c>
      <c r="P228" s="6" t="str">
        <f ca="1">TEXT(financials[[#This Row],[Date]],"MMM")</f>
        <v>Nov</v>
      </c>
      <c r="Q228">
        <f ca="1">YEAR(financials[[#This Row],[Date]])</f>
        <v>2024</v>
      </c>
      <c r="S228" s="10"/>
    </row>
    <row r="229" spans="1:19" x14ac:dyDescent="0.3">
      <c r="A229" t="s">
        <v>16</v>
      </c>
      <c r="B229" t="s">
        <v>20</v>
      </c>
      <c r="C229" s="6" t="s">
        <v>18</v>
      </c>
      <c r="D229" s="6" t="str">
        <f>CONCATENATE(financials[[#This Row],[Segment]],",",financials[[#This Row],[Country]],",",financials[[#This Row],[Product]])</f>
        <v>Government,Germany,Carretera</v>
      </c>
      <c r="E229" s="6" t="s">
        <v>33</v>
      </c>
      <c r="F229">
        <f t="shared" ca="1" si="6"/>
        <v>956</v>
      </c>
      <c r="G229" s="1">
        <f ca="1">VLOOKUP(financials[[#This Row],[ID]],Prices!D:F,2,FALSE)</f>
        <v>13</v>
      </c>
      <c r="H229" s="1">
        <f ca="1">VLOOKUP(financials[[#This Row],[ID]],Prices!D:F,3,FALSE)</f>
        <v>22</v>
      </c>
      <c r="I229" s="1">
        <f ca="1">financials[[#This Row],[Units Sold]]*financials[[#This Row],[Sale Price]]</f>
        <v>21032</v>
      </c>
      <c r="J2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1051.6000000000001</v>
      </c>
      <c r="K229" s="1">
        <f ca="1">financials[[#This Row],[Gross Sales]]-financials[[#This Row],[Discounts]]</f>
        <v>19980.400000000001</v>
      </c>
      <c r="L229" s="1">
        <f ca="1">financials[[#This Row],[Units Sold]]*financials[[#This Row],[Manufacturing Price]]</f>
        <v>12428</v>
      </c>
      <c r="M229" s="1">
        <f ca="1">financials[[#This Row],[Sales]]-financials[[#This Row],[COGS]]</f>
        <v>7552.4000000000015</v>
      </c>
      <c r="N229" s="7">
        <f t="shared" ca="1" si="7"/>
        <v>45169</v>
      </c>
      <c r="O229" s="8">
        <f ca="1">MONTH(financials[[#This Row],[Date]])</f>
        <v>8</v>
      </c>
      <c r="P229" s="6" t="str">
        <f ca="1">TEXT(financials[[#This Row],[Date]],"MMM")</f>
        <v>Aug</v>
      </c>
      <c r="Q229">
        <f ca="1">YEAR(financials[[#This Row],[Date]])</f>
        <v>2023</v>
      </c>
      <c r="S229" s="10"/>
    </row>
    <row r="230" spans="1:19" x14ac:dyDescent="0.3">
      <c r="A230" t="s">
        <v>21</v>
      </c>
      <c r="B230" t="s">
        <v>23</v>
      </c>
      <c r="C230" s="6" t="s">
        <v>18</v>
      </c>
      <c r="D230" s="6" t="str">
        <f>CONCATENATE(financials[[#This Row],[Segment]],",",financials[[#This Row],[Country]],",",financials[[#This Row],[Product]])</f>
        <v>Midmarket,Mexico,Carretera</v>
      </c>
      <c r="E230" s="6" t="s">
        <v>33</v>
      </c>
      <c r="F230">
        <f t="shared" ca="1" si="6"/>
        <v>277</v>
      </c>
      <c r="G230" s="1">
        <f ca="1">VLOOKUP(financials[[#This Row],[ID]],Prices!D:F,2,FALSE)</f>
        <v>16</v>
      </c>
      <c r="H230" s="1">
        <f ca="1">VLOOKUP(financials[[#This Row],[ID]],Prices!D:F,3,FALSE)</f>
        <v>21</v>
      </c>
      <c r="I230" s="1">
        <f ca="1">financials[[#This Row],[Units Sold]]*financials[[#This Row],[Sale Price]]</f>
        <v>5817</v>
      </c>
      <c r="J2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290.85000000000002</v>
      </c>
      <c r="K230" s="1">
        <f ca="1">financials[[#This Row],[Gross Sales]]-financials[[#This Row],[Discounts]]</f>
        <v>5526.15</v>
      </c>
      <c r="L230" s="1">
        <f ca="1">financials[[#This Row],[Units Sold]]*financials[[#This Row],[Manufacturing Price]]</f>
        <v>4432</v>
      </c>
      <c r="M230" s="1">
        <f ca="1">financials[[#This Row],[Sales]]-financials[[#This Row],[COGS]]</f>
        <v>1094.1499999999996</v>
      </c>
      <c r="N230" s="7">
        <f t="shared" ca="1" si="7"/>
        <v>45629</v>
      </c>
      <c r="O230" s="8">
        <f ca="1">MONTH(financials[[#This Row],[Date]])</f>
        <v>12</v>
      </c>
      <c r="P230" s="6" t="str">
        <f ca="1">TEXT(financials[[#This Row],[Date]],"MMM")</f>
        <v>Dec</v>
      </c>
      <c r="Q230">
        <f ca="1">YEAR(financials[[#This Row],[Date]])</f>
        <v>2024</v>
      </c>
      <c r="S230" s="10"/>
    </row>
    <row r="231" spans="1:19" x14ac:dyDescent="0.3">
      <c r="A231" t="s">
        <v>16</v>
      </c>
      <c r="B231" t="s">
        <v>36</v>
      </c>
      <c r="C231" s="6" t="s">
        <v>18</v>
      </c>
      <c r="D231" s="6" t="str">
        <f>CONCATENATE(financials[[#This Row],[Segment]],",",financials[[#This Row],[Country]],",",financials[[#This Row],[Product]])</f>
        <v>Government,USA,Carretera</v>
      </c>
      <c r="E231" s="6" t="s">
        <v>33</v>
      </c>
      <c r="F231">
        <f t="shared" ca="1" si="6"/>
        <v>269</v>
      </c>
      <c r="G231" s="1">
        <f ca="1">VLOOKUP(financials[[#This Row],[ID]],Prices!D:F,2,FALSE)</f>
        <v>11</v>
      </c>
      <c r="H231" s="1">
        <f ca="1">VLOOKUP(financials[[#This Row],[ID]],Prices!D:F,3,FALSE)</f>
        <v>21</v>
      </c>
      <c r="I231" s="1">
        <f ca="1">financials[[#This Row],[Units Sold]]*financials[[#This Row],[Sale Price]]</f>
        <v>5649</v>
      </c>
      <c r="J2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282.45</v>
      </c>
      <c r="K231" s="1">
        <f ca="1">financials[[#This Row],[Gross Sales]]-financials[[#This Row],[Discounts]]</f>
        <v>5366.55</v>
      </c>
      <c r="L231" s="1">
        <f ca="1">financials[[#This Row],[Units Sold]]*financials[[#This Row],[Manufacturing Price]]</f>
        <v>2959</v>
      </c>
      <c r="M231" s="1">
        <f ca="1">financials[[#This Row],[Sales]]-financials[[#This Row],[COGS]]</f>
        <v>2407.5500000000002</v>
      </c>
      <c r="N231" s="7">
        <f t="shared" ca="1" si="7"/>
        <v>45214</v>
      </c>
      <c r="O231" s="8">
        <f ca="1">MONTH(financials[[#This Row],[Date]])</f>
        <v>10</v>
      </c>
      <c r="P231" s="6" t="str">
        <f ca="1">TEXT(financials[[#This Row],[Date]],"MMM")</f>
        <v>Oct</v>
      </c>
      <c r="Q231">
        <f ca="1">YEAR(financials[[#This Row],[Date]])</f>
        <v>2023</v>
      </c>
      <c r="S231" s="10"/>
    </row>
    <row r="232" spans="1:19" x14ac:dyDescent="0.3">
      <c r="A232" t="s">
        <v>16</v>
      </c>
      <c r="B232" t="s">
        <v>22</v>
      </c>
      <c r="C232" s="6" t="s">
        <v>18</v>
      </c>
      <c r="D232" s="6" t="str">
        <f>CONCATENATE(financials[[#This Row],[Segment]],",",financials[[#This Row],[Country]],",",financials[[#This Row],[Product]])</f>
        <v>Government,France,Carretera</v>
      </c>
      <c r="E232" s="6" t="s">
        <v>33</v>
      </c>
      <c r="F232">
        <f t="shared" ca="1" si="6"/>
        <v>858</v>
      </c>
      <c r="G232" s="1">
        <f ca="1">VLOOKUP(financials[[#This Row],[ID]],Prices!D:F,2,FALSE)</f>
        <v>12</v>
      </c>
      <c r="H232" s="1">
        <f ca="1">VLOOKUP(financials[[#This Row],[ID]],Prices!D:F,3,FALSE)</f>
        <v>38</v>
      </c>
      <c r="I232" s="1">
        <f ca="1">financials[[#This Row],[Units Sold]]*financials[[#This Row],[Sale Price]]</f>
        <v>32604</v>
      </c>
      <c r="J2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1630.2</v>
      </c>
      <c r="K232" s="1">
        <f ca="1">financials[[#This Row],[Gross Sales]]-financials[[#This Row],[Discounts]]</f>
        <v>30973.8</v>
      </c>
      <c r="L232" s="1">
        <f ca="1">financials[[#This Row],[Units Sold]]*financials[[#This Row],[Manufacturing Price]]</f>
        <v>10296</v>
      </c>
      <c r="M232" s="1">
        <f ca="1">financials[[#This Row],[Sales]]-financials[[#This Row],[COGS]]</f>
        <v>20677.8</v>
      </c>
      <c r="N232" s="7">
        <f t="shared" ca="1" si="7"/>
        <v>45629</v>
      </c>
      <c r="O232" s="8">
        <f ca="1">MONTH(financials[[#This Row],[Date]])</f>
        <v>12</v>
      </c>
      <c r="P232" s="6" t="str">
        <f ca="1">TEXT(financials[[#This Row],[Date]],"MMM")</f>
        <v>Dec</v>
      </c>
      <c r="Q232">
        <f ca="1">YEAR(financials[[#This Row],[Date]])</f>
        <v>2024</v>
      </c>
      <c r="S232" s="10"/>
    </row>
    <row r="233" spans="1:19" x14ac:dyDescent="0.3">
      <c r="A233" t="s">
        <v>16</v>
      </c>
      <c r="B233" t="s">
        <v>22</v>
      </c>
      <c r="C233" s="6" t="s">
        <v>24</v>
      </c>
      <c r="D233" s="6" t="str">
        <f>CONCATENATE(financials[[#This Row],[Segment]],",",financials[[#This Row],[Country]],",",financials[[#This Row],[Product]])</f>
        <v>Government,France,Montana</v>
      </c>
      <c r="E233" s="6" t="s">
        <v>33</v>
      </c>
      <c r="F233">
        <f t="shared" ca="1" si="6"/>
        <v>231</v>
      </c>
      <c r="G233" s="1">
        <f ca="1">VLOOKUP(financials[[#This Row],[ID]],Prices!D:F,2,FALSE)</f>
        <v>19</v>
      </c>
      <c r="H233" s="1">
        <f ca="1">VLOOKUP(financials[[#This Row],[ID]],Prices!D:F,3,FALSE)</f>
        <v>22</v>
      </c>
      <c r="I233" s="1">
        <f ca="1">financials[[#This Row],[Units Sold]]*financials[[#This Row],[Sale Price]]</f>
        <v>5082</v>
      </c>
      <c r="J2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254.10000000000002</v>
      </c>
      <c r="K233" s="1">
        <f ca="1">financials[[#This Row],[Gross Sales]]-financials[[#This Row],[Discounts]]</f>
        <v>4827.8999999999996</v>
      </c>
      <c r="L233" s="1">
        <f ca="1">financials[[#This Row],[Units Sold]]*financials[[#This Row],[Manufacturing Price]]</f>
        <v>4389</v>
      </c>
      <c r="M233" s="1">
        <f ca="1">financials[[#This Row],[Sales]]-financials[[#This Row],[COGS]]</f>
        <v>438.89999999999964</v>
      </c>
      <c r="N233" s="7">
        <f t="shared" ca="1" si="7"/>
        <v>45270</v>
      </c>
      <c r="O233" s="8">
        <f ca="1">MONTH(financials[[#This Row],[Date]])</f>
        <v>12</v>
      </c>
      <c r="P233" s="6" t="str">
        <f ca="1">TEXT(financials[[#This Row],[Date]],"MMM")</f>
        <v>Dec</v>
      </c>
      <c r="Q233">
        <f ca="1">YEAR(financials[[#This Row],[Date]])</f>
        <v>2023</v>
      </c>
      <c r="S233" s="10"/>
    </row>
    <row r="234" spans="1:19" x14ac:dyDescent="0.3">
      <c r="A234" t="s">
        <v>26</v>
      </c>
      <c r="B234" t="s">
        <v>36</v>
      </c>
      <c r="C234" s="6" t="s">
        <v>24</v>
      </c>
      <c r="D234" s="6" t="str">
        <f>CONCATENATE(financials[[#This Row],[Segment]],",",financials[[#This Row],[Country]],",",financials[[#This Row],[Product]])</f>
        <v>Enterprise,USA,Montana</v>
      </c>
      <c r="E234" s="6" t="s">
        <v>33</v>
      </c>
      <c r="F234">
        <f t="shared" ca="1" si="6"/>
        <v>121</v>
      </c>
      <c r="G234" s="1">
        <f ca="1">VLOOKUP(financials[[#This Row],[ID]],Prices!D:F,2,FALSE)</f>
        <v>14</v>
      </c>
      <c r="H234" s="1">
        <f ca="1">VLOOKUP(financials[[#This Row],[ID]],Prices!D:F,3,FALSE)</f>
        <v>29</v>
      </c>
      <c r="I234" s="1">
        <f ca="1">financials[[#This Row],[Units Sold]]*financials[[#This Row],[Sale Price]]</f>
        <v>3509</v>
      </c>
      <c r="J2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175.45000000000002</v>
      </c>
      <c r="K234" s="1">
        <f ca="1">financials[[#This Row],[Gross Sales]]-financials[[#This Row],[Discounts]]</f>
        <v>3333.55</v>
      </c>
      <c r="L234" s="1">
        <f ca="1">financials[[#This Row],[Units Sold]]*financials[[#This Row],[Manufacturing Price]]</f>
        <v>1694</v>
      </c>
      <c r="M234" s="1">
        <f ca="1">financials[[#This Row],[Sales]]-financials[[#This Row],[COGS]]</f>
        <v>1639.5500000000002</v>
      </c>
      <c r="N234" s="7">
        <f t="shared" ca="1" si="7"/>
        <v>45641</v>
      </c>
      <c r="O234" s="8">
        <f ca="1">MONTH(financials[[#This Row],[Date]])</f>
        <v>12</v>
      </c>
      <c r="P234" s="6" t="str">
        <f ca="1">TEXT(financials[[#This Row],[Date]],"MMM")</f>
        <v>Dec</v>
      </c>
      <c r="Q234">
        <f ca="1">YEAR(financials[[#This Row],[Date]])</f>
        <v>2024</v>
      </c>
      <c r="S234" s="10"/>
    </row>
    <row r="235" spans="1:19" x14ac:dyDescent="0.3">
      <c r="A235" t="s">
        <v>16</v>
      </c>
      <c r="B235" t="s">
        <v>23</v>
      </c>
      <c r="C235" s="6" t="s">
        <v>24</v>
      </c>
      <c r="D235" s="6" t="str">
        <f>CONCATENATE(financials[[#This Row],[Segment]],",",financials[[#This Row],[Country]],",",financials[[#This Row],[Product]])</f>
        <v>Government,Mexico,Montana</v>
      </c>
      <c r="E235" s="6" t="s">
        <v>33</v>
      </c>
      <c r="F235">
        <f t="shared" ca="1" si="6"/>
        <v>542</v>
      </c>
      <c r="G235" s="1">
        <f ca="1">VLOOKUP(financials[[#This Row],[ID]],Prices!D:F,2,FALSE)</f>
        <v>19</v>
      </c>
      <c r="H235" s="1">
        <f ca="1">VLOOKUP(financials[[#This Row],[ID]],Prices!D:F,3,FALSE)</f>
        <v>20</v>
      </c>
      <c r="I235" s="1">
        <f ca="1">financials[[#This Row],[Units Sold]]*financials[[#This Row],[Sale Price]]</f>
        <v>10840</v>
      </c>
      <c r="J2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542</v>
      </c>
      <c r="K235" s="1">
        <f ca="1">financials[[#This Row],[Gross Sales]]-financials[[#This Row],[Discounts]]</f>
        <v>10298</v>
      </c>
      <c r="L235" s="1">
        <f ca="1">financials[[#This Row],[Units Sold]]*financials[[#This Row],[Manufacturing Price]]</f>
        <v>10298</v>
      </c>
      <c r="M235" s="1">
        <f ca="1">financials[[#This Row],[Sales]]-financials[[#This Row],[COGS]]</f>
        <v>0</v>
      </c>
      <c r="N235" s="7">
        <f t="shared" ca="1" si="7"/>
        <v>45448</v>
      </c>
      <c r="O235" s="8">
        <f ca="1">MONTH(financials[[#This Row],[Date]])</f>
        <v>6</v>
      </c>
      <c r="P235" s="6" t="str">
        <f ca="1">TEXT(financials[[#This Row],[Date]],"MMM")</f>
        <v>Jun</v>
      </c>
      <c r="Q235">
        <f ca="1">YEAR(financials[[#This Row],[Date]])</f>
        <v>2024</v>
      </c>
      <c r="S235" s="10"/>
    </row>
    <row r="236" spans="1:19" x14ac:dyDescent="0.3">
      <c r="A236" t="s">
        <v>25</v>
      </c>
      <c r="B236" t="s">
        <v>20</v>
      </c>
      <c r="C236" s="6" t="s">
        <v>24</v>
      </c>
      <c r="D236" s="6" t="str">
        <f>CONCATENATE(financials[[#This Row],[Segment]],",",financials[[#This Row],[Country]],",",financials[[#This Row],[Product]])</f>
        <v>Channel Partners,Germany,Montana</v>
      </c>
      <c r="E236" s="6" t="s">
        <v>33</v>
      </c>
      <c r="F236">
        <f t="shared" ca="1" si="6"/>
        <v>880</v>
      </c>
      <c r="G236" s="1">
        <f ca="1">VLOOKUP(financials[[#This Row],[ID]],Prices!D:F,2,FALSE)</f>
        <v>12</v>
      </c>
      <c r="H236" s="1">
        <f ca="1">VLOOKUP(financials[[#This Row],[ID]],Prices!D:F,3,FALSE)</f>
        <v>33</v>
      </c>
      <c r="I236" s="1">
        <f ca="1">financials[[#This Row],[Units Sold]]*financials[[#This Row],[Sale Price]]</f>
        <v>29040</v>
      </c>
      <c r="J2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1452</v>
      </c>
      <c r="K236" s="1">
        <f ca="1">financials[[#This Row],[Gross Sales]]-financials[[#This Row],[Discounts]]</f>
        <v>27588</v>
      </c>
      <c r="L236" s="1">
        <f ca="1">financials[[#This Row],[Units Sold]]*financials[[#This Row],[Manufacturing Price]]</f>
        <v>10560</v>
      </c>
      <c r="M236" s="1">
        <f ca="1">financials[[#This Row],[Sales]]-financials[[#This Row],[COGS]]</f>
        <v>17028</v>
      </c>
      <c r="N236" s="7">
        <f t="shared" ca="1" si="7"/>
        <v>45346</v>
      </c>
      <c r="O236" s="8">
        <f ca="1">MONTH(financials[[#This Row],[Date]])</f>
        <v>2</v>
      </c>
      <c r="P236" s="6" t="str">
        <f ca="1">TEXT(financials[[#This Row],[Date]],"MMM")</f>
        <v>Feb</v>
      </c>
      <c r="Q236">
        <f ca="1">YEAR(financials[[#This Row],[Date]])</f>
        <v>2024</v>
      </c>
      <c r="S236" s="10"/>
    </row>
    <row r="237" spans="1:19" x14ac:dyDescent="0.3">
      <c r="A237" t="s">
        <v>27</v>
      </c>
      <c r="B237" t="s">
        <v>23</v>
      </c>
      <c r="C237" s="6" t="s">
        <v>24</v>
      </c>
      <c r="D237" s="6" t="str">
        <f>CONCATENATE(financials[[#This Row],[Segment]],",",financials[[#This Row],[Country]],",",financials[[#This Row],[Product]])</f>
        <v>Small Business,Mexico,Montana</v>
      </c>
      <c r="E237" s="6" t="s">
        <v>33</v>
      </c>
      <c r="F237">
        <f t="shared" ca="1" si="6"/>
        <v>673</v>
      </c>
      <c r="G237" s="1">
        <f ca="1">VLOOKUP(financials[[#This Row],[ID]],Prices!D:F,2,FALSE)</f>
        <v>20</v>
      </c>
      <c r="H237" s="1">
        <f ca="1">VLOOKUP(financials[[#This Row],[ID]],Prices!D:F,3,FALSE)</f>
        <v>37</v>
      </c>
      <c r="I237" s="1">
        <f ca="1">financials[[#This Row],[Units Sold]]*financials[[#This Row],[Sale Price]]</f>
        <v>24901</v>
      </c>
      <c r="J2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1245.0500000000002</v>
      </c>
      <c r="K237" s="1">
        <f ca="1">financials[[#This Row],[Gross Sales]]-financials[[#This Row],[Discounts]]</f>
        <v>23655.95</v>
      </c>
      <c r="L237" s="1">
        <f ca="1">financials[[#This Row],[Units Sold]]*financials[[#This Row],[Manufacturing Price]]</f>
        <v>13460</v>
      </c>
      <c r="M237" s="1">
        <f ca="1">financials[[#This Row],[Sales]]-financials[[#This Row],[COGS]]</f>
        <v>10195.950000000001</v>
      </c>
      <c r="N237" s="7">
        <f t="shared" ca="1" si="7"/>
        <v>45251</v>
      </c>
      <c r="O237" s="8">
        <f ca="1">MONTH(financials[[#This Row],[Date]])</f>
        <v>11</v>
      </c>
      <c r="P237" s="6" t="str">
        <f ca="1">TEXT(financials[[#This Row],[Date]],"MMM")</f>
        <v>Nov</v>
      </c>
      <c r="Q237">
        <f ca="1">YEAR(financials[[#This Row],[Date]])</f>
        <v>2023</v>
      </c>
      <c r="S237" s="10"/>
    </row>
    <row r="238" spans="1:19" x14ac:dyDescent="0.3">
      <c r="A238" t="s">
        <v>16</v>
      </c>
      <c r="B238" t="s">
        <v>22</v>
      </c>
      <c r="C238" s="6" t="s">
        <v>28</v>
      </c>
      <c r="D238" s="6" t="str">
        <f>CONCATENATE(financials[[#This Row],[Segment]],",",financials[[#This Row],[Country]],",",financials[[#This Row],[Product]])</f>
        <v>Government,France,Paseo</v>
      </c>
      <c r="E238" s="6" t="s">
        <v>33</v>
      </c>
      <c r="F238">
        <f t="shared" ca="1" si="6"/>
        <v>60</v>
      </c>
      <c r="G238" s="1">
        <f ca="1">VLOOKUP(financials[[#This Row],[ID]],Prices!D:F,2,FALSE)</f>
        <v>14</v>
      </c>
      <c r="H238" s="1">
        <f ca="1">VLOOKUP(financials[[#This Row],[ID]],Prices!D:F,3,FALSE)</f>
        <v>18</v>
      </c>
      <c r="I238" s="1">
        <f ca="1">financials[[#This Row],[Units Sold]]*financials[[#This Row],[Sale Price]]</f>
        <v>1080</v>
      </c>
      <c r="J2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54</v>
      </c>
      <c r="K238" s="1">
        <f ca="1">financials[[#This Row],[Gross Sales]]-financials[[#This Row],[Discounts]]</f>
        <v>1026</v>
      </c>
      <c r="L238" s="1">
        <f ca="1">financials[[#This Row],[Units Sold]]*financials[[#This Row],[Manufacturing Price]]</f>
        <v>840</v>
      </c>
      <c r="M238" s="1">
        <f ca="1">financials[[#This Row],[Sales]]-financials[[#This Row],[COGS]]</f>
        <v>186</v>
      </c>
      <c r="N238" s="7">
        <f t="shared" ca="1" si="7"/>
        <v>45720</v>
      </c>
      <c r="O238" s="8">
        <f ca="1">MONTH(financials[[#This Row],[Date]])</f>
        <v>3</v>
      </c>
      <c r="P238" s="6" t="str">
        <f ca="1">TEXT(financials[[#This Row],[Date]],"MMM")</f>
        <v>Mar</v>
      </c>
      <c r="Q238">
        <f ca="1">YEAR(financials[[#This Row],[Date]])</f>
        <v>2025</v>
      </c>
      <c r="S238" s="10"/>
    </row>
    <row r="239" spans="1:19" x14ac:dyDescent="0.3">
      <c r="A239" t="s">
        <v>26</v>
      </c>
      <c r="B239" t="s">
        <v>36</v>
      </c>
      <c r="C239" s="6" t="s">
        <v>28</v>
      </c>
      <c r="D239" s="6" t="str">
        <f>CONCATENATE(financials[[#This Row],[Segment]],",",financials[[#This Row],[Country]],",",financials[[#This Row],[Product]])</f>
        <v>Enterprise,USA,Paseo</v>
      </c>
      <c r="E239" s="6" t="s">
        <v>33</v>
      </c>
      <c r="F239">
        <f t="shared" ca="1" si="6"/>
        <v>740</v>
      </c>
      <c r="G239" s="1">
        <f ca="1">VLOOKUP(financials[[#This Row],[ID]],Prices!D:F,2,FALSE)</f>
        <v>17</v>
      </c>
      <c r="H239" s="1">
        <f ca="1">VLOOKUP(financials[[#This Row],[ID]],Prices!D:F,3,FALSE)</f>
        <v>30</v>
      </c>
      <c r="I239" s="1">
        <f ca="1">financials[[#This Row],[Units Sold]]*financials[[#This Row],[Sale Price]]</f>
        <v>22200</v>
      </c>
      <c r="J2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1110</v>
      </c>
      <c r="K239" s="1">
        <f ca="1">financials[[#This Row],[Gross Sales]]-financials[[#This Row],[Discounts]]</f>
        <v>21090</v>
      </c>
      <c r="L239" s="1">
        <f ca="1">financials[[#This Row],[Units Sold]]*financials[[#This Row],[Manufacturing Price]]</f>
        <v>12580</v>
      </c>
      <c r="M239" s="1">
        <f ca="1">financials[[#This Row],[Sales]]-financials[[#This Row],[COGS]]</f>
        <v>8510</v>
      </c>
      <c r="N239" s="7">
        <f t="shared" ca="1" si="7"/>
        <v>45138</v>
      </c>
      <c r="O239" s="8">
        <f ca="1">MONTH(financials[[#This Row],[Date]])</f>
        <v>7</v>
      </c>
      <c r="P239" s="6" t="str">
        <f ca="1">TEXT(financials[[#This Row],[Date]],"MMM")</f>
        <v>Jul</v>
      </c>
      <c r="Q239">
        <f ca="1">YEAR(financials[[#This Row],[Date]])</f>
        <v>2023</v>
      </c>
      <c r="S239" s="10"/>
    </row>
    <row r="240" spans="1:19" x14ac:dyDescent="0.3">
      <c r="A240" t="s">
        <v>26</v>
      </c>
      <c r="B240" t="s">
        <v>22</v>
      </c>
      <c r="C240" s="6" t="s">
        <v>28</v>
      </c>
      <c r="D240" s="6" t="str">
        <f>CONCATENATE(financials[[#This Row],[Segment]],",",financials[[#This Row],[Country]],",",financials[[#This Row],[Product]])</f>
        <v>Enterprise,France,Paseo</v>
      </c>
      <c r="E240" s="6" t="s">
        <v>33</v>
      </c>
      <c r="F240">
        <f t="shared" ca="1" si="6"/>
        <v>182</v>
      </c>
      <c r="G240" s="1">
        <f ca="1">VLOOKUP(financials[[#This Row],[ID]],Prices!D:F,2,FALSE)</f>
        <v>11</v>
      </c>
      <c r="H240" s="1">
        <f ca="1">VLOOKUP(financials[[#This Row],[ID]],Prices!D:F,3,FALSE)</f>
        <v>21</v>
      </c>
      <c r="I240" s="1">
        <f ca="1">financials[[#This Row],[Units Sold]]*financials[[#This Row],[Sale Price]]</f>
        <v>3822</v>
      </c>
      <c r="J2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191.10000000000002</v>
      </c>
      <c r="K240" s="1">
        <f ca="1">financials[[#This Row],[Gross Sales]]-financials[[#This Row],[Discounts]]</f>
        <v>3630.9</v>
      </c>
      <c r="L240" s="1">
        <f ca="1">financials[[#This Row],[Units Sold]]*financials[[#This Row],[Manufacturing Price]]</f>
        <v>2002</v>
      </c>
      <c r="M240" s="1">
        <f ca="1">financials[[#This Row],[Sales]]-financials[[#This Row],[COGS]]</f>
        <v>1628.9</v>
      </c>
      <c r="N240" s="7">
        <f t="shared" ca="1" si="7"/>
        <v>45183</v>
      </c>
      <c r="O240" s="8">
        <f ca="1">MONTH(financials[[#This Row],[Date]])</f>
        <v>9</v>
      </c>
      <c r="P240" s="6" t="str">
        <f ca="1">TEXT(financials[[#This Row],[Date]],"MMM")</f>
        <v>Sep</v>
      </c>
      <c r="Q240">
        <f ca="1">YEAR(financials[[#This Row],[Date]])</f>
        <v>2023</v>
      </c>
      <c r="S240" s="10"/>
    </row>
    <row r="241" spans="1:19" x14ac:dyDescent="0.3">
      <c r="A241" t="s">
        <v>27</v>
      </c>
      <c r="B241" t="s">
        <v>23</v>
      </c>
      <c r="C241" s="6" t="s">
        <v>28</v>
      </c>
      <c r="D241" s="6" t="str">
        <f>CONCATENATE(financials[[#This Row],[Segment]],",",financials[[#This Row],[Country]],",",financials[[#This Row],[Product]])</f>
        <v>Small Business,Mexico,Paseo</v>
      </c>
      <c r="E241" s="6" t="s">
        <v>33</v>
      </c>
      <c r="F241">
        <f t="shared" ca="1" si="6"/>
        <v>310</v>
      </c>
      <c r="G241" s="1">
        <f ca="1">VLOOKUP(financials[[#This Row],[ID]],Prices!D:F,2,FALSE)</f>
        <v>20</v>
      </c>
      <c r="H241" s="1">
        <f ca="1">VLOOKUP(financials[[#This Row],[ID]],Prices!D:F,3,FALSE)</f>
        <v>20</v>
      </c>
      <c r="I241" s="1">
        <f ca="1">financials[[#This Row],[Units Sold]]*financials[[#This Row],[Sale Price]]</f>
        <v>6200</v>
      </c>
      <c r="J2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310</v>
      </c>
      <c r="K241" s="1">
        <f ca="1">financials[[#This Row],[Gross Sales]]-financials[[#This Row],[Discounts]]</f>
        <v>5890</v>
      </c>
      <c r="L241" s="1">
        <f ca="1">financials[[#This Row],[Units Sold]]*financials[[#This Row],[Manufacturing Price]]</f>
        <v>6200</v>
      </c>
      <c r="M241" s="1">
        <f ca="1">financials[[#This Row],[Sales]]-financials[[#This Row],[COGS]]</f>
        <v>-310</v>
      </c>
      <c r="N241" s="7">
        <f t="shared" ca="1" si="7"/>
        <v>45648</v>
      </c>
      <c r="O241" s="8">
        <f ca="1">MONTH(financials[[#This Row],[Date]])</f>
        <v>12</v>
      </c>
      <c r="P241" s="6" t="str">
        <f ca="1">TEXT(financials[[#This Row],[Date]],"MMM")</f>
        <v>Dec</v>
      </c>
      <c r="Q241">
        <f ca="1">YEAR(financials[[#This Row],[Date]])</f>
        <v>2024</v>
      </c>
      <c r="S241" s="10"/>
    </row>
    <row r="242" spans="1:19" x14ac:dyDescent="0.3">
      <c r="A242" t="s">
        <v>16</v>
      </c>
      <c r="B242" t="s">
        <v>36</v>
      </c>
      <c r="C242" s="6" t="s">
        <v>28</v>
      </c>
      <c r="D242" s="6" t="str">
        <f>CONCATENATE(financials[[#This Row],[Segment]],",",financials[[#This Row],[Country]],",",financials[[#This Row],[Product]])</f>
        <v>Government,USA,Paseo</v>
      </c>
      <c r="E242" s="6" t="s">
        <v>33</v>
      </c>
      <c r="F242">
        <f t="shared" ca="1" si="6"/>
        <v>487</v>
      </c>
      <c r="G242" s="1">
        <f ca="1">VLOOKUP(financials[[#This Row],[ID]],Prices!D:F,2,FALSE)</f>
        <v>17</v>
      </c>
      <c r="H242" s="1">
        <f ca="1">VLOOKUP(financials[[#This Row],[ID]],Prices!D:F,3,FALSE)</f>
        <v>36</v>
      </c>
      <c r="I242" s="1">
        <f ca="1">financials[[#This Row],[Units Sold]]*financials[[#This Row],[Sale Price]]</f>
        <v>17532</v>
      </c>
      <c r="J2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876.6</v>
      </c>
      <c r="K242" s="1">
        <f ca="1">financials[[#This Row],[Gross Sales]]-financials[[#This Row],[Discounts]]</f>
        <v>16655.400000000001</v>
      </c>
      <c r="L242" s="1">
        <f ca="1">financials[[#This Row],[Units Sold]]*financials[[#This Row],[Manufacturing Price]]</f>
        <v>8279</v>
      </c>
      <c r="M242" s="1">
        <f ca="1">financials[[#This Row],[Sales]]-financials[[#This Row],[COGS]]</f>
        <v>8376.4000000000015</v>
      </c>
      <c r="N242" s="7">
        <f t="shared" ca="1" si="7"/>
        <v>45027</v>
      </c>
      <c r="O242" s="8">
        <f ca="1">MONTH(financials[[#This Row],[Date]])</f>
        <v>4</v>
      </c>
      <c r="P242" s="6" t="str">
        <f ca="1">TEXT(financials[[#This Row],[Date]],"MMM")</f>
        <v>Apr</v>
      </c>
      <c r="Q242">
        <f ca="1">YEAR(financials[[#This Row],[Date]])</f>
        <v>2023</v>
      </c>
      <c r="S242" s="10"/>
    </row>
    <row r="243" spans="1:19" x14ac:dyDescent="0.3">
      <c r="A243" t="s">
        <v>27</v>
      </c>
      <c r="B243" t="s">
        <v>36</v>
      </c>
      <c r="C243" s="6" t="s">
        <v>28</v>
      </c>
      <c r="D243" s="6" t="str">
        <f>CONCATENATE(financials[[#This Row],[Segment]],",",financials[[#This Row],[Country]],",",financials[[#This Row],[Product]])</f>
        <v>Small Business,USA,Paseo</v>
      </c>
      <c r="E243" s="6" t="s">
        <v>33</v>
      </c>
      <c r="F243">
        <f t="shared" ca="1" si="6"/>
        <v>683</v>
      </c>
      <c r="G243" s="1">
        <f ca="1">VLOOKUP(financials[[#This Row],[ID]],Prices!D:F,2,FALSE)</f>
        <v>17</v>
      </c>
      <c r="H243" s="1">
        <f ca="1">VLOOKUP(financials[[#This Row],[ID]],Prices!D:F,3,FALSE)</f>
        <v>23</v>
      </c>
      <c r="I243" s="1">
        <f ca="1">financials[[#This Row],[Units Sold]]*financials[[#This Row],[Sale Price]]</f>
        <v>15709</v>
      </c>
      <c r="J2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785.45</v>
      </c>
      <c r="K243" s="1">
        <f ca="1">financials[[#This Row],[Gross Sales]]-financials[[#This Row],[Discounts]]</f>
        <v>14923.55</v>
      </c>
      <c r="L243" s="1">
        <f ca="1">financials[[#This Row],[Units Sold]]*financials[[#This Row],[Manufacturing Price]]</f>
        <v>11611</v>
      </c>
      <c r="M243" s="1">
        <f ca="1">financials[[#This Row],[Sales]]-financials[[#This Row],[COGS]]</f>
        <v>3312.5499999999993</v>
      </c>
      <c r="N243" s="7">
        <f t="shared" ca="1" si="7"/>
        <v>45649</v>
      </c>
      <c r="O243" s="8">
        <f ca="1">MONTH(financials[[#This Row],[Date]])</f>
        <v>12</v>
      </c>
      <c r="P243" s="6" t="str">
        <f ca="1">TEXT(financials[[#This Row],[Date]],"MMM")</f>
        <v>Dec</v>
      </c>
      <c r="Q243">
        <f ca="1">YEAR(financials[[#This Row],[Date]])</f>
        <v>2024</v>
      </c>
      <c r="S243" s="10"/>
    </row>
    <row r="244" spans="1:19" x14ac:dyDescent="0.3">
      <c r="A244" t="s">
        <v>16</v>
      </c>
      <c r="B244" t="s">
        <v>36</v>
      </c>
      <c r="C244" s="6" t="s">
        <v>28</v>
      </c>
      <c r="D244" s="6" t="str">
        <f>CONCATENATE(financials[[#This Row],[Segment]],",",financials[[#This Row],[Country]],",",financials[[#This Row],[Product]])</f>
        <v>Government,USA,Paseo</v>
      </c>
      <c r="E244" s="6" t="s">
        <v>33</v>
      </c>
      <c r="F244">
        <f t="shared" ca="1" si="6"/>
        <v>644</v>
      </c>
      <c r="G244" s="1">
        <f ca="1">VLOOKUP(financials[[#This Row],[ID]],Prices!D:F,2,FALSE)</f>
        <v>17</v>
      </c>
      <c r="H244" s="1">
        <f ca="1">VLOOKUP(financials[[#This Row],[ID]],Prices!D:F,3,FALSE)</f>
        <v>36</v>
      </c>
      <c r="I244" s="1">
        <f ca="1">financials[[#This Row],[Units Sold]]*financials[[#This Row],[Sale Price]]</f>
        <v>23184</v>
      </c>
      <c r="J2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1159.2</v>
      </c>
      <c r="K244" s="1">
        <f ca="1">financials[[#This Row],[Gross Sales]]-financials[[#This Row],[Discounts]]</f>
        <v>22024.799999999999</v>
      </c>
      <c r="L244" s="1">
        <f ca="1">financials[[#This Row],[Units Sold]]*financials[[#This Row],[Manufacturing Price]]</f>
        <v>10948</v>
      </c>
      <c r="M244" s="1">
        <f ca="1">financials[[#This Row],[Sales]]-financials[[#This Row],[COGS]]</f>
        <v>11076.8</v>
      </c>
      <c r="N244" s="7">
        <f t="shared" ca="1" si="7"/>
        <v>45040</v>
      </c>
      <c r="O244" s="8">
        <f ca="1">MONTH(financials[[#This Row],[Date]])</f>
        <v>4</v>
      </c>
      <c r="P244" s="6" t="str">
        <f ca="1">TEXT(financials[[#This Row],[Date]],"MMM")</f>
        <v>Apr</v>
      </c>
      <c r="Q244">
        <f ca="1">YEAR(financials[[#This Row],[Date]])</f>
        <v>2023</v>
      </c>
      <c r="S244" s="10"/>
    </row>
    <row r="245" spans="1:19" x14ac:dyDescent="0.3">
      <c r="A245" t="s">
        <v>21</v>
      </c>
      <c r="B245" t="s">
        <v>22</v>
      </c>
      <c r="C245" s="6" t="s">
        <v>28</v>
      </c>
      <c r="D245" s="6" t="str">
        <f>CONCATENATE(financials[[#This Row],[Segment]],",",financials[[#This Row],[Country]],",",financials[[#This Row],[Product]])</f>
        <v>Midmarket,France,Paseo</v>
      </c>
      <c r="E245" s="6" t="s">
        <v>33</v>
      </c>
      <c r="F245">
        <f t="shared" ca="1" si="6"/>
        <v>638</v>
      </c>
      <c r="G245" s="1">
        <f ca="1">VLOOKUP(financials[[#This Row],[ID]],Prices!D:F,2,FALSE)</f>
        <v>20</v>
      </c>
      <c r="H245" s="1">
        <f ca="1">VLOOKUP(financials[[#This Row],[ID]],Prices!D:F,3,FALSE)</f>
        <v>38</v>
      </c>
      <c r="I245" s="1">
        <f ca="1">financials[[#This Row],[Units Sold]]*financials[[#This Row],[Sale Price]]</f>
        <v>24244</v>
      </c>
      <c r="J2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1212.2</v>
      </c>
      <c r="K245" s="1">
        <f ca="1">financials[[#This Row],[Gross Sales]]-financials[[#This Row],[Discounts]]</f>
        <v>23031.8</v>
      </c>
      <c r="L245" s="1">
        <f ca="1">financials[[#This Row],[Units Sold]]*financials[[#This Row],[Manufacturing Price]]</f>
        <v>12760</v>
      </c>
      <c r="M245" s="1">
        <f ca="1">financials[[#This Row],[Sales]]-financials[[#This Row],[COGS]]</f>
        <v>10271.799999999999</v>
      </c>
      <c r="N245" s="7">
        <f t="shared" ca="1" si="7"/>
        <v>45634</v>
      </c>
      <c r="O245" s="8">
        <f ca="1">MONTH(financials[[#This Row],[Date]])</f>
        <v>12</v>
      </c>
      <c r="P245" s="6" t="str">
        <f ca="1">TEXT(financials[[#This Row],[Date]],"MMM")</f>
        <v>Dec</v>
      </c>
      <c r="Q245">
        <f ca="1">YEAR(financials[[#This Row],[Date]])</f>
        <v>2024</v>
      </c>
      <c r="S245" s="10"/>
    </row>
    <row r="246" spans="1:19" x14ac:dyDescent="0.3">
      <c r="A246" t="s">
        <v>16</v>
      </c>
      <c r="B246" t="s">
        <v>17</v>
      </c>
      <c r="C246" s="6" t="s">
        <v>28</v>
      </c>
      <c r="D246" s="6" t="str">
        <f>CONCATENATE(financials[[#This Row],[Segment]],",",financials[[#This Row],[Country]],",",financials[[#This Row],[Product]])</f>
        <v>Government,Canada,Paseo</v>
      </c>
      <c r="E246" s="6" t="s">
        <v>33</v>
      </c>
      <c r="F246">
        <f t="shared" ca="1" si="6"/>
        <v>645</v>
      </c>
      <c r="G246" s="1">
        <f ca="1">VLOOKUP(financials[[#This Row],[ID]],Prices!D:F,2,FALSE)</f>
        <v>10</v>
      </c>
      <c r="H246" s="1">
        <f ca="1">VLOOKUP(financials[[#This Row],[ID]],Prices!D:F,3,FALSE)</f>
        <v>23</v>
      </c>
      <c r="I246" s="1">
        <f ca="1">financials[[#This Row],[Units Sold]]*financials[[#This Row],[Sale Price]]</f>
        <v>14835</v>
      </c>
      <c r="J2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741.75</v>
      </c>
      <c r="K246" s="1">
        <f ca="1">financials[[#This Row],[Gross Sales]]-financials[[#This Row],[Discounts]]</f>
        <v>14093.25</v>
      </c>
      <c r="L246" s="1">
        <f ca="1">financials[[#This Row],[Units Sold]]*financials[[#This Row],[Manufacturing Price]]</f>
        <v>6450</v>
      </c>
      <c r="M246" s="1">
        <f ca="1">financials[[#This Row],[Sales]]-financials[[#This Row],[COGS]]</f>
        <v>7643.25</v>
      </c>
      <c r="N246" s="7">
        <f t="shared" ca="1" si="7"/>
        <v>45501</v>
      </c>
      <c r="O246" s="8">
        <f ca="1">MONTH(financials[[#This Row],[Date]])</f>
        <v>7</v>
      </c>
      <c r="P246" s="6" t="str">
        <f ca="1">TEXT(financials[[#This Row],[Date]],"MMM")</f>
        <v>Jul</v>
      </c>
      <c r="Q246">
        <f ca="1">YEAR(financials[[#This Row],[Date]])</f>
        <v>2024</v>
      </c>
      <c r="S246" s="10"/>
    </row>
    <row r="247" spans="1:19" x14ac:dyDescent="0.3">
      <c r="A247" t="s">
        <v>16</v>
      </c>
      <c r="B247" t="s">
        <v>17</v>
      </c>
      <c r="C247" s="6" t="s">
        <v>28</v>
      </c>
      <c r="D247" s="6" t="str">
        <f>CONCATENATE(financials[[#This Row],[Segment]],",",financials[[#This Row],[Country]],",",financials[[#This Row],[Product]])</f>
        <v>Government,Canada,Paseo</v>
      </c>
      <c r="E247" s="6" t="s">
        <v>33</v>
      </c>
      <c r="F247">
        <f t="shared" ca="1" si="6"/>
        <v>385</v>
      </c>
      <c r="G247" s="1">
        <f ca="1">VLOOKUP(financials[[#This Row],[ID]],Prices!D:F,2,FALSE)</f>
        <v>10</v>
      </c>
      <c r="H247" s="1">
        <f ca="1">VLOOKUP(financials[[#This Row],[ID]],Prices!D:F,3,FALSE)</f>
        <v>23</v>
      </c>
      <c r="I247" s="1">
        <f ca="1">financials[[#This Row],[Units Sold]]*financials[[#This Row],[Sale Price]]</f>
        <v>8855</v>
      </c>
      <c r="J2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442.75</v>
      </c>
      <c r="K247" s="1">
        <f ca="1">financials[[#This Row],[Gross Sales]]-financials[[#This Row],[Discounts]]</f>
        <v>8412.25</v>
      </c>
      <c r="L247" s="1">
        <f ca="1">financials[[#This Row],[Units Sold]]*financials[[#This Row],[Manufacturing Price]]</f>
        <v>3850</v>
      </c>
      <c r="M247" s="1">
        <f ca="1">financials[[#This Row],[Sales]]-financials[[#This Row],[COGS]]</f>
        <v>4562.25</v>
      </c>
      <c r="N247" s="7">
        <f t="shared" ca="1" si="7"/>
        <v>45283</v>
      </c>
      <c r="O247" s="8">
        <f ca="1">MONTH(financials[[#This Row],[Date]])</f>
        <v>12</v>
      </c>
      <c r="P247" s="6" t="str">
        <f ca="1">TEXT(financials[[#This Row],[Date]],"MMM")</f>
        <v>Dec</v>
      </c>
      <c r="Q247">
        <f ca="1">YEAR(financials[[#This Row],[Date]])</f>
        <v>2023</v>
      </c>
      <c r="S247" s="10"/>
    </row>
    <row r="248" spans="1:19" x14ac:dyDescent="0.3">
      <c r="A248" t="s">
        <v>26</v>
      </c>
      <c r="B248" t="s">
        <v>36</v>
      </c>
      <c r="C248" s="6" t="s">
        <v>28</v>
      </c>
      <c r="D248" s="6" t="str">
        <f>CONCATENATE(financials[[#This Row],[Segment]],",",financials[[#This Row],[Country]],",",financials[[#This Row],[Product]])</f>
        <v>Enterprise,USA,Paseo</v>
      </c>
      <c r="E248" s="6" t="s">
        <v>33</v>
      </c>
      <c r="F248">
        <f t="shared" ca="1" si="6"/>
        <v>786</v>
      </c>
      <c r="G248" s="1">
        <f ca="1">VLOOKUP(financials[[#This Row],[ID]],Prices!D:F,2,FALSE)</f>
        <v>17</v>
      </c>
      <c r="H248" s="1">
        <f ca="1">VLOOKUP(financials[[#This Row],[ID]],Prices!D:F,3,FALSE)</f>
        <v>30</v>
      </c>
      <c r="I248" s="1">
        <f ca="1">financials[[#This Row],[Units Sold]]*financials[[#This Row],[Sale Price]]</f>
        <v>23580</v>
      </c>
      <c r="J2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1179</v>
      </c>
      <c r="K248" s="1">
        <f ca="1">financials[[#This Row],[Gross Sales]]-financials[[#This Row],[Discounts]]</f>
        <v>22401</v>
      </c>
      <c r="L248" s="1">
        <f ca="1">financials[[#This Row],[Units Sold]]*financials[[#This Row],[Manufacturing Price]]</f>
        <v>13362</v>
      </c>
      <c r="M248" s="1">
        <f ca="1">financials[[#This Row],[Sales]]-financials[[#This Row],[COGS]]</f>
        <v>9039</v>
      </c>
      <c r="N248" s="7">
        <f t="shared" ca="1" si="7"/>
        <v>45484</v>
      </c>
      <c r="O248" s="8">
        <f ca="1">MONTH(financials[[#This Row],[Date]])</f>
        <v>7</v>
      </c>
      <c r="P248" s="6" t="str">
        <f ca="1">TEXT(financials[[#This Row],[Date]],"MMM")</f>
        <v>Jul</v>
      </c>
      <c r="Q248">
        <f ca="1">YEAR(financials[[#This Row],[Date]])</f>
        <v>2024</v>
      </c>
      <c r="S248" s="10"/>
    </row>
    <row r="249" spans="1:19" x14ac:dyDescent="0.3">
      <c r="A249" t="s">
        <v>26</v>
      </c>
      <c r="B249" t="s">
        <v>22</v>
      </c>
      <c r="C249" s="6" t="s">
        <v>28</v>
      </c>
      <c r="D249" s="6" t="str">
        <f>CONCATENATE(financials[[#This Row],[Segment]],",",financials[[#This Row],[Country]],",",financials[[#This Row],[Product]])</f>
        <v>Enterprise,France,Paseo</v>
      </c>
      <c r="E249" s="6" t="s">
        <v>33</v>
      </c>
      <c r="F249">
        <f t="shared" ca="1" si="6"/>
        <v>823</v>
      </c>
      <c r="G249" s="1">
        <f ca="1">VLOOKUP(financials[[#This Row],[ID]],Prices!D:F,2,FALSE)</f>
        <v>11</v>
      </c>
      <c r="H249" s="1">
        <f ca="1">VLOOKUP(financials[[#This Row],[ID]],Prices!D:F,3,FALSE)</f>
        <v>21</v>
      </c>
      <c r="I249" s="1">
        <f ca="1">financials[[#This Row],[Units Sold]]*financials[[#This Row],[Sale Price]]</f>
        <v>17283</v>
      </c>
      <c r="J2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864.15000000000009</v>
      </c>
      <c r="K249" s="1">
        <f ca="1">financials[[#This Row],[Gross Sales]]-financials[[#This Row],[Discounts]]</f>
        <v>16418.849999999999</v>
      </c>
      <c r="L249" s="1">
        <f ca="1">financials[[#This Row],[Units Sold]]*financials[[#This Row],[Manufacturing Price]]</f>
        <v>9053</v>
      </c>
      <c r="M249" s="1">
        <f ca="1">financials[[#This Row],[Sales]]-financials[[#This Row],[COGS]]</f>
        <v>7365.8499999999985</v>
      </c>
      <c r="N249" s="7">
        <f t="shared" ca="1" si="7"/>
        <v>45542</v>
      </c>
      <c r="O249" s="8">
        <f ca="1">MONTH(financials[[#This Row],[Date]])</f>
        <v>9</v>
      </c>
      <c r="P249" s="6" t="str">
        <f ca="1">TEXT(financials[[#This Row],[Date]],"MMM")</f>
        <v>Sep</v>
      </c>
      <c r="Q249">
        <f ca="1">YEAR(financials[[#This Row],[Date]])</f>
        <v>2024</v>
      </c>
      <c r="S249" s="10"/>
    </row>
    <row r="250" spans="1:19" x14ac:dyDescent="0.3">
      <c r="A250" t="s">
        <v>16</v>
      </c>
      <c r="B250" t="s">
        <v>17</v>
      </c>
      <c r="C250" s="6" t="s">
        <v>28</v>
      </c>
      <c r="D250" s="6" t="str">
        <f>CONCATENATE(financials[[#This Row],[Segment]],",",financials[[#This Row],[Country]],",",financials[[#This Row],[Product]])</f>
        <v>Government,Canada,Paseo</v>
      </c>
      <c r="E250" s="6" t="s">
        <v>33</v>
      </c>
      <c r="F250">
        <f t="shared" ca="1" si="6"/>
        <v>907</v>
      </c>
      <c r="G250" s="1">
        <f ca="1">VLOOKUP(financials[[#This Row],[ID]],Prices!D:F,2,FALSE)</f>
        <v>10</v>
      </c>
      <c r="H250" s="1">
        <f ca="1">VLOOKUP(financials[[#This Row],[ID]],Prices!D:F,3,FALSE)</f>
        <v>23</v>
      </c>
      <c r="I250" s="1">
        <f ca="1">financials[[#This Row],[Units Sold]]*financials[[#This Row],[Sale Price]]</f>
        <v>20861</v>
      </c>
      <c r="J2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1043.05</v>
      </c>
      <c r="K250" s="1">
        <f ca="1">financials[[#This Row],[Gross Sales]]-financials[[#This Row],[Discounts]]</f>
        <v>19817.95</v>
      </c>
      <c r="L250" s="1">
        <f ca="1">financials[[#This Row],[Units Sold]]*financials[[#This Row],[Manufacturing Price]]</f>
        <v>9070</v>
      </c>
      <c r="M250" s="1">
        <f ca="1">financials[[#This Row],[Sales]]-financials[[#This Row],[COGS]]</f>
        <v>10747.95</v>
      </c>
      <c r="N250" s="7">
        <f t="shared" ca="1" si="7"/>
        <v>45370</v>
      </c>
      <c r="O250" s="8">
        <f ca="1">MONTH(financials[[#This Row],[Date]])</f>
        <v>3</v>
      </c>
      <c r="P250" s="6" t="str">
        <f ca="1">TEXT(financials[[#This Row],[Date]],"MMM")</f>
        <v>Mar</v>
      </c>
      <c r="Q250">
        <f ca="1">YEAR(financials[[#This Row],[Date]])</f>
        <v>2024</v>
      </c>
      <c r="S250" s="10"/>
    </row>
    <row r="251" spans="1:19" x14ac:dyDescent="0.3">
      <c r="A251" t="s">
        <v>16</v>
      </c>
      <c r="B251" t="s">
        <v>36</v>
      </c>
      <c r="C251" s="6" t="s">
        <v>28</v>
      </c>
      <c r="D251" s="6" t="str">
        <f>CONCATENATE(financials[[#This Row],[Segment]],",",financials[[#This Row],[Country]],",",financials[[#This Row],[Product]])</f>
        <v>Government,USA,Paseo</v>
      </c>
      <c r="E251" s="6" t="s">
        <v>33</v>
      </c>
      <c r="F251">
        <f t="shared" ca="1" si="6"/>
        <v>572</v>
      </c>
      <c r="G251" s="1">
        <f ca="1">VLOOKUP(financials[[#This Row],[ID]],Prices!D:F,2,FALSE)</f>
        <v>17</v>
      </c>
      <c r="H251" s="1">
        <f ca="1">VLOOKUP(financials[[#This Row],[ID]],Prices!D:F,3,FALSE)</f>
        <v>36</v>
      </c>
      <c r="I251" s="1">
        <f ca="1">financials[[#This Row],[Units Sold]]*financials[[#This Row],[Sale Price]]</f>
        <v>20592</v>
      </c>
      <c r="J2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1029.6000000000001</v>
      </c>
      <c r="K251" s="1">
        <f ca="1">financials[[#This Row],[Gross Sales]]-financials[[#This Row],[Discounts]]</f>
        <v>19562.400000000001</v>
      </c>
      <c r="L251" s="1">
        <f ca="1">financials[[#This Row],[Units Sold]]*financials[[#This Row],[Manufacturing Price]]</f>
        <v>9724</v>
      </c>
      <c r="M251" s="1">
        <f ca="1">financials[[#This Row],[Sales]]-financials[[#This Row],[COGS]]</f>
        <v>9838.4000000000015</v>
      </c>
      <c r="N251" s="7">
        <f t="shared" ca="1" si="7"/>
        <v>45118</v>
      </c>
      <c r="O251" s="8">
        <f ca="1">MONTH(financials[[#This Row],[Date]])</f>
        <v>7</v>
      </c>
      <c r="P251" s="6" t="str">
        <f ca="1">TEXT(financials[[#This Row],[Date]],"MMM")</f>
        <v>Jul</v>
      </c>
      <c r="Q251">
        <f ca="1">YEAR(financials[[#This Row],[Date]])</f>
        <v>2023</v>
      </c>
      <c r="S251" s="10"/>
    </row>
    <row r="252" spans="1:19" x14ac:dyDescent="0.3">
      <c r="A252" t="s">
        <v>16</v>
      </c>
      <c r="B252" t="s">
        <v>22</v>
      </c>
      <c r="C252" s="6" t="s">
        <v>28</v>
      </c>
      <c r="D252" s="6" t="str">
        <f>CONCATENATE(financials[[#This Row],[Segment]],",",financials[[#This Row],[Country]],",",financials[[#This Row],[Product]])</f>
        <v>Government,France,Paseo</v>
      </c>
      <c r="E252" s="6" t="s">
        <v>33</v>
      </c>
      <c r="F252">
        <f t="shared" ca="1" si="6"/>
        <v>352</v>
      </c>
      <c r="G252" s="1">
        <f ca="1">VLOOKUP(financials[[#This Row],[ID]],Prices!D:F,2,FALSE)</f>
        <v>14</v>
      </c>
      <c r="H252" s="1">
        <f ca="1">VLOOKUP(financials[[#This Row],[ID]],Prices!D:F,3,FALSE)</f>
        <v>18</v>
      </c>
      <c r="I252" s="1">
        <f ca="1">financials[[#This Row],[Units Sold]]*financials[[#This Row],[Sale Price]]</f>
        <v>6336</v>
      </c>
      <c r="J2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316.8</v>
      </c>
      <c r="K252" s="1">
        <f ca="1">financials[[#This Row],[Gross Sales]]-financials[[#This Row],[Discounts]]</f>
        <v>6019.2</v>
      </c>
      <c r="L252" s="1">
        <f ca="1">financials[[#This Row],[Units Sold]]*financials[[#This Row],[Manufacturing Price]]</f>
        <v>4928</v>
      </c>
      <c r="M252" s="1">
        <f ca="1">financials[[#This Row],[Sales]]-financials[[#This Row],[COGS]]</f>
        <v>1091.1999999999998</v>
      </c>
      <c r="N252" s="7">
        <f t="shared" ca="1" si="7"/>
        <v>45535</v>
      </c>
      <c r="O252" s="8">
        <f ca="1">MONTH(financials[[#This Row],[Date]])</f>
        <v>8</v>
      </c>
      <c r="P252" s="6" t="str">
        <f ca="1">TEXT(financials[[#This Row],[Date]],"MMM")</f>
        <v>Aug</v>
      </c>
      <c r="Q252">
        <f ca="1">YEAR(financials[[#This Row],[Date]])</f>
        <v>2024</v>
      </c>
      <c r="S252" s="10"/>
    </row>
    <row r="253" spans="1:19" x14ac:dyDescent="0.3">
      <c r="A253" t="s">
        <v>21</v>
      </c>
      <c r="B253" t="s">
        <v>20</v>
      </c>
      <c r="C253" s="6" t="s">
        <v>28</v>
      </c>
      <c r="D253" s="6" t="str">
        <f>CONCATENATE(financials[[#This Row],[Segment]],",",financials[[#This Row],[Country]],",",financials[[#This Row],[Product]])</f>
        <v>Midmarket,Germany,Paseo</v>
      </c>
      <c r="E253" s="6" t="s">
        <v>33</v>
      </c>
      <c r="F253">
        <f t="shared" ca="1" si="6"/>
        <v>928</v>
      </c>
      <c r="G253" s="1">
        <f ca="1">VLOOKUP(financials[[#This Row],[ID]],Prices!D:F,2,FALSE)</f>
        <v>19</v>
      </c>
      <c r="H253" s="1">
        <f ca="1">VLOOKUP(financials[[#This Row],[ID]],Prices!D:F,3,FALSE)</f>
        <v>25</v>
      </c>
      <c r="I253" s="1">
        <f ca="1">financials[[#This Row],[Units Sold]]*financials[[#This Row],[Sale Price]]</f>
        <v>23200</v>
      </c>
      <c r="J2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1160</v>
      </c>
      <c r="K253" s="1">
        <f ca="1">financials[[#This Row],[Gross Sales]]-financials[[#This Row],[Discounts]]</f>
        <v>22040</v>
      </c>
      <c r="L253" s="1">
        <f ca="1">financials[[#This Row],[Units Sold]]*financials[[#This Row],[Manufacturing Price]]</f>
        <v>17632</v>
      </c>
      <c r="M253" s="1">
        <f ca="1">financials[[#This Row],[Sales]]-financials[[#This Row],[COGS]]</f>
        <v>4408</v>
      </c>
      <c r="N253" s="7">
        <f t="shared" ca="1" si="7"/>
        <v>45600</v>
      </c>
      <c r="O253" s="8">
        <f ca="1">MONTH(financials[[#This Row],[Date]])</f>
        <v>11</v>
      </c>
      <c r="P253" s="6" t="str">
        <f ca="1">TEXT(financials[[#This Row],[Date]],"MMM")</f>
        <v>Nov</v>
      </c>
      <c r="Q253">
        <f ca="1">YEAR(financials[[#This Row],[Date]])</f>
        <v>2024</v>
      </c>
      <c r="S253" s="10"/>
    </row>
    <row r="254" spans="1:19" x14ac:dyDescent="0.3">
      <c r="A254" t="s">
        <v>21</v>
      </c>
      <c r="B254" t="s">
        <v>36</v>
      </c>
      <c r="C254" s="6" t="s">
        <v>29</v>
      </c>
      <c r="D254" s="6" t="str">
        <f>CONCATENATE(financials[[#This Row],[Segment]],",",financials[[#This Row],[Country]],",",financials[[#This Row],[Product]])</f>
        <v>Midmarket,USA,Velo</v>
      </c>
      <c r="E254" s="6" t="s">
        <v>33</v>
      </c>
      <c r="F254">
        <f t="shared" ca="1" si="6"/>
        <v>615</v>
      </c>
      <c r="G254" s="1">
        <f ca="1">VLOOKUP(financials[[#This Row],[ID]],Prices!D:F,2,FALSE)</f>
        <v>12</v>
      </c>
      <c r="H254" s="1">
        <f ca="1">VLOOKUP(financials[[#This Row],[ID]],Prices!D:F,3,FALSE)</f>
        <v>34</v>
      </c>
      <c r="I254" s="1">
        <f ca="1">financials[[#This Row],[Units Sold]]*financials[[#This Row],[Sale Price]]</f>
        <v>20910</v>
      </c>
      <c r="J2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1045.5</v>
      </c>
      <c r="K254" s="1">
        <f ca="1">financials[[#This Row],[Gross Sales]]-financials[[#This Row],[Discounts]]</f>
        <v>19864.5</v>
      </c>
      <c r="L254" s="1">
        <f ca="1">financials[[#This Row],[Units Sold]]*financials[[#This Row],[Manufacturing Price]]</f>
        <v>7380</v>
      </c>
      <c r="M254" s="1">
        <f ca="1">financials[[#This Row],[Sales]]-financials[[#This Row],[COGS]]</f>
        <v>12484.5</v>
      </c>
      <c r="N254" s="7">
        <f t="shared" ca="1" si="7"/>
        <v>45426</v>
      </c>
      <c r="O254" s="8">
        <f ca="1">MONTH(financials[[#This Row],[Date]])</f>
        <v>5</v>
      </c>
      <c r="P254" s="6" t="str">
        <f ca="1">TEXT(financials[[#This Row],[Date]],"MMM")</f>
        <v>May</v>
      </c>
      <c r="Q254">
        <f ca="1">YEAR(financials[[#This Row],[Date]])</f>
        <v>2024</v>
      </c>
      <c r="S254" s="10"/>
    </row>
    <row r="255" spans="1:19" x14ac:dyDescent="0.3">
      <c r="A255" t="s">
        <v>21</v>
      </c>
      <c r="B255" t="s">
        <v>23</v>
      </c>
      <c r="C255" s="6" t="s">
        <v>29</v>
      </c>
      <c r="D255" s="6" t="str">
        <f>CONCATENATE(financials[[#This Row],[Segment]],",",financials[[#This Row],[Country]],",",financials[[#This Row],[Product]])</f>
        <v>Midmarket,Mexico,Velo</v>
      </c>
      <c r="E255" s="6" t="s">
        <v>33</v>
      </c>
      <c r="F255">
        <f t="shared" ca="1" si="6"/>
        <v>949</v>
      </c>
      <c r="G255" s="1">
        <f ca="1">VLOOKUP(financials[[#This Row],[ID]],Prices!D:F,2,FALSE)</f>
        <v>20</v>
      </c>
      <c r="H255" s="1">
        <f ca="1">VLOOKUP(financials[[#This Row],[ID]],Prices!D:F,3,FALSE)</f>
        <v>35</v>
      </c>
      <c r="I255" s="1">
        <f ca="1">financials[[#This Row],[Units Sold]]*financials[[#This Row],[Sale Price]]</f>
        <v>33215</v>
      </c>
      <c r="J2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1660.75</v>
      </c>
      <c r="K255" s="1">
        <f ca="1">financials[[#This Row],[Gross Sales]]-financials[[#This Row],[Discounts]]</f>
        <v>31554.25</v>
      </c>
      <c r="L255" s="1">
        <f ca="1">financials[[#This Row],[Units Sold]]*financials[[#This Row],[Manufacturing Price]]</f>
        <v>18980</v>
      </c>
      <c r="M255" s="1">
        <f ca="1">financials[[#This Row],[Sales]]-financials[[#This Row],[COGS]]</f>
        <v>12574.25</v>
      </c>
      <c r="N255" s="7">
        <f t="shared" ca="1" si="7"/>
        <v>45322</v>
      </c>
      <c r="O255" s="8">
        <f ca="1">MONTH(financials[[#This Row],[Date]])</f>
        <v>1</v>
      </c>
      <c r="P255" s="6" t="str">
        <f ca="1">TEXT(financials[[#This Row],[Date]],"MMM")</f>
        <v>Jan</v>
      </c>
      <c r="Q255">
        <f ca="1">YEAR(financials[[#This Row],[Date]])</f>
        <v>2024</v>
      </c>
      <c r="S255" s="10"/>
    </row>
    <row r="256" spans="1:19" x14ac:dyDescent="0.3">
      <c r="A256" t="s">
        <v>26</v>
      </c>
      <c r="B256" t="s">
        <v>20</v>
      </c>
      <c r="C256" s="6" t="s">
        <v>29</v>
      </c>
      <c r="D256" s="6" t="str">
        <f>CONCATENATE(financials[[#This Row],[Segment]],",",financials[[#This Row],[Country]],",",financials[[#This Row],[Product]])</f>
        <v>Enterprise,Germany,Velo</v>
      </c>
      <c r="E256" s="6" t="s">
        <v>33</v>
      </c>
      <c r="F256">
        <f t="shared" ca="1" si="6"/>
        <v>584</v>
      </c>
      <c r="G256" s="1">
        <f ca="1">VLOOKUP(financials[[#This Row],[ID]],Prices!D:F,2,FALSE)</f>
        <v>16</v>
      </c>
      <c r="H256" s="1">
        <f ca="1">VLOOKUP(financials[[#This Row],[ID]],Prices!D:F,3,FALSE)</f>
        <v>29</v>
      </c>
      <c r="I256" s="1">
        <f ca="1">financials[[#This Row],[Units Sold]]*financials[[#This Row],[Sale Price]]</f>
        <v>16936</v>
      </c>
      <c r="J2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846.80000000000007</v>
      </c>
      <c r="K256" s="1">
        <f ca="1">financials[[#This Row],[Gross Sales]]-financials[[#This Row],[Discounts]]</f>
        <v>16089.2</v>
      </c>
      <c r="L256" s="1">
        <f ca="1">financials[[#This Row],[Units Sold]]*financials[[#This Row],[Manufacturing Price]]</f>
        <v>9344</v>
      </c>
      <c r="M256" s="1">
        <f ca="1">financials[[#This Row],[Sales]]-financials[[#This Row],[COGS]]</f>
        <v>6745.2000000000007</v>
      </c>
      <c r="N256" s="7">
        <f t="shared" ca="1" si="7"/>
        <v>45084</v>
      </c>
      <c r="O256" s="8">
        <f ca="1">MONTH(financials[[#This Row],[Date]])</f>
        <v>6</v>
      </c>
      <c r="P256" s="6" t="str">
        <f ca="1">TEXT(financials[[#This Row],[Date]],"MMM")</f>
        <v>Jun</v>
      </c>
      <c r="Q256">
        <f ca="1">YEAR(financials[[#This Row],[Date]])</f>
        <v>2023</v>
      </c>
      <c r="S256" s="10"/>
    </row>
    <row r="257" spans="1:19" x14ac:dyDescent="0.3">
      <c r="A257" t="s">
        <v>16</v>
      </c>
      <c r="B257" t="s">
        <v>36</v>
      </c>
      <c r="C257" s="6" t="s">
        <v>29</v>
      </c>
      <c r="D257" s="6" t="str">
        <f>CONCATENATE(financials[[#This Row],[Segment]],",",financials[[#This Row],[Country]],",",financials[[#This Row],[Product]])</f>
        <v>Government,USA,Velo</v>
      </c>
      <c r="E257" s="6" t="s">
        <v>33</v>
      </c>
      <c r="F257">
        <f t="shared" ca="1" si="6"/>
        <v>87</v>
      </c>
      <c r="G257" s="1">
        <f ca="1">VLOOKUP(financials[[#This Row],[ID]],Prices!D:F,2,FALSE)</f>
        <v>18</v>
      </c>
      <c r="H257" s="1">
        <f ca="1">VLOOKUP(financials[[#This Row],[ID]],Prices!D:F,3,FALSE)</f>
        <v>38</v>
      </c>
      <c r="I257" s="1">
        <f ca="1">financials[[#This Row],[Units Sold]]*financials[[#This Row],[Sale Price]]</f>
        <v>3306</v>
      </c>
      <c r="J2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165.3</v>
      </c>
      <c r="K257" s="1">
        <f ca="1">financials[[#This Row],[Gross Sales]]-financials[[#This Row],[Discounts]]</f>
        <v>3140.7</v>
      </c>
      <c r="L257" s="1">
        <f ca="1">financials[[#This Row],[Units Sold]]*financials[[#This Row],[Manufacturing Price]]</f>
        <v>1566</v>
      </c>
      <c r="M257" s="1">
        <f ca="1">financials[[#This Row],[Sales]]-financials[[#This Row],[COGS]]</f>
        <v>1574.6999999999998</v>
      </c>
      <c r="N257" s="7">
        <f t="shared" ca="1" si="7"/>
        <v>45556</v>
      </c>
      <c r="O257" s="8">
        <f ca="1">MONTH(financials[[#This Row],[Date]])</f>
        <v>9</v>
      </c>
      <c r="P257" s="6" t="str">
        <f ca="1">TEXT(financials[[#This Row],[Date]],"MMM")</f>
        <v>Sep</v>
      </c>
      <c r="Q257">
        <f ca="1">YEAR(financials[[#This Row],[Date]])</f>
        <v>2024</v>
      </c>
      <c r="S257" s="10"/>
    </row>
    <row r="258" spans="1:19" x14ac:dyDescent="0.3">
      <c r="A258" t="s">
        <v>16</v>
      </c>
      <c r="B258" t="s">
        <v>36</v>
      </c>
      <c r="C258" s="6" t="s">
        <v>29</v>
      </c>
      <c r="D258" s="6" t="str">
        <f>CONCATENATE(financials[[#This Row],[Segment]],",",financials[[#This Row],[Country]],",",financials[[#This Row],[Product]])</f>
        <v>Government,USA,Velo</v>
      </c>
      <c r="E258" s="6" t="s">
        <v>33</v>
      </c>
      <c r="F258">
        <f t="shared" ca="1" si="6"/>
        <v>461</v>
      </c>
      <c r="G258" s="1">
        <f ca="1">VLOOKUP(financials[[#This Row],[ID]],Prices!D:F,2,FALSE)</f>
        <v>18</v>
      </c>
      <c r="H258" s="1">
        <f ca="1">VLOOKUP(financials[[#This Row],[ID]],Prices!D:F,3,FALSE)</f>
        <v>38</v>
      </c>
      <c r="I258" s="1">
        <f ca="1">financials[[#This Row],[Units Sold]]*financials[[#This Row],[Sale Price]]</f>
        <v>17518</v>
      </c>
      <c r="J2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875.90000000000009</v>
      </c>
      <c r="K258" s="1">
        <f ca="1">financials[[#This Row],[Gross Sales]]-financials[[#This Row],[Discounts]]</f>
        <v>16642.099999999999</v>
      </c>
      <c r="L258" s="1">
        <f ca="1">financials[[#This Row],[Units Sold]]*financials[[#This Row],[Manufacturing Price]]</f>
        <v>8298</v>
      </c>
      <c r="M258" s="1">
        <f ca="1">financials[[#This Row],[Sales]]-financials[[#This Row],[COGS]]</f>
        <v>8344.0999999999985</v>
      </c>
      <c r="N258" s="7">
        <f t="shared" ca="1" si="7"/>
        <v>45519</v>
      </c>
      <c r="O258" s="8">
        <f ca="1">MONTH(financials[[#This Row],[Date]])</f>
        <v>8</v>
      </c>
      <c r="P258" s="6" t="str">
        <f ca="1">TEXT(financials[[#This Row],[Date]],"MMM")</f>
        <v>Aug</v>
      </c>
      <c r="Q258">
        <f ca="1">YEAR(financials[[#This Row],[Date]])</f>
        <v>2024</v>
      </c>
      <c r="S258" s="10"/>
    </row>
    <row r="259" spans="1:19" x14ac:dyDescent="0.3">
      <c r="A259" t="s">
        <v>16</v>
      </c>
      <c r="B259" t="s">
        <v>22</v>
      </c>
      <c r="C259" s="6" t="s">
        <v>29</v>
      </c>
      <c r="D259" s="6" t="str">
        <f>CONCATENATE(financials[[#This Row],[Segment]],",",financials[[#This Row],[Country]],",",financials[[#This Row],[Product]])</f>
        <v>Government,France,Velo</v>
      </c>
      <c r="E259" s="6" t="s">
        <v>33</v>
      </c>
      <c r="F259">
        <f t="shared" ref="F259:F322" ca="1" si="8">RANDBETWEEN(10,1000)</f>
        <v>234</v>
      </c>
      <c r="G259" s="1">
        <f ca="1">VLOOKUP(financials[[#This Row],[ID]],Prices!D:F,2,FALSE)</f>
        <v>20</v>
      </c>
      <c r="H259" s="1">
        <f ca="1">VLOOKUP(financials[[#This Row],[ID]],Prices!D:F,3,FALSE)</f>
        <v>36</v>
      </c>
      <c r="I259" s="1">
        <f ca="1">financials[[#This Row],[Units Sold]]*financials[[#This Row],[Sale Price]]</f>
        <v>8424</v>
      </c>
      <c r="J2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421.20000000000005</v>
      </c>
      <c r="K259" s="1">
        <f ca="1">financials[[#This Row],[Gross Sales]]-financials[[#This Row],[Discounts]]</f>
        <v>8002.8</v>
      </c>
      <c r="L259" s="1">
        <f ca="1">financials[[#This Row],[Units Sold]]*financials[[#This Row],[Manufacturing Price]]</f>
        <v>4680</v>
      </c>
      <c r="M259" s="1">
        <f ca="1">financials[[#This Row],[Sales]]-financials[[#This Row],[COGS]]</f>
        <v>3322.8</v>
      </c>
      <c r="N259" s="7">
        <f t="shared" ref="N259:N322" ca="1" si="9">TODAY()-RANDBETWEEN(1,732)</f>
        <v>45247</v>
      </c>
      <c r="O259" s="8">
        <f ca="1">MONTH(financials[[#This Row],[Date]])</f>
        <v>11</v>
      </c>
      <c r="P259" s="6" t="str">
        <f ca="1">TEXT(financials[[#This Row],[Date]],"MMM")</f>
        <v>Nov</v>
      </c>
      <c r="Q259">
        <f ca="1">YEAR(financials[[#This Row],[Date]])</f>
        <v>2023</v>
      </c>
      <c r="S259" s="10"/>
    </row>
    <row r="260" spans="1:19" x14ac:dyDescent="0.3">
      <c r="A260" t="s">
        <v>26</v>
      </c>
      <c r="B260" t="s">
        <v>36</v>
      </c>
      <c r="C260" s="6" t="s">
        <v>29</v>
      </c>
      <c r="D260" s="6" t="str">
        <f>CONCATENATE(financials[[#This Row],[Segment]],",",financials[[#This Row],[Country]],",",financials[[#This Row],[Product]])</f>
        <v>Enterprise,USA,Velo</v>
      </c>
      <c r="E260" s="6" t="s">
        <v>33</v>
      </c>
      <c r="F260">
        <f t="shared" ca="1" si="8"/>
        <v>859</v>
      </c>
      <c r="G260" s="1">
        <f ca="1">VLOOKUP(financials[[#This Row],[ID]],Prices!D:F,2,FALSE)</f>
        <v>20</v>
      </c>
      <c r="H260" s="1">
        <f ca="1">VLOOKUP(financials[[#This Row],[ID]],Prices!D:F,3,FALSE)</f>
        <v>24</v>
      </c>
      <c r="I260" s="1">
        <f ca="1">financials[[#This Row],[Units Sold]]*financials[[#This Row],[Sale Price]]</f>
        <v>20616</v>
      </c>
      <c r="J2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1030.8</v>
      </c>
      <c r="K260" s="1">
        <f ca="1">financials[[#This Row],[Gross Sales]]-financials[[#This Row],[Discounts]]</f>
        <v>19585.2</v>
      </c>
      <c r="L260" s="1">
        <f ca="1">financials[[#This Row],[Units Sold]]*financials[[#This Row],[Manufacturing Price]]</f>
        <v>17180</v>
      </c>
      <c r="M260" s="1">
        <f ca="1">financials[[#This Row],[Sales]]-financials[[#This Row],[COGS]]</f>
        <v>2405.2000000000007</v>
      </c>
      <c r="N260" s="7">
        <f t="shared" ca="1" si="9"/>
        <v>45599</v>
      </c>
      <c r="O260" s="8">
        <f ca="1">MONTH(financials[[#This Row],[Date]])</f>
        <v>11</v>
      </c>
      <c r="P260" s="6" t="str">
        <f ca="1">TEXT(financials[[#This Row],[Date]],"MMM")</f>
        <v>Nov</v>
      </c>
      <c r="Q260">
        <f ca="1">YEAR(financials[[#This Row],[Date]])</f>
        <v>2024</v>
      </c>
      <c r="S260" s="10"/>
    </row>
    <row r="261" spans="1:19" x14ac:dyDescent="0.3">
      <c r="A261" t="s">
        <v>26</v>
      </c>
      <c r="B261" t="s">
        <v>22</v>
      </c>
      <c r="C261" s="6" t="s">
        <v>29</v>
      </c>
      <c r="D261" s="6" t="str">
        <f>CONCATENATE(financials[[#This Row],[Segment]],",",financials[[#This Row],[Country]],",",financials[[#This Row],[Product]])</f>
        <v>Enterprise,France,Velo</v>
      </c>
      <c r="E261" s="6" t="s">
        <v>33</v>
      </c>
      <c r="F261">
        <f t="shared" ca="1" si="8"/>
        <v>58</v>
      </c>
      <c r="G261" s="1">
        <f ca="1">VLOOKUP(financials[[#This Row],[ID]],Prices!D:F,2,FALSE)</f>
        <v>20</v>
      </c>
      <c r="H261" s="1">
        <f ca="1">VLOOKUP(financials[[#This Row],[ID]],Prices!D:F,3,FALSE)</f>
        <v>27</v>
      </c>
      <c r="I261" s="1">
        <f ca="1">financials[[#This Row],[Units Sold]]*financials[[#This Row],[Sale Price]]</f>
        <v>1566</v>
      </c>
      <c r="J2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78.300000000000011</v>
      </c>
      <c r="K261" s="1">
        <f ca="1">financials[[#This Row],[Gross Sales]]-financials[[#This Row],[Discounts]]</f>
        <v>1487.7</v>
      </c>
      <c r="L261" s="1">
        <f ca="1">financials[[#This Row],[Units Sold]]*financials[[#This Row],[Manufacturing Price]]</f>
        <v>1160</v>
      </c>
      <c r="M261" s="1">
        <f ca="1">financials[[#This Row],[Sales]]-financials[[#This Row],[COGS]]</f>
        <v>327.70000000000005</v>
      </c>
      <c r="N261" s="7">
        <f t="shared" ca="1" si="9"/>
        <v>45318</v>
      </c>
      <c r="O261" s="8">
        <f ca="1">MONTH(financials[[#This Row],[Date]])</f>
        <v>1</v>
      </c>
      <c r="P261" s="6" t="str">
        <f ca="1">TEXT(financials[[#This Row],[Date]],"MMM")</f>
        <v>Jan</v>
      </c>
      <c r="Q261">
        <f ca="1">YEAR(financials[[#This Row],[Date]])</f>
        <v>2024</v>
      </c>
      <c r="S261" s="10"/>
    </row>
    <row r="262" spans="1:19" x14ac:dyDescent="0.3">
      <c r="A262" t="s">
        <v>16</v>
      </c>
      <c r="B262" t="s">
        <v>22</v>
      </c>
      <c r="C262" s="6" t="s">
        <v>29</v>
      </c>
      <c r="D262" s="6" t="str">
        <f>CONCATENATE(financials[[#This Row],[Segment]],",",financials[[#This Row],[Country]],",",financials[[#This Row],[Product]])</f>
        <v>Government,France,Velo</v>
      </c>
      <c r="E262" s="6" t="s">
        <v>33</v>
      </c>
      <c r="F262">
        <f t="shared" ca="1" si="8"/>
        <v>921</v>
      </c>
      <c r="G262" s="1">
        <f ca="1">VLOOKUP(financials[[#This Row],[ID]],Prices!D:F,2,FALSE)</f>
        <v>20</v>
      </c>
      <c r="H262" s="1">
        <f ca="1">VLOOKUP(financials[[#This Row],[ID]],Prices!D:F,3,FALSE)</f>
        <v>36</v>
      </c>
      <c r="I262" s="1">
        <f ca="1">financials[[#This Row],[Units Sold]]*financials[[#This Row],[Sale Price]]</f>
        <v>33156</v>
      </c>
      <c r="J2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1657.8000000000002</v>
      </c>
      <c r="K262" s="1">
        <f ca="1">financials[[#This Row],[Gross Sales]]-financials[[#This Row],[Discounts]]</f>
        <v>31498.2</v>
      </c>
      <c r="L262" s="1">
        <f ca="1">financials[[#This Row],[Units Sold]]*financials[[#This Row],[Manufacturing Price]]</f>
        <v>18420</v>
      </c>
      <c r="M262" s="1">
        <f ca="1">financials[[#This Row],[Sales]]-financials[[#This Row],[COGS]]</f>
        <v>13078.2</v>
      </c>
      <c r="N262" s="7">
        <f t="shared" ca="1" si="9"/>
        <v>45076</v>
      </c>
      <c r="O262" s="8">
        <f ca="1">MONTH(financials[[#This Row],[Date]])</f>
        <v>5</v>
      </c>
      <c r="P262" s="6" t="str">
        <f ca="1">TEXT(financials[[#This Row],[Date]],"MMM")</f>
        <v>May</v>
      </c>
      <c r="Q262">
        <f ca="1">YEAR(financials[[#This Row],[Date]])</f>
        <v>2023</v>
      </c>
      <c r="S262" s="10"/>
    </row>
    <row r="263" spans="1:19" x14ac:dyDescent="0.3">
      <c r="A263" t="s">
        <v>27</v>
      </c>
      <c r="B263" t="s">
        <v>20</v>
      </c>
      <c r="C263" s="6" t="s">
        <v>29</v>
      </c>
      <c r="D263" s="6" t="str">
        <f>CONCATENATE(financials[[#This Row],[Segment]],",",financials[[#This Row],[Country]],",",financials[[#This Row],[Product]])</f>
        <v>Small Business,Germany,Velo</v>
      </c>
      <c r="E263" s="6" t="s">
        <v>33</v>
      </c>
      <c r="F263">
        <f t="shared" ca="1" si="8"/>
        <v>910</v>
      </c>
      <c r="G263" s="1">
        <f ca="1">VLOOKUP(financials[[#This Row],[ID]],Prices!D:F,2,FALSE)</f>
        <v>15</v>
      </c>
      <c r="H263" s="1">
        <f ca="1">VLOOKUP(financials[[#This Row],[ID]],Prices!D:F,3,FALSE)</f>
        <v>30</v>
      </c>
      <c r="I263" s="1">
        <f ca="1">financials[[#This Row],[Units Sold]]*financials[[#This Row],[Sale Price]]</f>
        <v>27300</v>
      </c>
      <c r="J2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1365</v>
      </c>
      <c r="K263" s="1">
        <f ca="1">financials[[#This Row],[Gross Sales]]-financials[[#This Row],[Discounts]]</f>
        <v>25935</v>
      </c>
      <c r="L263" s="1">
        <f ca="1">financials[[#This Row],[Units Sold]]*financials[[#This Row],[Manufacturing Price]]</f>
        <v>13650</v>
      </c>
      <c r="M263" s="1">
        <f ca="1">financials[[#This Row],[Sales]]-financials[[#This Row],[COGS]]</f>
        <v>12285</v>
      </c>
      <c r="N263" s="7">
        <f t="shared" ca="1" si="9"/>
        <v>45294</v>
      </c>
      <c r="O263" s="8">
        <f ca="1">MONTH(financials[[#This Row],[Date]])</f>
        <v>1</v>
      </c>
      <c r="P263" s="6" t="str">
        <f ca="1">TEXT(financials[[#This Row],[Date]],"MMM")</f>
        <v>Jan</v>
      </c>
      <c r="Q263">
        <f ca="1">YEAR(financials[[#This Row],[Date]])</f>
        <v>2024</v>
      </c>
      <c r="S263" s="10"/>
    </row>
    <row r="264" spans="1:19" x14ac:dyDescent="0.3">
      <c r="A264" t="s">
        <v>16</v>
      </c>
      <c r="B264" t="s">
        <v>17</v>
      </c>
      <c r="C264" s="6" t="s">
        <v>30</v>
      </c>
      <c r="D264" s="6" t="str">
        <f>CONCATENATE(financials[[#This Row],[Segment]],",",financials[[#This Row],[Country]],",",financials[[#This Row],[Product]])</f>
        <v>Government,Canada,VTT</v>
      </c>
      <c r="E264" s="6" t="s">
        <v>33</v>
      </c>
      <c r="F264">
        <f t="shared" ca="1" si="8"/>
        <v>169</v>
      </c>
      <c r="G264" s="1">
        <f ca="1">VLOOKUP(financials[[#This Row],[ID]],Prices!D:F,2,FALSE)</f>
        <v>17</v>
      </c>
      <c r="H264" s="1">
        <f ca="1">VLOOKUP(financials[[#This Row],[ID]],Prices!D:F,3,FALSE)</f>
        <v>38</v>
      </c>
      <c r="I264" s="1">
        <f ca="1">financials[[#This Row],[Units Sold]]*financials[[#This Row],[Sale Price]]</f>
        <v>6422</v>
      </c>
      <c r="J2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321.10000000000002</v>
      </c>
      <c r="K264" s="1">
        <f ca="1">financials[[#This Row],[Gross Sales]]-financials[[#This Row],[Discounts]]</f>
        <v>6100.9</v>
      </c>
      <c r="L264" s="1">
        <f ca="1">financials[[#This Row],[Units Sold]]*financials[[#This Row],[Manufacturing Price]]</f>
        <v>2873</v>
      </c>
      <c r="M264" s="1">
        <f ca="1">financials[[#This Row],[Sales]]-financials[[#This Row],[COGS]]</f>
        <v>3227.8999999999996</v>
      </c>
      <c r="N264" s="7">
        <f t="shared" ca="1" si="9"/>
        <v>45132</v>
      </c>
      <c r="O264" s="8">
        <f ca="1">MONTH(financials[[#This Row],[Date]])</f>
        <v>7</v>
      </c>
      <c r="P264" s="6" t="str">
        <f ca="1">TEXT(financials[[#This Row],[Date]],"MMM")</f>
        <v>Jul</v>
      </c>
      <c r="Q264">
        <f ca="1">YEAR(financials[[#This Row],[Date]])</f>
        <v>2023</v>
      </c>
      <c r="S264" s="10"/>
    </row>
    <row r="265" spans="1:19" x14ac:dyDescent="0.3">
      <c r="A265" t="s">
        <v>16</v>
      </c>
      <c r="B265" t="s">
        <v>36</v>
      </c>
      <c r="C265" s="6" t="s">
        <v>30</v>
      </c>
      <c r="D265" s="6" t="str">
        <f>CONCATENATE(financials[[#This Row],[Segment]],",",financials[[#This Row],[Country]],",",financials[[#This Row],[Product]])</f>
        <v>Government,USA,VTT</v>
      </c>
      <c r="E265" s="6" t="s">
        <v>33</v>
      </c>
      <c r="F265">
        <f t="shared" ca="1" si="8"/>
        <v>82</v>
      </c>
      <c r="G265" s="1">
        <f ca="1">VLOOKUP(financials[[#This Row],[ID]],Prices!D:F,2,FALSE)</f>
        <v>13</v>
      </c>
      <c r="H265" s="1">
        <f ca="1">VLOOKUP(financials[[#This Row],[ID]],Prices!D:F,3,FALSE)</f>
        <v>31</v>
      </c>
      <c r="I265" s="1">
        <f ca="1">financials[[#This Row],[Units Sold]]*financials[[#This Row],[Sale Price]]</f>
        <v>2542</v>
      </c>
      <c r="J2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127.10000000000001</v>
      </c>
      <c r="K265" s="1">
        <f ca="1">financials[[#This Row],[Gross Sales]]-financials[[#This Row],[Discounts]]</f>
        <v>2414.9</v>
      </c>
      <c r="L265" s="1">
        <f ca="1">financials[[#This Row],[Units Sold]]*financials[[#This Row],[Manufacturing Price]]</f>
        <v>1066</v>
      </c>
      <c r="M265" s="1">
        <f ca="1">financials[[#This Row],[Sales]]-financials[[#This Row],[COGS]]</f>
        <v>1348.9</v>
      </c>
      <c r="N265" s="7">
        <f t="shared" ca="1" si="9"/>
        <v>45723</v>
      </c>
      <c r="O265" s="8">
        <f ca="1">MONTH(financials[[#This Row],[Date]])</f>
        <v>3</v>
      </c>
      <c r="P265" s="6" t="str">
        <f ca="1">TEXT(financials[[#This Row],[Date]],"MMM")</f>
        <v>Mar</v>
      </c>
      <c r="Q265">
        <f ca="1">YEAR(financials[[#This Row],[Date]])</f>
        <v>2025</v>
      </c>
      <c r="S265" s="10"/>
    </row>
    <row r="266" spans="1:19" x14ac:dyDescent="0.3">
      <c r="A266" t="s">
        <v>16</v>
      </c>
      <c r="B266" t="s">
        <v>20</v>
      </c>
      <c r="C266" s="6" t="s">
        <v>30</v>
      </c>
      <c r="D266" s="6" t="str">
        <f>CONCATENATE(financials[[#This Row],[Segment]],",",financials[[#This Row],[Country]],",",financials[[#This Row],[Product]])</f>
        <v>Government,Germany,VTT</v>
      </c>
      <c r="E266" s="6" t="s">
        <v>33</v>
      </c>
      <c r="F266">
        <f t="shared" ca="1" si="8"/>
        <v>483</v>
      </c>
      <c r="G266" s="1">
        <f ca="1">VLOOKUP(financials[[#This Row],[ID]],Prices!D:F,2,FALSE)</f>
        <v>16</v>
      </c>
      <c r="H266" s="1">
        <f ca="1">VLOOKUP(financials[[#This Row],[ID]],Prices!D:F,3,FALSE)</f>
        <v>20</v>
      </c>
      <c r="I266" s="1">
        <f ca="1">financials[[#This Row],[Units Sold]]*financials[[#This Row],[Sale Price]]</f>
        <v>9660</v>
      </c>
      <c r="J2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483</v>
      </c>
      <c r="K266" s="1">
        <f ca="1">financials[[#This Row],[Gross Sales]]-financials[[#This Row],[Discounts]]</f>
        <v>9177</v>
      </c>
      <c r="L266" s="1">
        <f ca="1">financials[[#This Row],[Units Sold]]*financials[[#This Row],[Manufacturing Price]]</f>
        <v>7728</v>
      </c>
      <c r="M266" s="1">
        <f ca="1">financials[[#This Row],[Sales]]-financials[[#This Row],[COGS]]</f>
        <v>1449</v>
      </c>
      <c r="N266" s="7">
        <f t="shared" ca="1" si="9"/>
        <v>45626</v>
      </c>
      <c r="O266" s="8">
        <f ca="1">MONTH(financials[[#This Row],[Date]])</f>
        <v>11</v>
      </c>
      <c r="P266" s="6" t="str">
        <f ca="1">TEXT(financials[[#This Row],[Date]],"MMM")</f>
        <v>Nov</v>
      </c>
      <c r="Q266">
        <f ca="1">YEAR(financials[[#This Row],[Date]])</f>
        <v>2024</v>
      </c>
      <c r="S266" s="10"/>
    </row>
    <row r="267" spans="1:19" x14ac:dyDescent="0.3">
      <c r="A267" t="s">
        <v>16</v>
      </c>
      <c r="B267" t="s">
        <v>36</v>
      </c>
      <c r="C267" s="6" t="s">
        <v>30</v>
      </c>
      <c r="D267" s="6" t="str">
        <f>CONCATENATE(financials[[#This Row],[Segment]],",",financials[[#This Row],[Country]],",",financials[[#This Row],[Product]])</f>
        <v>Government,USA,VTT</v>
      </c>
      <c r="E267" s="6" t="s">
        <v>33</v>
      </c>
      <c r="F267">
        <f t="shared" ca="1" si="8"/>
        <v>709</v>
      </c>
      <c r="G267" s="1">
        <f ca="1">VLOOKUP(financials[[#This Row],[ID]],Prices!D:F,2,FALSE)</f>
        <v>13</v>
      </c>
      <c r="H267" s="1">
        <f ca="1">VLOOKUP(financials[[#This Row],[ID]],Prices!D:F,3,FALSE)</f>
        <v>31</v>
      </c>
      <c r="I267" s="1">
        <f ca="1">financials[[#This Row],[Units Sold]]*financials[[#This Row],[Sale Price]]</f>
        <v>21979</v>
      </c>
      <c r="J2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1098.95</v>
      </c>
      <c r="K267" s="1">
        <f ca="1">financials[[#This Row],[Gross Sales]]-financials[[#This Row],[Discounts]]</f>
        <v>20880.05</v>
      </c>
      <c r="L267" s="1">
        <f ca="1">financials[[#This Row],[Units Sold]]*financials[[#This Row],[Manufacturing Price]]</f>
        <v>9217</v>
      </c>
      <c r="M267" s="1">
        <f ca="1">financials[[#This Row],[Sales]]-financials[[#This Row],[COGS]]</f>
        <v>11663.05</v>
      </c>
      <c r="N267" s="7">
        <f t="shared" ca="1" si="9"/>
        <v>45234</v>
      </c>
      <c r="O267" s="8">
        <f ca="1">MONTH(financials[[#This Row],[Date]])</f>
        <v>11</v>
      </c>
      <c r="P267" s="6" t="str">
        <f ca="1">TEXT(financials[[#This Row],[Date]],"MMM")</f>
        <v>Nov</v>
      </c>
      <c r="Q267">
        <f ca="1">YEAR(financials[[#This Row],[Date]])</f>
        <v>2023</v>
      </c>
      <c r="S267" s="10"/>
    </row>
    <row r="268" spans="1:19" x14ac:dyDescent="0.3">
      <c r="A268" t="s">
        <v>16</v>
      </c>
      <c r="B268" t="s">
        <v>36</v>
      </c>
      <c r="C268" s="6" t="s">
        <v>30</v>
      </c>
      <c r="D268" s="6" t="str">
        <f>CONCATENATE(financials[[#This Row],[Segment]],",",financials[[#This Row],[Country]],",",financials[[#This Row],[Product]])</f>
        <v>Government,USA,VTT</v>
      </c>
      <c r="E268" s="6" t="s">
        <v>33</v>
      </c>
      <c r="F268">
        <f t="shared" ca="1" si="8"/>
        <v>397</v>
      </c>
      <c r="G268" s="1">
        <f ca="1">VLOOKUP(financials[[#This Row],[ID]],Prices!D:F,2,FALSE)</f>
        <v>13</v>
      </c>
      <c r="H268" s="1">
        <f ca="1">VLOOKUP(financials[[#This Row],[ID]],Prices!D:F,3,FALSE)</f>
        <v>31</v>
      </c>
      <c r="I268" s="1">
        <f ca="1">financials[[#This Row],[Units Sold]]*financials[[#This Row],[Sale Price]]</f>
        <v>12307</v>
      </c>
      <c r="J2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615.35</v>
      </c>
      <c r="K268" s="1">
        <f ca="1">financials[[#This Row],[Gross Sales]]-financials[[#This Row],[Discounts]]</f>
        <v>11691.65</v>
      </c>
      <c r="L268" s="1">
        <f ca="1">financials[[#This Row],[Units Sold]]*financials[[#This Row],[Manufacturing Price]]</f>
        <v>5161</v>
      </c>
      <c r="M268" s="1">
        <f ca="1">financials[[#This Row],[Sales]]-financials[[#This Row],[COGS]]</f>
        <v>6530.65</v>
      </c>
      <c r="N268" s="7">
        <f t="shared" ca="1" si="9"/>
        <v>45635</v>
      </c>
      <c r="O268" s="8">
        <f ca="1">MONTH(financials[[#This Row],[Date]])</f>
        <v>12</v>
      </c>
      <c r="P268" s="6" t="str">
        <f ca="1">TEXT(financials[[#This Row],[Date]],"MMM")</f>
        <v>Dec</v>
      </c>
      <c r="Q268">
        <f ca="1">YEAR(financials[[#This Row],[Date]])</f>
        <v>2024</v>
      </c>
      <c r="S268" s="10"/>
    </row>
    <row r="269" spans="1:19" x14ac:dyDescent="0.3">
      <c r="A269" t="s">
        <v>16</v>
      </c>
      <c r="B269" t="s">
        <v>22</v>
      </c>
      <c r="C269" s="6" t="s">
        <v>30</v>
      </c>
      <c r="D269" s="6" t="str">
        <f>CONCATENATE(financials[[#This Row],[Segment]],",",financials[[#This Row],[Country]],",",financials[[#This Row],[Product]])</f>
        <v>Government,France,VTT</v>
      </c>
      <c r="E269" s="6" t="s">
        <v>33</v>
      </c>
      <c r="F269">
        <f t="shared" ca="1" si="8"/>
        <v>54</v>
      </c>
      <c r="G269" s="1">
        <f ca="1">VLOOKUP(financials[[#This Row],[ID]],Prices!D:F,2,FALSE)</f>
        <v>18</v>
      </c>
      <c r="H269" s="1">
        <f ca="1">VLOOKUP(financials[[#This Row],[ID]],Prices!D:F,3,FALSE)</f>
        <v>32</v>
      </c>
      <c r="I269" s="1">
        <f ca="1">financials[[#This Row],[Units Sold]]*financials[[#This Row],[Sale Price]]</f>
        <v>1728</v>
      </c>
      <c r="J2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86.4</v>
      </c>
      <c r="K269" s="1">
        <f ca="1">financials[[#This Row],[Gross Sales]]-financials[[#This Row],[Discounts]]</f>
        <v>1641.6</v>
      </c>
      <c r="L269" s="1">
        <f ca="1">financials[[#This Row],[Units Sold]]*financials[[#This Row],[Manufacturing Price]]</f>
        <v>972</v>
      </c>
      <c r="M269" s="1">
        <f ca="1">financials[[#This Row],[Sales]]-financials[[#This Row],[COGS]]</f>
        <v>669.59999999999991</v>
      </c>
      <c r="N269" s="7">
        <f t="shared" ca="1" si="9"/>
        <v>45131</v>
      </c>
      <c r="O269" s="8">
        <f ca="1">MONTH(financials[[#This Row],[Date]])</f>
        <v>7</v>
      </c>
      <c r="P269" s="6" t="str">
        <f ca="1">TEXT(financials[[#This Row],[Date]],"MMM")</f>
        <v>Jul</v>
      </c>
      <c r="Q269">
        <f ca="1">YEAR(financials[[#This Row],[Date]])</f>
        <v>2023</v>
      </c>
      <c r="S269" s="10"/>
    </row>
    <row r="270" spans="1:19" x14ac:dyDescent="0.3">
      <c r="A270" t="s">
        <v>16</v>
      </c>
      <c r="B270" t="s">
        <v>20</v>
      </c>
      <c r="C270" s="6" t="s">
        <v>31</v>
      </c>
      <c r="D270" s="6" t="str">
        <f>CONCATENATE(financials[[#This Row],[Segment]],",",financials[[#This Row],[Country]],",",financials[[#This Row],[Product]])</f>
        <v>Government,Germany,Amarilla</v>
      </c>
      <c r="E270" s="6" t="s">
        <v>33</v>
      </c>
      <c r="F270">
        <f t="shared" ca="1" si="8"/>
        <v>702</v>
      </c>
      <c r="G270" s="1">
        <f ca="1">VLOOKUP(financials[[#This Row],[ID]],Prices!D:F,2,FALSE)</f>
        <v>10</v>
      </c>
      <c r="H270" s="1">
        <f ca="1">VLOOKUP(financials[[#This Row],[ID]],Prices!D:F,3,FALSE)</f>
        <v>20</v>
      </c>
      <c r="I270" s="1">
        <f ca="1">financials[[#This Row],[Units Sold]]*financials[[#This Row],[Sale Price]]</f>
        <v>14040</v>
      </c>
      <c r="J2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702</v>
      </c>
      <c r="K270" s="1">
        <f ca="1">financials[[#This Row],[Gross Sales]]-financials[[#This Row],[Discounts]]</f>
        <v>13338</v>
      </c>
      <c r="L270" s="1">
        <f ca="1">financials[[#This Row],[Units Sold]]*financials[[#This Row],[Manufacturing Price]]</f>
        <v>7020</v>
      </c>
      <c r="M270" s="1">
        <f ca="1">financials[[#This Row],[Sales]]-financials[[#This Row],[COGS]]</f>
        <v>6318</v>
      </c>
      <c r="N270" s="7">
        <f t="shared" ca="1" si="9"/>
        <v>45205</v>
      </c>
      <c r="O270" s="8">
        <f ca="1">MONTH(financials[[#This Row],[Date]])</f>
        <v>10</v>
      </c>
      <c r="P270" s="6" t="str">
        <f ca="1">TEXT(financials[[#This Row],[Date]],"MMM")</f>
        <v>Oct</v>
      </c>
      <c r="Q270">
        <f ca="1">YEAR(financials[[#This Row],[Date]])</f>
        <v>2023</v>
      </c>
      <c r="S270" s="10"/>
    </row>
    <row r="271" spans="1:19" x14ac:dyDescent="0.3">
      <c r="A271" t="s">
        <v>16</v>
      </c>
      <c r="B271" t="s">
        <v>17</v>
      </c>
      <c r="C271" s="6" t="s">
        <v>31</v>
      </c>
      <c r="D271" s="6" t="str">
        <f>CONCATENATE(financials[[#This Row],[Segment]],",",financials[[#This Row],[Country]],",",financials[[#This Row],[Product]])</f>
        <v>Government,Canada,Amarilla</v>
      </c>
      <c r="E271" s="6" t="s">
        <v>33</v>
      </c>
      <c r="F271">
        <f t="shared" ca="1" si="8"/>
        <v>776</v>
      </c>
      <c r="G271" s="1">
        <f ca="1">VLOOKUP(financials[[#This Row],[ID]],Prices!D:F,2,FALSE)</f>
        <v>11</v>
      </c>
      <c r="H271" s="1">
        <f ca="1">VLOOKUP(financials[[#This Row],[ID]],Prices!D:F,3,FALSE)</f>
        <v>29</v>
      </c>
      <c r="I271" s="1">
        <f ca="1">financials[[#This Row],[Units Sold]]*financials[[#This Row],[Sale Price]]</f>
        <v>22504</v>
      </c>
      <c r="J2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1125.2</v>
      </c>
      <c r="K271" s="1">
        <f ca="1">financials[[#This Row],[Gross Sales]]-financials[[#This Row],[Discounts]]</f>
        <v>21378.799999999999</v>
      </c>
      <c r="L271" s="1">
        <f ca="1">financials[[#This Row],[Units Sold]]*financials[[#This Row],[Manufacturing Price]]</f>
        <v>8536</v>
      </c>
      <c r="M271" s="1">
        <f ca="1">financials[[#This Row],[Sales]]-financials[[#This Row],[COGS]]</f>
        <v>12842.8</v>
      </c>
      <c r="N271" s="7">
        <f t="shared" ca="1" si="9"/>
        <v>45258</v>
      </c>
      <c r="O271" s="8">
        <f ca="1">MONTH(financials[[#This Row],[Date]])</f>
        <v>11</v>
      </c>
      <c r="P271" s="6" t="str">
        <f ca="1">TEXT(financials[[#This Row],[Date]],"MMM")</f>
        <v>Nov</v>
      </c>
      <c r="Q271">
        <f ca="1">YEAR(financials[[#This Row],[Date]])</f>
        <v>2023</v>
      </c>
      <c r="S271" s="10"/>
    </row>
    <row r="272" spans="1:19" x14ac:dyDescent="0.3">
      <c r="A272" t="s">
        <v>16</v>
      </c>
      <c r="B272" t="s">
        <v>17</v>
      </c>
      <c r="C272" s="6" t="s">
        <v>31</v>
      </c>
      <c r="D272" s="6" t="str">
        <f>CONCATENATE(financials[[#This Row],[Segment]],",",financials[[#This Row],[Country]],",",financials[[#This Row],[Product]])</f>
        <v>Government,Canada,Amarilla</v>
      </c>
      <c r="E272" s="6" t="s">
        <v>33</v>
      </c>
      <c r="F272">
        <f t="shared" ca="1" si="8"/>
        <v>957</v>
      </c>
      <c r="G272" s="1">
        <f ca="1">VLOOKUP(financials[[#This Row],[ID]],Prices!D:F,2,FALSE)</f>
        <v>11</v>
      </c>
      <c r="H272" s="1">
        <f ca="1">VLOOKUP(financials[[#This Row],[ID]],Prices!D:F,3,FALSE)</f>
        <v>29</v>
      </c>
      <c r="I272" s="1">
        <f ca="1">financials[[#This Row],[Units Sold]]*financials[[#This Row],[Sale Price]]</f>
        <v>27753</v>
      </c>
      <c r="J2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1387.65</v>
      </c>
      <c r="K272" s="1">
        <f ca="1">financials[[#This Row],[Gross Sales]]-financials[[#This Row],[Discounts]]</f>
        <v>26365.35</v>
      </c>
      <c r="L272" s="1">
        <f ca="1">financials[[#This Row],[Units Sold]]*financials[[#This Row],[Manufacturing Price]]</f>
        <v>10527</v>
      </c>
      <c r="M272" s="1">
        <f ca="1">financials[[#This Row],[Sales]]-financials[[#This Row],[COGS]]</f>
        <v>15838.349999999999</v>
      </c>
      <c r="N272" s="7">
        <f t="shared" ca="1" si="9"/>
        <v>45299</v>
      </c>
      <c r="O272" s="8">
        <f ca="1">MONTH(financials[[#This Row],[Date]])</f>
        <v>1</v>
      </c>
      <c r="P272" s="6" t="str">
        <f ca="1">TEXT(financials[[#This Row],[Date]],"MMM")</f>
        <v>Jan</v>
      </c>
      <c r="Q272">
        <f ca="1">YEAR(financials[[#This Row],[Date]])</f>
        <v>2024</v>
      </c>
      <c r="S272" s="10"/>
    </row>
    <row r="273" spans="1:19" x14ac:dyDescent="0.3">
      <c r="A273" t="s">
        <v>27</v>
      </c>
      <c r="B273" t="s">
        <v>20</v>
      </c>
      <c r="C273" s="6" t="s">
        <v>31</v>
      </c>
      <c r="D273" s="6" t="str">
        <f>CONCATENATE(financials[[#This Row],[Segment]],",",financials[[#This Row],[Country]],",",financials[[#This Row],[Product]])</f>
        <v>Small Business,Germany,Amarilla</v>
      </c>
      <c r="E273" s="6" t="s">
        <v>33</v>
      </c>
      <c r="F273">
        <f t="shared" ca="1" si="8"/>
        <v>935</v>
      </c>
      <c r="G273" s="1">
        <f ca="1">VLOOKUP(financials[[#This Row],[ID]],Prices!D:F,2,FALSE)</f>
        <v>14</v>
      </c>
      <c r="H273" s="1">
        <f ca="1">VLOOKUP(financials[[#This Row],[ID]],Prices!D:F,3,FALSE)</f>
        <v>35</v>
      </c>
      <c r="I273" s="1">
        <f ca="1">financials[[#This Row],[Units Sold]]*financials[[#This Row],[Sale Price]]</f>
        <v>32725</v>
      </c>
      <c r="J2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1636.25</v>
      </c>
      <c r="K273" s="1">
        <f ca="1">financials[[#This Row],[Gross Sales]]-financials[[#This Row],[Discounts]]</f>
        <v>31088.75</v>
      </c>
      <c r="L273" s="1">
        <f ca="1">financials[[#This Row],[Units Sold]]*financials[[#This Row],[Manufacturing Price]]</f>
        <v>13090</v>
      </c>
      <c r="M273" s="1">
        <f ca="1">financials[[#This Row],[Sales]]-financials[[#This Row],[COGS]]</f>
        <v>17998.75</v>
      </c>
      <c r="N273" s="7">
        <f t="shared" ca="1" si="9"/>
        <v>45683</v>
      </c>
      <c r="O273" s="8">
        <f ca="1">MONTH(financials[[#This Row],[Date]])</f>
        <v>1</v>
      </c>
      <c r="P273" s="6" t="str">
        <f ca="1">TEXT(financials[[#This Row],[Date]],"MMM")</f>
        <v>Jan</v>
      </c>
      <c r="Q273">
        <f ca="1">YEAR(financials[[#This Row],[Date]])</f>
        <v>2025</v>
      </c>
      <c r="S273" s="10"/>
    </row>
    <row r="274" spans="1:19" x14ac:dyDescent="0.3">
      <c r="A274" t="s">
        <v>21</v>
      </c>
      <c r="B274" t="s">
        <v>22</v>
      </c>
      <c r="C274" s="6" t="s">
        <v>28</v>
      </c>
      <c r="D274" s="6" t="str">
        <f>CONCATENATE(financials[[#This Row],[Segment]],",",financials[[#This Row],[Country]],",",financials[[#This Row],[Product]])</f>
        <v>Midmarket,France,Paseo</v>
      </c>
      <c r="E274" s="6" t="s">
        <v>33</v>
      </c>
      <c r="F274">
        <f t="shared" ca="1" si="8"/>
        <v>357</v>
      </c>
      <c r="G274" s="1">
        <f ca="1">VLOOKUP(financials[[#This Row],[ID]],Prices!D:F,2,FALSE)</f>
        <v>20</v>
      </c>
      <c r="H274" s="1">
        <f ca="1">VLOOKUP(financials[[#This Row],[ID]],Prices!D:F,3,FALSE)</f>
        <v>38</v>
      </c>
      <c r="I274" s="1">
        <f ca="1">financials[[#This Row],[Units Sold]]*financials[[#This Row],[Sale Price]]</f>
        <v>13566</v>
      </c>
      <c r="J2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678.30000000000007</v>
      </c>
      <c r="K274" s="1">
        <f ca="1">financials[[#This Row],[Gross Sales]]-financials[[#This Row],[Discounts]]</f>
        <v>12887.7</v>
      </c>
      <c r="L274" s="1">
        <f ca="1">financials[[#This Row],[Units Sold]]*financials[[#This Row],[Manufacturing Price]]</f>
        <v>7140</v>
      </c>
      <c r="M274" s="1">
        <f ca="1">financials[[#This Row],[Sales]]-financials[[#This Row],[COGS]]</f>
        <v>5747.7000000000007</v>
      </c>
      <c r="N274" s="7">
        <f t="shared" ca="1" si="9"/>
        <v>45701</v>
      </c>
      <c r="O274" s="8">
        <f ca="1">MONTH(financials[[#This Row],[Date]])</f>
        <v>2</v>
      </c>
      <c r="P274" s="6" t="str">
        <f ca="1">TEXT(financials[[#This Row],[Date]],"MMM")</f>
        <v>Feb</v>
      </c>
      <c r="Q274">
        <f ca="1">YEAR(financials[[#This Row],[Date]])</f>
        <v>2025</v>
      </c>
      <c r="S274" s="10"/>
    </row>
    <row r="275" spans="1:19" x14ac:dyDescent="0.3">
      <c r="A275" t="s">
        <v>16</v>
      </c>
      <c r="B275" t="s">
        <v>36</v>
      </c>
      <c r="C275" s="6" t="s">
        <v>18</v>
      </c>
      <c r="D275" s="6" t="str">
        <f>CONCATENATE(financials[[#This Row],[Segment]],",",financials[[#This Row],[Country]],",",financials[[#This Row],[Product]])</f>
        <v>Government,USA,Carretera</v>
      </c>
      <c r="E275" s="6" t="s">
        <v>33</v>
      </c>
      <c r="F275">
        <f t="shared" ca="1" si="8"/>
        <v>74</v>
      </c>
      <c r="G275" s="1">
        <f ca="1">VLOOKUP(financials[[#This Row],[ID]],Prices!D:F,2,FALSE)</f>
        <v>11</v>
      </c>
      <c r="H275" s="1">
        <f ca="1">VLOOKUP(financials[[#This Row],[ID]],Prices!D:F,3,FALSE)</f>
        <v>21</v>
      </c>
      <c r="I275" s="1">
        <f ca="1">financials[[#This Row],[Units Sold]]*financials[[#This Row],[Sale Price]]</f>
        <v>1554</v>
      </c>
      <c r="J2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77.7</v>
      </c>
      <c r="K275" s="1">
        <f ca="1">financials[[#This Row],[Gross Sales]]-financials[[#This Row],[Discounts]]</f>
        <v>1476.3</v>
      </c>
      <c r="L275" s="1">
        <f ca="1">financials[[#This Row],[Units Sold]]*financials[[#This Row],[Manufacturing Price]]</f>
        <v>814</v>
      </c>
      <c r="M275" s="1">
        <f ca="1">financials[[#This Row],[Sales]]-financials[[#This Row],[COGS]]</f>
        <v>662.3</v>
      </c>
      <c r="N275" s="7">
        <f t="shared" ca="1" si="9"/>
        <v>45482</v>
      </c>
      <c r="O275" s="8">
        <f ca="1">MONTH(financials[[#This Row],[Date]])</f>
        <v>7</v>
      </c>
      <c r="P275" s="6" t="str">
        <f ca="1">TEXT(financials[[#This Row],[Date]],"MMM")</f>
        <v>Jul</v>
      </c>
      <c r="Q275">
        <f ca="1">YEAR(financials[[#This Row],[Date]])</f>
        <v>2024</v>
      </c>
      <c r="S275" s="10"/>
    </row>
    <row r="276" spans="1:19" x14ac:dyDescent="0.3">
      <c r="A276" t="s">
        <v>21</v>
      </c>
      <c r="B276" t="s">
        <v>17</v>
      </c>
      <c r="C276" s="6" t="s">
        <v>18</v>
      </c>
      <c r="D276" s="6" t="str">
        <f>CONCATENATE(financials[[#This Row],[Segment]],",",financials[[#This Row],[Country]],",",financials[[#This Row],[Product]])</f>
        <v>Midmarket,Canada,Carretera</v>
      </c>
      <c r="E276" s="6" t="s">
        <v>33</v>
      </c>
      <c r="F276">
        <f t="shared" ca="1" si="8"/>
        <v>775</v>
      </c>
      <c r="G276" s="1">
        <f ca="1">VLOOKUP(financials[[#This Row],[ID]],Prices!D:F,2,FALSE)</f>
        <v>10</v>
      </c>
      <c r="H276" s="1">
        <f ca="1">VLOOKUP(financials[[#This Row],[ID]],Prices!D:F,3,FALSE)</f>
        <v>29</v>
      </c>
      <c r="I276" s="1">
        <f ca="1">financials[[#This Row],[Units Sold]]*financials[[#This Row],[Sale Price]]</f>
        <v>22475</v>
      </c>
      <c r="J2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1123.75</v>
      </c>
      <c r="K276" s="1">
        <f ca="1">financials[[#This Row],[Gross Sales]]-financials[[#This Row],[Discounts]]</f>
        <v>21351.25</v>
      </c>
      <c r="L276" s="1">
        <f ca="1">financials[[#This Row],[Units Sold]]*financials[[#This Row],[Manufacturing Price]]</f>
        <v>7750</v>
      </c>
      <c r="M276" s="1">
        <f ca="1">financials[[#This Row],[Sales]]-financials[[#This Row],[COGS]]</f>
        <v>13601.25</v>
      </c>
      <c r="N276" s="7">
        <f t="shared" ca="1" si="9"/>
        <v>45234</v>
      </c>
      <c r="O276" s="8">
        <f ca="1">MONTH(financials[[#This Row],[Date]])</f>
        <v>11</v>
      </c>
      <c r="P276" s="6" t="str">
        <f ca="1">TEXT(financials[[#This Row],[Date]],"MMM")</f>
        <v>Nov</v>
      </c>
      <c r="Q276">
        <f ca="1">YEAR(financials[[#This Row],[Date]])</f>
        <v>2023</v>
      </c>
      <c r="S276" s="10"/>
    </row>
    <row r="277" spans="1:19" x14ac:dyDescent="0.3">
      <c r="A277" t="s">
        <v>25</v>
      </c>
      <c r="B277" t="s">
        <v>23</v>
      </c>
      <c r="C277" s="6" t="s">
        <v>18</v>
      </c>
      <c r="D277" s="6" t="str">
        <f>CONCATENATE(financials[[#This Row],[Segment]],",",financials[[#This Row],[Country]],",",financials[[#This Row],[Product]])</f>
        <v>Channel Partners,Mexico,Carretera</v>
      </c>
      <c r="E277" s="6" t="s">
        <v>33</v>
      </c>
      <c r="F277">
        <f t="shared" ca="1" si="8"/>
        <v>57</v>
      </c>
      <c r="G277" s="1">
        <f ca="1">VLOOKUP(financials[[#This Row],[ID]],Prices!D:F,2,FALSE)</f>
        <v>14</v>
      </c>
      <c r="H277" s="1">
        <f ca="1">VLOOKUP(financials[[#This Row],[ID]],Prices!D:F,3,FALSE)</f>
        <v>18</v>
      </c>
      <c r="I277" s="1">
        <f ca="1">financials[[#This Row],[Units Sold]]*financials[[#This Row],[Sale Price]]</f>
        <v>1026</v>
      </c>
      <c r="J2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51.300000000000004</v>
      </c>
      <c r="K277" s="1">
        <f ca="1">financials[[#This Row],[Gross Sales]]-financials[[#This Row],[Discounts]]</f>
        <v>974.7</v>
      </c>
      <c r="L277" s="1">
        <f ca="1">financials[[#This Row],[Units Sold]]*financials[[#This Row],[Manufacturing Price]]</f>
        <v>798</v>
      </c>
      <c r="M277" s="1">
        <f ca="1">financials[[#This Row],[Sales]]-financials[[#This Row],[COGS]]</f>
        <v>176.70000000000005</v>
      </c>
      <c r="N277" s="7">
        <f t="shared" ca="1" si="9"/>
        <v>45444</v>
      </c>
      <c r="O277" s="8">
        <f ca="1">MONTH(financials[[#This Row],[Date]])</f>
        <v>6</v>
      </c>
      <c r="P277" s="6" t="str">
        <f ca="1">TEXT(financials[[#This Row],[Date]],"MMM")</f>
        <v>Jun</v>
      </c>
      <c r="Q277">
        <f ca="1">YEAR(financials[[#This Row],[Date]])</f>
        <v>2024</v>
      </c>
      <c r="S277" s="10"/>
    </row>
    <row r="278" spans="1:19" x14ac:dyDescent="0.3">
      <c r="A278" t="s">
        <v>25</v>
      </c>
      <c r="B278" t="s">
        <v>17</v>
      </c>
      <c r="C278" s="6" t="s">
        <v>18</v>
      </c>
      <c r="D278" s="6" t="str">
        <f>CONCATENATE(financials[[#This Row],[Segment]],",",financials[[#This Row],[Country]],",",financials[[#This Row],[Product]])</f>
        <v>Channel Partners,Canada,Carretera</v>
      </c>
      <c r="E278" s="6" t="s">
        <v>33</v>
      </c>
      <c r="F278">
        <f t="shared" ca="1" si="8"/>
        <v>737</v>
      </c>
      <c r="G278" s="1">
        <f ca="1">VLOOKUP(financials[[#This Row],[ID]],Prices!D:F,2,FALSE)</f>
        <v>17</v>
      </c>
      <c r="H278" s="1">
        <f ca="1">VLOOKUP(financials[[#This Row],[ID]],Prices!D:F,3,FALSE)</f>
        <v>24</v>
      </c>
      <c r="I278" s="1">
        <f ca="1">financials[[#This Row],[Units Sold]]*financials[[#This Row],[Sale Price]]</f>
        <v>17688</v>
      </c>
      <c r="J2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884.40000000000009</v>
      </c>
      <c r="K278" s="1">
        <f ca="1">financials[[#This Row],[Gross Sales]]-financials[[#This Row],[Discounts]]</f>
        <v>16803.599999999999</v>
      </c>
      <c r="L278" s="1">
        <f ca="1">financials[[#This Row],[Units Sold]]*financials[[#This Row],[Manufacturing Price]]</f>
        <v>12529</v>
      </c>
      <c r="M278" s="1">
        <f ca="1">financials[[#This Row],[Sales]]-financials[[#This Row],[COGS]]</f>
        <v>4274.5999999999985</v>
      </c>
      <c r="N278" s="7">
        <f t="shared" ca="1" si="9"/>
        <v>45028</v>
      </c>
      <c r="O278" s="8">
        <f ca="1">MONTH(financials[[#This Row],[Date]])</f>
        <v>4</v>
      </c>
      <c r="P278" s="6" t="str">
        <f ca="1">TEXT(financials[[#This Row],[Date]],"MMM")</f>
        <v>Apr</v>
      </c>
      <c r="Q278">
        <f ca="1">YEAR(financials[[#This Row],[Date]])</f>
        <v>2023</v>
      </c>
      <c r="S278" s="10"/>
    </row>
    <row r="279" spans="1:19" x14ac:dyDescent="0.3">
      <c r="A279" t="s">
        <v>21</v>
      </c>
      <c r="B279" t="s">
        <v>36</v>
      </c>
      <c r="C279" s="6" t="s">
        <v>18</v>
      </c>
      <c r="D279" s="6" t="str">
        <f>CONCATENATE(financials[[#This Row],[Segment]],",",financials[[#This Row],[Country]],",",financials[[#This Row],[Product]])</f>
        <v>Midmarket,USA,Carretera</v>
      </c>
      <c r="E279" s="6" t="s">
        <v>33</v>
      </c>
      <c r="F279">
        <f t="shared" ca="1" si="8"/>
        <v>285</v>
      </c>
      <c r="G279" s="1">
        <f ca="1">VLOOKUP(financials[[#This Row],[ID]],Prices!D:F,2,FALSE)</f>
        <v>13</v>
      </c>
      <c r="H279" s="1">
        <f ca="1">VLOOKUP(financials[[#This Row],[ID]],Prices!D:F,3,FALSE)</f>
        <v>21</v>
      </c>
      <c r="I279" s="1">
        <f ca="1">financials[[#This Row],[Units Sold]]*financials[[#This Row],[Sale Price]]</f>
        <v>5985</v>
      </c>
      <c r="J2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299.25</v>
      </c>
      <c r="K279" s="1">
        <f ca="1">financials[[#This Row],[Gross Sales]]-financials[[#This Row],[Discounts]]</f>
        <v>5685.75</v>
      </c>
      <c r="L279" s="1">
        <f ca="1">financials[[#This Row],[Units Sold]]*financials[[#This Row],[Manufacturing Price]]</f>
        <v>3705</v>
      </c>
      <c r="M279" s="1">
        <f ca="1">financials[[#This Row],[Sales]]-financials[[#This Row],[COGS]]</f>
        <v>1980.75</v>
      </c>
      <c r="N279" s="7">
        <f t="shared" ca="1" si="9"/>
        <v>45573</v>
      </c>
      <c r="O279" s="8">
        <f ca="1">MONTH(financials[[#This Row],[Date]])</f>
        <v>10</v>
      </c>
      <c r="P279" s="6" t="str">
        <f ca="1">TEXT(financials[[#This Row],[Date]],"MMM")</f>
        <v>Oct</v>
      </c>
      <c r="Q279">
        <f ca="1">YEAR(financials[[#This Row],[Date]])</f>
        <v>2024</v>
      </c>
      <c r="S279" s="10"/>
    </row>
    <row r="280" spans="1:19" x14ac:dyDescent="0.3">
      <c r="A280" t="s">
        <v>16</v>
      </c>
      <c r="B280" t="s">
        <v>36</v>
      </c>
      <c r="C280" s="6" t="s">
        <v>18</v>
      </c>
      <c r="D280" s="6" t="str">
        <f>CONCATENATE(financials[[#This Row],[Segment]],",",financials[[#This Row],[Country]],",",financials[[#This Row],[Product]])</f>
        <v>Government,USA,Carretera</v>
      </c>
      <c r="E280" s="6" t="s">
        <v>33</v>
      </c>
      <c r="F280">
        <f t="shared" ca="1" si="8"/>
        <v>612</v>
      </c>
      <c r="G280" s="1">
        <f ca="1">VLOOKUP(financials[[#This Row],[ID]],Prices!D:F,2,FALSE)</f>
        <v>11</v>
      </c>
      <c r="H280" s="1">
        <f ca="1">VLOOKUP(financials[[#This Row],[ID]],Prices!D:F,3,FALSE)</f>
        <v>21</v>
      </c>
      <c r="I280" s="1">
        <f ca="1">financials[[#This Row],[Units Sold]]*financials[[#This Row],[Sale Price]]</f>
        <v>12852</v>
      </c>
      <c r="J2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642.6</v>
      </c>
      <c r="K280" s="1">
        <f ca="1">financials[[#This Row],[Gross Sales]]-financials[[#This Row],[Discounts]]</f>
        <v>12209.4</v>
      </c>
      <c r="L280" s="1">
        <f ca="1">financials[[#This Row],[Units Sold]]*financials[[#This Row],[Manufacturing Price]]</f>
        <v>6732</v>
      </c>
      <c r="M280" s="1">
        <f ca="1">financials[[#This Row],[Sales]]-financials[[#This Row],[COGS]]</f>
        <v>5477.4</v>
      </c>
      <c r="N280" s="7">
        <f t="shared" ca="1" si="9"/>
        <v>45056</v>
      </c>
      <c r="O280" s="8">
        <f ca="1">MONTH(financials[[#This Row],[Date]])</f>
        <v>5</v>
      </c>
      <c r="P280" s="6" t="str">
        <f ca="1">TEXT(financials[[#This Row],[Date]],"MMM")</f>
        <v>May</v>
      </c>
      <c r="Q280">
        <f ca="1">YEAR(financials[[#This Row],[Date]])</f>
        <v>2023</v>
      </c>
      <c r="S280" s="10"/>
    </row>
    <row r="281" spans="1:19" x14ac:dyDescent="0.3">
      <c r="A281" t="s">
        <v>26</v>
      </c>
      <c r="B281" t="s">
        <v>20</v>
      </c>
      <c r="C281" s="6" t="s">
        <v>18</v>
      </c>
      <c r="D281" s="6" t="str">
        <f>CONCATENATE(financials[[#This Row],[Segment]],",",financials[[#This Row],[Country]],",",financials[[#This Row],[Product]])</f>
        <v>Enterprise,Germany,Carretera</v>
      </c>
      <c r="E281" s="6" t="s">
        <v>33</v>
      </c>
      <c r="F281">
        <f t="shared" ca="1" si="8"/>
        <v>454</v>
      </c>
      <c r="G281" s="1">
        <f ca="1">VLOOKUP(financials[[#This Row],[ID]],Prices!D:F,2,FALSE)</f>
        <v>20</v>
      </c>
      <c r="H281" s="1">
        <f ca="1">VLOOKUP(financials[[#This Row],[ID]],Prices!D:F,3,FALSE)</f>
        <v>37</v>
      </c>
      <c r="I281" s="1">
        <f ca="1">financials[[#This Row],[Units Sold]]*financials[[#This Row],[Sale Price]]</f>
        <v>16798</v>
      </c>
      <c r="J2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839.90000000000009</v>
      </c>
      <c r="K281" s="1">
        <f ca="1">financials[[#This Row],[Gross Sales]]-financials[[#This Row],[Discounts]]</f>
        <v>15958.1</v>
      </c>
      <c r="L281" s="1">
        <f ca="1">financials[[#This Row],[Units Sold]]*financials[[#This Row],[Manufacturing Price]]</f>
        <v>9080</v>
      </c>
      <c r="M281" s="1">
        <f ca="1">financials[[#This Row],[Sales]]-financials[[#This Row],[COGS]]</f>
        <v>6878.1</v>
      </c>
      <c r="N281" s="7">
        <f t="shared" ca="1" si="9"/>
        <v>45170</v>
      </c>
      <c r="O281" s="8">
        <f ca="1">MONTH(financials[[#This Row],[Date]])</f>
        <v>9</v>
      </c>
      <c r="P281" s="6" t="str">
        <f ca="1">TEXT(financials[[#This Row],[Date]],"MMM")</f>
        <v>Sep</v>
      </c>
      <c r="Q281">
        <f ca="1">YEAR(financials[[#This Row],[Date]])</f>
        <v>2023</v>
      </c>
      <c r="S281" s="10"/>
    </row>
    <row r="282" spans="1:19" x14ac:dyDescent="0.3">
      <c r="A282" t="s">
        <v>16</v>
      </c>
      <c r="B282" t="s">
        <v>23</v>
      </c>
      <c r="C282" s="6" t="s">
        <v>24</v>
      </c>
      <c r="D282" s="6" t="str">
        <f>CONCATENATE(financials[[#This Row],[Segment]],",",financials[[#This Row],[Country]],",",financials[[#This Row],[Product]])</f>
        <v>Government,Mexico,Montana</v>
      </c>
      <c r="E282" s="6" t="s">
        <v>33</v>
      </c>
      <c r="F282">
        <f t="shared" ca="1" si="8"/>
        <v>687</v>
      </c>
      <c r="G282" s="1">
        <f ca="1">VLOOKUP(financials[[#This Row],[ID]],Prices!D:F,2,FALSE)</f>
        <v>19</v>
      </c>
      <c r="H282" s="1">
        <f ca="1">VLOOKUP(financials[[#This Row],[ID]],Prices!D:F,3,FALSE)</f>
        <v>20</v>
      </c>
      <c r="I282" s="1">
        <f ca="1">financials[[#This Row],[Units Sold]]*financials[[#This Row],[Sale Price]]</f>
        <v>13740</v>
      </c>
      <c r="J2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687</v>
      </c>
      <c r="K282" s="1">
        <f ca="1">financials[[#This Row],[Gross Sales]]-financials[[#This Row],[Discounts]]</f>
        <v>13053</v>
      </c>
      <c r="L282" s="1">
        <f ca="1">financials[[#This Row],[Units Sold]]*financials[[#This Row],[Manufacturing Price]]</f>
        <v>13053</v>
      </c>
      <c r="M282" s="1">
        <f ca="1">financials[[#This Row],[Sales]]-financials[[#This Row],[COGS]]</f>
        <v>0</v>
      </c>
      <c r="N282" s="7">
        <f t="shared" ca="1" si="9"/>
        <v>45186</v>
      </c>
      <c r="O282" s="8">
        <f ca="1">MONTH(financials[[#This Row],[Date]])</f>
        <v>9</v>
      </c>
      <c r="P282" s="6" t="str">
        <f ca="1">TEXT(financials[[#This Row],[Date]],"MMM")</f>
        <v>Sep</v>
      </c>
      <c r="Q282">
        <f ca="1">YEAR(financials[[#This Row],[Date]])</f>
        <v>2023</v>
      </c>
      <c r="S282" s="10"/>
    </row>
    <row r="283" spans="1:19" x14ac:dyDescent="0.3">
      <c r="A283" t="s">
        <v>16</v>
      </c>
      <c r="B283" t="s">
        <v>20</v>
      </c>
      <c r="C283" s="6" t="s">
        <v>24</v>
      </c>
      <c r="D283" s="6" t="str">
        <f>CONCATENATE(financials[[#This Row],[Segment]],",",financials[[#This Row],[Country]],",",financials[[#This Row],[Product]])</f>
        <v>Government,Germany,Montana</v>
      </c>
      <c r="E283" s="6" t="s">
        <v>33</v>
      </c>
      <c r="F283">
        <f t="shared" ca="1" si="8"/>
        <v>832</v>
      </c>
      <c r="G283" s="1">
        <f ca="1">VLOOKUP(financials[[#This Row],[ID]],Prices!D:F,2,FALSE)</f>
        <v>20</v>
      </c>
      <c r="H283" s="1">
        <f ca="1">VLOOKUP(financials[[#This Row],[ID]],Prices!D:F,3,FALSE)</f>
        <v>27</v>
      </c>
      <c r="I283" s="1">
        <f ca="1">financials[[#This Row],[Units Sold]]*financials[[#This Row],[Sale Price]]</f>
        <v>22464</v>
      </c>
      <c r="J2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1123.2</v>
      </c>
      <c r="K283" s="1">
        <f ca="1">financials[[#This Row],[Gross Sales]]-financials[[#This Row],[Discounts]]</f>
        <v>21340.799999999999</v>
      </c>
      <c r="L283" s="1">
        <f ca="1">financials[[#This Row],[Units Sold]]*financials[[#This Row],[Manufacturing Price]]</f>
        <v>16640</v>
      </c>
      <c r="M283" s="1">
        <f ca="1">financials[[#This Row],[Sales]]-financials[[#This Row],[COGS]]</f>
        <v>4700.7999999999993</v>
      </c>
      <c r="N283" s="7">
        <f t="shared" ca="1" si="9"/>
        <v>45157</v>
      </c>
      <c r="O283" s="8">
        <f ca="1">MONTH(financials[[#This Row],[Date]])</f>
        <v>8</v>
      </c>
      <c r="P283" s="6" t="str">
        <f ca="1">TEXT(financials[[#This Row],[Date]],"MMM")</f>
        <v>Aug</v>
      </c>
      <c r="Q283">
        <f ca="1">YEAR(financials[[#This Row],[Date]])</f>
        <v>2023</v>
      </c>
      <c r="S283" s="10"/>
    </row>
    <row r="284" spans="1:19" x14ac:dyDescent="0.3">
      <c r="A284" t="s">
        <v>16</v>
      </c>
      <c r="B284" t="s">
        <v>22</v>
      </c>
      <c r="C284" s="6" t="s">
        <v>24</v>
      </c>
      <c r="D284" s="6" t="str">
        <f>CONCATENATE(financials[[#This Row],[Segment]],",",financials[[#This Row],[Country]],",",financials[[#This Row],[Product]])</f>
        <v>Government,France,Montana</v>
      </c>
      <c r="E284" s="6" t="s">
        <v>33</v>
      </c>
      <c r="F284">
        <f t="shared" ca="1" si="8"/>
        <v>150</v>
      </c>
      <c r="G284" s="1">
        <f ca="1">VLOOKUP(financials[[#This Row],[ID]],Prices!D:F,2,FALSE)</f>
        <v>19</v>
      </c>
      <c r="H284" s="1">
        <f ca="1">VLOOKUP(financials[[#This Row],[ID]],Prices!D:F,3,FALSE)</f>
        <v>22</v>
      </c>
      <c r="I284" s="1">
        <f ca="1">financials[[#This Row],[Units Sold]]*financials[[#This Row],[Sale Price]]</f>
        <v>3300</v>
      </c>
      <c r="J2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165</v>
      </c>
      <c r="K284" s="1">
        <f ca="1">financials[[#This Row],[Gross Sales]]-financials[[#This Row],[Discounts]]</f>
        <v>3135</v>
      </c>
      <c r="L284" s="1">
        <f ca="1">financials[[#This Row],[Units Sold]]*financials[[#This Row],[Manufacturing Price]]</f>
        <v>2850</v>
      </c>
      <c r="M284" s="1">
        <f ca="1">financials[[#This Row],[Sales]]-financials[[#This Row],[COGS]]</f>
        <v>285</v>
      </c>
      <c r="N284" s="7">
        <f t="shared" ca="1" si="9"/>
        <v>45146</v>
      </c>
      <c r="O284" s="8">
        <f ca="1">MONTH(financials[[#This Row],[Date]])</f>
        <v>8</v>
      </c>
      <c r="P284" s="6" t="str">
        <f ca="1">TEXT(financials[[#This Row],[Date]],"MMM")</f>
        <v>Aug</v>
      </c>
      <c r="Q284">
        <f ca="1">YEAR(financials[[#This Row],[Date]])</f>
        <v>2023</v>
      </c>
      <c r="S284" s="10"/>
    </row>
    <row r="285" spans="1:19" x14ac:dyDescent="0.3">
      <c r="A285" t="s">
        <v>25</v>
      </c>
      <c r="B285" t="s">
        <v>36</v>
      </c>
      <c r="C285" s="6" t="s">
        <v>24</v>
      </c>
      <c r="D285" s="6" t="str">
        <f>CONCATENATE(financials[[#This Row],[Segment]],",",financials[[#This Row],[Country]],",",financials[[#This Row],[Product]])</f>
        <v>Channel Partners,USA,Montana</v>
      </c>
      <c r="E285" s="6" t="s">
        <v>33</v>
      </c>
      <c r="F285">
        <f t="shared" ca="1" si="8"/>
        <v>306</v>
      </c>
      <c r="G285" s="1">
        <f ca="1">VLOOKUP(financials[[#This Row],[ID]],Prices!D:F,2,FALSE)</f>
        <v>12</v>
      </c>
      <c r="H285" s="1">
        <f ca="1">VLOOKUP(financials[[#This Row],[ID]],Prices!D:F,3,FALSE)</f>
        <v>38</v>
      </c>
      <c r="I285" s="1">
        <f ca="1">financials[[#This Row],[Units Sold]]*financials[[#This Row],[Sale Price]]</f>
        <v>11628</v>
      </c>
      <c r="J2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581.4</v>
      </c>
      <c r="K285" s="1">
        <f ca="1">financials[[#This Row],[Gross Sales]]-financials[[#This Row],[Discounts]]</f>
        <v>11046.6</v>
      </c>
      <c r="L285" s="1">
        <f ca="1">financials[[#This Row],[Units Sold]]*financials[[#This Row],[Manufacturing Price]]</f>
        <v>3672</v>
      </c>
      <c r="M285" s="1">
        <f ca="1">financials[[#This Row],[Sales]]-financials[[#This Row],[COGS]]</f>
        <v>7374.6</v>
      </c>
      <c r="N285" s="7">
        <f t="shared" ca="1" si="9"/>
        <v>45088</v>
      </c>
      <c r="O285" s="8">
        <f ca="1">MONTH(financials[[#This Row],[Date]])</f>
        <v>6</v>
      </c>
      <c r="P285" s="6" t="str">
        <f ca="1">TEXT(financials[[#This Row],[Date]],"MMM")</f>
        <v>Jun</v>
      </c>
      <c r="Q285">
        <f ca="1">YEAR(financials[[#This Row],[Date]])</f>
        <v>2023</v>
      </c>
      <c r="S285" s="10"/>
    </row>
    <row r="286" spans="1:19" x14ac:dyDescent="0.3">
      <c r="A286" t="s">
        <v>16</v>
      </c>
      <c r="B286" t="s">
        <v>22</v>
      </c>
      <c r="C286" s="6" t="s">
        <v>28</v>
      </c>
      <c r="D286" s="6" t="str">
        <f>CONCATENATE(financials[[#This Row],[Segment]],",",financials[[#This Row],[Country]],",",financials[[#This Row],[Product]])</f>
        <v>Government,France,Paseo</v>
      </c>
      <c r="E286" s="6" t="s">
        <v>33</v>
      </c>
      <c r="F286">
        <f t="shared" ca="1" si="8"/>
        <v>415</v>
      </c>
      <c r="G286" s="1">
        <f ca="1">VLOOKUP(financials[[#This Row],[ID]],Prices!D:F,2,FALSE)</f>
        <v>14</v>
      </c>
      <c r="H286" s="1">
        <f ca="1">VLOOKUP(financials[[#This Row],[ID]],Prices!D:F,3,FALSE)</f>
        <v>18</v>
      </c>
      <c r="I286" s="1">
        <f ca="1">financials[[#This Row],[Units Sold]]*financials[[#This Row],[Sale Price]]</f>
        <v>7470</v>
      </c>
      <c r="J2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373.5</v>
      </c>
      <c r="K286" s="1">
        <f ca="1">financials[[#This Row],[Gross Sales]]-financials[[#This Row],[Discounts]]</f>
        <v>7096.5</v>
      </c>
      <c r="L286" s="1">
        <f ca="1">financials[[#This Row],[Units Sold]]*financials[[#This Row],[Manufacturing Price]]</f>
        <v>5810</v>
      </c>
      <c r="M286" s="1">
        <f ca="1">financials[[#This Row],[Sales]]-financials[[#This Row],[COGS]]</f>
        <v>1286.5</v>
      </c>
      <c r="N286" s="7">
        <f t="shared" ca="1" si="9"/>
        <v>45714</v>
      </c>
      <c r="O286" s="8">
        <f ca="1">MONTH(financials[[#This Row],[Date]])</f>
        <v>2</v>
      </c>
      <c r="P286" s="6" t="str">
        <f ca="1">TEXT(financials[[#This Row],[Date]],"MMM")</f>
        <v>Feb</v>
      </c>
      <c r="Q286">
        <f ca="1">YEAR(financials[[#This Row],[Date]])</f>
        <v>2025</v>
      </c>
      <c r="S286" s="10"/>
    </row>
    <row r="287" spans="1:19" x14ac:dyDescent="0.3">
      <c r="A287" t="s">
        <v>25</v>
      </c>
      <c r="B287" t="s">
        <v>17</v>
      </c>
      <c r="C287" s="6" t="s">
        <v>28</v>
      </c>
      <c r="D287" s="6" t="str">
        <f>CONCATENATE(financials[[#This Row],[Segment]],",",financials[[#This Row],[Country]],",",financials[[#This Row],[Product]])</f>
        <v>Channel Partners,Canada,Paseo</v>
      </c>
      <c r="E287" s="6" t="s">
        <v>33</v>
      </c>
      <c r="F287">
        <f t="shared" ca="1" si="8"/>
        <v>832</v>
      </c>
      <c r="G287" s="1">
        <f ca="1">VLOOKUP(financials[[#This Row],[ID]],Prices!D:F,2,FALSE)</f>
        <v>13</v>
      </c>
      <c r="H287" s="1">
        <f ca="1">VLOOKUP(financials[[#This Row],[ID]],Prices!D:F,3,FALSE)</f>
        <v>26</v>
      </c>
      <c r="I287" s="1">
        <f ca="1">financials[[#This Row],[Units Sold]]*financials[[#This Row],[Sale Price]]</f>
        <v>21632</v>
      </c>
      <c r="J2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1081.6000000000001</v>
      </c>
      <c r="K287" s="1">
        <f ca="1">financials[[#This Row],[Gross Sales]]-financials[[#This Row],[Discounts]]</f>
        <v>20550.400000000001</v>
      </c>
      <c r="L287" s="1">
        <f ca="1">financials[[#This Row],[Units Sold]]*financials[[#This Row],[Manufacturing Price]]</f>
        <v>10816</v>
      </c>
      <c r="M287" s="1">
        <f ca="1">financials[[#This Row],[Sales]]-financials[[#This Row],[COGS]]</f>
        <v>9734.4000000000015</v>
      </c>
      <c r="N287" s="7">
        <f t="shared" ca="1" si="9"/>
        <v>45678</v>
      </c>
      <c r="O287" s="8">
        <f ca="1">MONTH(financials[[#This Row],[Date]])</f>
        <v>1</v>
      </c>
      <c r="P287" s="6" t="str">
        <f ca="1">TEXT(financials[[#This Row],[Date]],"MMM")</f>
        <v>Jan</v>
      </c>
      <c r="Q287">
        <f ca="1">YEAR(financials[[#This Row],[Date]])</f>
        <v>2025</v>
      </c>
      <c r="S287" s="10"/>
    </row>
    <row r="288" spans="1:19" x14ac:dyDescent="0.3">
      <c r="A288" t="s">
        <v>16</v>
      </c>
      <c r="B288" t="s">
        <v>36</v>
      </c>
      <c r="C288" s="6" t="s">
        <v>28</v>
      </c>
      <c r="D288" s="6" t="str">
        <f>CONCATENATE(financials[[#This Row],[Segment]],",",financials[[#This Row],[Country]],",",financials[[#This Row],[Product]])</f>
        <v>Government,USA,Paseo</v>
      </c>
      <c r="E288" s="6" t="s">
        <v>33</v>
      </c>
      <c r="F288">
        <f t="shared" ca="1" si="8"/>
        <v>990</v>
      </c>
      <c r="G288" s="1">
        <f ca="1">VLOOKUP(financials[[#This Row],[ID]],Prices!D:F,2,FALSE)</f>
        <v>17</v>
      </c>
      <c r="H288" s="1">
        <f ca="1">VLOOKUP(financials[[#This Row],[ID]],Prices!D:F,3,FALSE)</f>
        <v>36</v>
      </c>
      <c r="I288" s="1">
        <f ca="1">financials[[#This Row],[Units Sold]]*financials[[#This Row],[Sale Price]]</f>
        <v>35640</v>
      </c>
      <c r="J2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1782</v>
      </c>
      <c r="K288" s="1">
        <f ca="1">financials[[#This Row],[Gross Sales]]-financials[[#This Row],[Discounts]]</f>
        <v>33858</v>
      </c>
      <c r="L288" s="1">
        <f ca="1">financials[[#This Row],[Units Sold]]*financials[[#This Row],[Manufacturing Price]]</f>
        <v>16830</v>
      </c>
      <c r="M288" s="1">
        <f ca="1">financials[[#This Row],[Sales]]-financials[[#This Row],[COGS]]</f>
        <v>17028</v>
      </c>
      <c r="N288" s="7">
        <f t="shared" ca="1" si="9"/>
        <v>45675</v>
      </c>
      <c r="O288" s="8">
        <f ca="1">MONTH(financials[[#This Row],[Date]])</f>
        <v>1</v>
      </c>
      <c r="P288" s="6" t="str">
        <f ca="1">TEXT(financials[[#This Row],[Date]],"MMM")</f>
        <v>Jan</v>
      </c>
      <c r="Q288">
        <f ca="1">YEAR(financials[[#This Row],[Date]])</f>
        <v>2025</v>
      </c>
      <c r="S288" s="10"/>
    </row>
    <row r="289" spans="1:19" x14ac:dyDescent="0.3">
      <c r="A289" t="s">
        <v>26</v>
      </c>
      <c r="B289" t="s">
        <v>17</v>
      </c>
      <c r="C289" s="6" t="s">
        <v>29</v>
      </c>
      <c r="D289" s="6" t="str">
        <f>CONCATENATE(financials[[#This Row],[Segment]],",",financials[[#This Row],[Country]],",",financials[[#This Row],[Product]])</f>
        <v>Enterprise,Canada,Velo</v>
      </c>
      <c r="E289" s="6" t="s">
        <v>33</v>
      </c>
      <c r="F289">
        <f t="shared" ca="1" si="8"/>
        <v>109</v>
      </c>
      <c r="G289" s="1">
        <f ca="1">VLOOKUP(financials[[#This Row],[ID]],Prices!D:F,2,FALSE)</f>
        <v>11</v>
      </c>
      <c r="H289" s="1">
        <f ca="1">VLOOKUP(financials[[#This Row],[ID]],Prices!D:F,3,FALSE)</f>
        <v>34</v>
      </c>
      <c r="I289" s="1">
        <f ca="1">financials[[#This Row],[Units Sold]]*financials[[#This Row],[Sale Price]]</f>
        <v>3706</v>
      </c>
      <c r="J2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185.3</v>
      </c>
      <c r="K289" s="1">
        <f ca="1">financials[[#This Row],[Gross Sales]]-financials[[#This Row],[Discounts]]</f>
        <v>3520.7</v>
      </c>
      <c r="L289" s="1">
        <f ca="1">financials[[#This Row],[Units Sold]]*financials[[#This Row],[Manufacturing Price]]</f>
        <v>1199</v>
      </c>
      <c r="M289" s="1">
        <f ca="1">financials[[#This Row],[Sales]]-financials[[#This Row],[COGS]]</f>
        <v>2321.6999999999998</v>
      </c>
      <c r="N289" s="7">
        <f t="shared" ca="1" si="9"/>
        <v>45526</v>
      </c>
      <c r="O289" s="8">
        <f ca="1">MONTH(financials[[#This Row],[Date]])</f>
        <v>8</v>
      </c>
      <c r="P289" s="6" t="str">
        <f ca="1">TEXT(financials[[#This Row],[Date]],"MMM")</f>
        <v>Aug</v>
      </c>
      <c r="Q289">
        <f ca="1">YEAR(financials[[#This Row],[Date]])</f>
        <v>2024</v>
      </c>
      <c r="S289" s="10"/>
    </row>
    <row r="290" spans="1:19" x14ac:dyDescent="0.3">
      <c r="A290" t="s">
        <v>26</v>
      </c>
      <c r="B290" t="s">
        <v>36</v>
      </c>
      <c r="C290" s="6" t="s">
        <v>29</v>
      </c>
      <c r="D290" s="6" t="str">
        <f>CONCATENATE(financials[[#This Row],[Segment]],",",financials[[#This Row],[Country]],",",financials[[#This Row],[Product]])</f>
        <v>Enterprise,USA,Velo</v>
      </c>
      <c r="E290" s="6" t="s">
        <v>33</v>
      </c>
      <c r="F290">
        <f t="shared" ca="1" si="8"/>
        <v>399</v>
      </c>
      <c r="G290" s="1">
        <f ca="1">VLOOKUP(financials[[#This Row],[ID]],Prices!D:F,2,FALSE)</f>
        <v>20</v>
      </c>
      <c r="H290" s="1">
        <f ca="1">VLOOKUP(financials[[#This Row],[ID]],Prices!D:F,3,FALSE)</f>
        <v>24</v>
      </c>
      <c r="I290" s="1">
        <f ca="1">financials[[#This Row],[Units Sold]]*financials[[#This Row],[Sale Price]]</f>
        <v>9576</v>
      </c>
      <c r="J2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478.8</v>
      </c>
      <c r="K290" s="1">
        <f ca="1">financials[[#This Row],[Gross Sales]]-financials[[#This Row],[Discounts]]</f>
        <v>9097.2000000000007</v>
      </c>
      <c r="L290" s="1">
        <f ca="1">financials[[#This Row],[Units Sold]]*financials[[#This Row],[Manufacturing Price]]</f>
        <v>7980</v>
      </c>
      <c r="M290" s="1">
        <f ca="1">financials[[#This Row],[Sales]]-financials[[#This Row],[COGS]]</f>
        <v>1117.2000000000007</v>
      </c>
      <c r="N290" s="7">
        <f t="shared" ca="1" si="9"/>
        <v>45737</v>
      </c>
      <c r="O290" s="8">
        <f ca="1">MONTH(financials[[#This Row],[Date]])</f>
        <v>3</v>
      </c>
      <c r="P290" s="6" t="str">
        <f ca="1">TEXT(financials[[#This Row],[Date]],"MMM")</f>
        <v>Mar</v>
      </c>
      <c r="Q290">
        <f ca="1">YEAR(financials[[#This Row],[Date]])</f>
        <v>2025</v>
      </c>
      <c r="S290" s="10"/>
    </row>
    <row r="291" spans="1:19" x14ac:dyDescent="0.3">
      <c r="A291" t="s">
        <v>21</v>
      </c>
      <c r="B291" t="s">
        <v>20</v>
      </c>
      <c r="C291" s="6" t="s">
        <v>29</v>
      </c>
      <c r="D291" s="6" t="str">
        <f>CONCATENATE(financials[[#This Row],[Segment]],",",financials[[#This Row],[Country]],",",financials[[#This Row],[Product]])</f>
        <v>Midmarket,Germany,Velo</v>
      </c>
      <c r="E291" s="6" t="s">
        <v>33</v>
      </c>
      <c r="F291">
        <f t="shared" ca="1" si="8"/>
        <v>883</v>
      </c>
      <c r="G291" s="1">
        <f ca="1">VLOOKUP(financials[[#This Row],[ID]],Prices!D:F,2,FALSE)</f>
        <v>10</v>
      </c>
      <c r="H291" s="1">
        <f ca="1">VLOOKUP(financials[[#This Row],[ID]],Prices!D:F,3,FALSE)</f>
        <v>25</v>
      </c>
      <c r="I291" s="1">
        <f ca="1">financials[[#This Row],[Units Sold]]*financials[[#This Row],[Sale Price]]</f>
        <v>22075</v>
      </c>
      <c r="J2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1103.75</v>
      </c>
      <c r="K291" s="1">
        <f ca="1">financials[[#This Row],[Gross Sales]]-financials[[#This Row],[Discounts]]</f>
        <v>20971.25</v>
      </c>
      <c r="L291" s="1">
        <f ca="1">financials[[#This Row],[Units Sold]]*financials[[#This Row],[Manufacturing Price]]</f>
        <v>8830</v>
      </c>
      <c r="M291" s="1">
        <f ca="1">financials[[#This Row],[Sales]]-financials[[#This Row],[COGS]]</f>
        <v>12141.25</v>
      </c>
      <c r="N291" s="7">
        <f t="shared" ca="1" si="9"/>
        <v>45664</v>
      </c>
      <c r="O291" s="8">
        <f ca="1">MONTH(financials[[#This Row],[Date]])</f>
        <v>1</v>
      </c>
      <c r="P291" s="6" t="str">
        <f ca="1">TEXT(financials[[#This Row],[Date]],"MMM")</f>
        <v>Jan</v>
      </c>
      <c r="Q291">
        <f ca="1">YEAR(financials[[#This Row],[Date]])</f>
        <v>2025</v>
      </c>
      <c r="S291" s="10"/>
    </row>
    <row r="292" spans="1:19" x14ac:dyDescent="0.3">
      <c r="A292" t="s">
        <v>16</v>
      </c>
      <c r="B292" t="s">
        <v>22</v>
      </c>
      <c r="C292" s="6" t="s">
        <v>29</v>
      </c>
      <c r="D292" s="6" t="str">
        <f>CONCATENATE(financials[[#This Row],[Segment]],",",financials[[#This Row],[Country]],",",financials[[#This Row],[Product]])</f>
        <v>Government,France,Velo</v>
      </c>
      <c r="E292" s="6" t="s">
        <v>33</v>
      </c>
      <c r="F292">
        <f t="shared" ca="1" si="8"/>
        <v>515</v>
      </c>
      <c r="G292" s="1">
        <f ca="1">VLOOKUP(financials[[#This Row],[ID]],Prices!D:F,2,FALSE)</f>
        <v>20</v>
      </c>
      <c r="H292" s="1">
        <f ca="1">VLOOKUP(financials[[#This Row],[ID]],Prices!D:F,3,FALSE)</f>
        <v>36</v>
      </c>
      <c r="I292" s="1">
        <f ca="1">financials[[#This Row],[Units Sold]]*financials[[#This Row],[Sale Price]]</f>
        <v>18540</v>
      </c>
      <c r="J2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927</v>
      </c>
      <c r="K292" s="1">
        <f ca="1">financials[[#This Row],[Gross Sales]]-financials[[#This Row],[Discounts]]</f>
        <v>17613</v>
      </c>
      <c r="L292" s="1">
        <f ca="1">financials[[#This Row],[Units Sold]]*financials[[#This Row],[Manufacturing Price]]</f>
        <v>10300</v>
      </c>
      <c r="M292" s="1">
        <f ca="1">financials[[#This Row],[Sales]]-financials[[#This Row],[COGS]]</f>
        <v>7313</v>
      </c>
      <c r="N292" s="7">
        <f t="shared" ca="1" si="9"/>
        <v>45247</v>
      </c>
      <c r="O292" s="8">
        <f ca="1">MONTH(financials[[#This Row],[Date]])</f>
        <v>11</v>
      </c>
      <c r="P292" s="6" t="str">
        <f ca="1">TEXT(financials[[#This Row],[Date]],"MMM")</f>
        <v>Nov</v>
      </c>
      <c r="Q292">
        <f ca="1">YEAR(financials[[#This Row],[Date]])</f>
        <v>2023</v>
      </c>
      <c r="S292" s="10"/>
    </row>
    <row r="293" spans="1:19" x14ac:dyDescent="0.3">
      <c r="A293" t="s">
        <v>16</v>
      </c>
      <c r="B293" t="s">
        <v>23</v>
      </c>
      <c r="C293" s="6" t="s">
        <v>29</v>
      </c>
      <c r="D293" s="6" t="str">
        <f>CONCATENATE(financials[[#This Row],[Segment]],",",financials[[#This Row],[Country]],",",financials[[#This Row],[Product]])</f>
        <v>Government,Mexico,Velo</v>
      </c>
      <c r="E293" s="6" t="s">
        <v>33</v>
      </c>
      <c r="F293">
        <f t="shared" ca="1" si="8"/>
        <v>323</v>
      </c>
      <c r="G293" s="1">
        <f ca="1">VLOOKUP(financials[[#This Row],[ID]],Prices!D:F,2,FALSE)</f>
        <v>18</v>
      </c>
      <c r="H293" s="1">
        <f ca="1">VLOOKUP(financials[[#This Row],[ID]],Prices!D:F,3,FALSE)</f>
        <v>36</v>
      </c>
      <c r="I293" s="1">
        <f ca="1">financials[[#This Row],[Units Sold]]*financials[[#This Row],[Sale Price]]</f>
        <v>11628</v>
      </c>
      <c r="J2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581.4</v>
      </c>
      <c r="K293" s="1">
        <f ca="1">financials[[#This Row],[Gross Sales]]-financials[[#This Row],[Discounts]]</f>
        <v>11046.6</v>
      </c>
      <c r="L293" s="1">
        <f ca="1">financials[[#This Row],[Units Sold]]*financials[[#This Row],[Manufacturing Price]]</f>
        <v>5814</v>
      </c>
      <c r="M293" s="1">
        <f ca="1">financials[[#This Row],[Sales]]-financials[[#This Row],[COGS]]</f>
        <v>5232.6000000000004</v>
      </c>
      <c r="N293" s="7">
        <f t="shared" ca="1" si="9"/>
        <v>45307</v>
      </c>
      <c r="O293" s="8">
        <f ca="1">MONTH(financials[[#This Row],[Date]])</f>
        <v>1</v>
      </c>
      <c r="P293" s="6" t="str">
        <f ca="1">TEXT(financials[[#This Row],[Date]],"MMM")</f>
        <v>Jan</v>
      </c>
      <c r="Q293">
        <f ca="1">YEAR(financials[[#This Row],[Date]])</f>
        <v>2024</v>
      </c>
      <c r="S293" s="10"/>
    </row>
    <row r="294" spans="1:19" x14ac:dyDescent="0.3">
      <c r="A294" t="s">
        <v>27</v>
      </c>
      <c r="B294" t="s">
        <v>22</v>
      </c>
      <c r="C294" s="6" t="s">
        <v>29</v>
      </c>
      <c r="D294" s="6" t="str">
        <f>CONCATENATE(financials[[#This Row],[Segment]],",",financials[[#This Row],[Country]],",",financials[[#This Row],[Product]])</f>
        <v>Small Business,France,Velo</v>
      </c>
      <c r="E294" s="6" t="s">
        <v>33</v>
      </c>
      <c r="F294">
        <f t="shared" ca="1" si="8"/>
        <v>768</v>
      </c>
      <c r="G294" s="1">
        <f ca="1">VLOOKUP(financials[[#This Row],[ID]],Prices!D:F,2,FALSE)</f>
        <v>17</v>
      </c>
      <c r="H294" s="1">
        <f ca="1">VLOOKUP(financials[[#This Row],[ID]],Prices!D:F,3,FALSE)</f>
        <v>22</v>
      </c>
      <c r="I294" s="1">
        <f ca="1">financials[[#This Row],[Units Sold]]*financials[[#This Row],[Sale Price]]</f>
        <v>16896</v>
      </c>
      <c r="J2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844.80000000000007</v>
      </c>
      <c r="K294" s="1">
        <f ca="1">financials[[#This Row],[Gross Sales]]-financials[[#This Row],[Discounts]]</f>
        <v>16051.2</v>
      </c>
      <c r="L294" s="1">
        <f ca="1">financials[[#This Row],[Units Sold]]*financials[[#This Row],[Manufacturing Price]]</f>
        <v>13056</v>
      </c>
      <c r="M294" s="1">
        <f ca="1">financials[[#This Row],[Sales]]-financials[[#This Row],[COGS]]</f>
        <v>2995.2000000000007</v>
      </c>
      <c r="N294" s="7">
        <f t="shared" ca="1" si="9"/>
        <v>45122</v>
      </c>
      <c r="O294" s="8">
        <f ca="1">MONTH(financials[[#This Row],[Date]])</f>
        <v>7</v>
      </c>
      <c r="P294" s="6" t="str">
        <f ca="1">TEXT(financials[[#This Row],[Date]],"MMM")</f>
        <v>Jul</v>
      </c>
      <c r="Q294">
        <f ca="1">YEAR(financials[[#This Row],[Date]])</f>
        <v>2023</v>
      </c>
      <c r="S294" s="10"/>
    </row>
    <row r="295" spans="1:19" x14ac:dyDescent="0.3">
      <c r="A295" t="s">
        <v>16</v>
      </c>
      <c r="B295" t="s">
        <v>22</v>
      </c>
      <c r="C295" s="6" t="s">
        <v>29</v>
      </c>
      <c r="D295" s="6" t="str">
        <f>CONCATENATE(financials[[#This Row],[Segment]],",",financials[[#This Row],[Country]],",",financials[[#This Row],[Product]])</f>
        <v>Government,France,Velo</v>
      </c>
      <c r="E295" s="6" t="s">
        <v>33</v>
      </c>
      <c r="F295">
        <f t="shared" ca="1" si="8"/>
        <v>611</v>
      </c>
      <c r="G295" s="1">
        <f ca="1">VLOOKUP(financials[[#This Row],[ID]],Prices!D:F,2,FALSE)</f>
        <v>20</v>
      </c>
      <c r="H295" s="1">
        <f ca="1">VLOOKUP(financials[[#This Row],[ID]],Prices!D:F,3,FALSE)</f>
        <v>36</v>
      </c>
      <c r="I295" s="1">
        <f ca="1">financials[[#This Row],[Units Sold]]*financials[[#This Row],[Sale Price]]</f>
        <v>21996</v>
      </c>
      <c r="J2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1099.8</v>
      </c>
      <c r="K295" s="1">
        <f ca="1">financials[[#This Row],[Gross Sales]]-financials[[#This Row],[Discounts]]</f>
        <v>20896.2</v>
      </c>
      <c r="L295" s="1">
        <f ca="1">financials[[#This Row],[Units Sold]]*financials[[#This Row],[Manufacturing Price]]</f>
        <v>12220</v>
      </c>
      <c r="M295" s="1">
        <f ca="1">financials[[#This Row],[Sales]]-financials[[#This Row],[COGS]]</f>
        <v>8676.2000000000007</v>
      </c>
      <c r="N295" s="7">
        <f t="shared" ca="1" si="9"/>
        <v>45120</v>
      </c>
      <c r="O295" s="8">
        <f ca="1">MONTH(financials[[#This Row],[Date]])</f>
        <v>7</v>
      </c>
      <c r="P295" s="6" t="str">
        <f ca="1">TEXT(financials[[#This Row],[Date]],"MMM")</f>
        <v>Jul</v>
      </c>
      <c r="Q295">
        <f ca="1">YEAR(financials[[#This Row],[Date]])</f>
        <v>2023</v>
      </c>
      <c r="S295" s="10"/>
    </row>
    <row r="296" spans="1:19" x14ac:dyDescent="0.3">
      <c r="A296" t="s">
        <v>21</v>
      </c>
      <c r="B296" t="s">
        <v>17</v>
      </c>
      <c r="C296" s="6" t="s">
        <v>30</v>
      </c>
      <c r="D296" s="6" t="str">
        <f>CONCATENATE(financials[[#This Row],[Segment]],",",financials[[#This Row],[Country]],",",financials[[#This Row],[Product]])</f>
        <v>Midmarket,Canada,VTT</v>
      </c>
      <c r="E296" s="6" t="s">
        <v>33</v>
      </c>
      <c r="F296">
        <f t="shared" ca="1" si="8"/>
        <v>597</v>
      </c>
      <c r="G296" s="1">
        <f ca="1">VLOOKUP(financials[[#This Row],[ID]],Prices!D:F,2,FALSE)</f>
        <v>13</v>
      </c>
      <c r="H296" s="1">
        <f ca="1">VLOOKUP(financials[[#This Row],[ID]],Prices!D:F,3,FALSE)</f>
        <v>36</v>
      </c>
      <c r="I296" s="1">
        <f ca="1">financials[[#This Row],[Units Sold]]*financials[[#This Row],[Sale Price]]</f>
        <v>21492</v>
      </c>
      <c r="J2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1074.6000000000001</v>
      </c>
      <c r="K296" s="1">
        <f ca="1">financials[[#This Row],[Gross Sales]]-financials[[#This Row],[Discounts]]</f>
        <v>20417.400000000001</v>
      </c>
      <c r="L296" s="1">
        <f ca="1">financials[[#This Row],[Units Sold]]*financials[[#This Row],[Manufacturing Price]]</f>
        <v>7761</v>
      </c>
      <c r="M296" s="1">
        <f ca="1">financials[[#This Row],[Sales]]-financials[[#This Row],[COGS]]</f>
        <v>12656.400000000001</v>
      </c>
      <c r="N296" s="7">
        <f t="shared" ca="1" si="9"/>
        <v>45062</v>
      </c>
      <c r="O296" s="8">
        <f ca="1">MONTH(financials[[#This Row],[Date]])</f>
        <v>5</v>
      </c>
      <c r="P296" s="6" t="str">
        <f ca="1">TEXT(financials[[#This Row],[Date]],"MMM")</f>
        <v>May</v>
      </c>
      <c r="Q296">
        <f ca="1">YEAR(financials[[#This Row],[Date]])</f>
        <v>2023</v>
      </c>
      <c r="S296" s="10"/>
    </row>
    <row r="297" spans="1:19" x14ac:dyDescent="0.3">
      <c r="A297" t="s">
        <v>16</v>
      </c>
      <c r="B297" t="s">
        <v>23</v>
      </c>
      <c r="C297" s="6" t="s">
        <v>30</v>
      </c>
      <c r="D297" s="6" t="str">
        <f>CONCATENATE(financials[[#This Row],[Segment]],",",financials[[#This Row],[Country]],",",financials[[#This Row],[Product]])</f>
        <v>Government,Mexico,VTT</v>
      </c>
      <c r="E297" s="6" t="s">
        <v>33</v>
      </c>
      <c r="F297">
        <f t="shared" ca="1" si="8"/>
        <v>431</v>
      </c>
      <c r="G297" s="1">
        <f ca="1">VLOOKUP(financials[[#This Row],[ID]],Prices!D:F,2,FALSE)</f>
        <v>18</v>
      </c>
      <c r="H297" s="1">
        <f ca="1">VLOOKUP(financials[[#This Row],[ID]],Prices!D:F,3,FALSE)</f>
        <v>20</v>
      </c>
      <c r="I297" s="1">
        <f ca="1">financials[[#This Row],[Units Sold]]*financials[[#This Row],[Sale Price]]</f>
        <v>8620</v>
      </c>
      <c r="J2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431</v>
      </c>
      <c r="K297" s="1">
        <f ca="1">financials[[#This Row],[Gross Sales]]-financials[[#This Row],[Discounts]]</f>
        <v>8189</v>
      </c>
      <c r="L297" s="1">
        <f ca="1">financials[[#This Row],[Units Sold]]*financials[[#This Row],[Manufacturing Price]]</f>
        <v>7758</v>
      </c>
      <c r="M297" s="1">
        <f ca="1">financials[[#This Row],[Sales]]-financials[[#This Row],[COGS]]</f>
        <v>431</v>
      </c>
      <c r="N297" s="7">
        <f t="shared" ca="1" si="9"/>
        <v>45657</v>
      </c>
      <c r="O297" s="8">
        <f ca="1">MONTH(financials[[#This Row],[Date]])</f>
        <v>12</v>
      </c>
      <c r="P297" s="6" t="str">
        <f ca="1">TEXT(financials[[#This Row],[Date]],"MMM")</f>
        <v>Dec</v>
      </c>
      <c r="Q297">
        <f ca="1">YEAR(financials[[#This Row],[Date]])</f>
        <v>2024</v>
      </c>
      <c r="S297" s="10"/>
    </row>
    <row r="298" spans="1:19" x14ac:dyDescent="0.3">
      <c r="A298" t="s">
        <v>27</v>
      </c>
      <c r="B298" t="s">
        <v>22</v>
      </c>
      <c r="C298" s="6" t="s">
        <v>30</v>
      </c>
      <c r="D298" s="6" t="str">
        <f>CONCATENATE(financials[[#This Row],[Segment]],",",financials[[#This Row],[Country]],",",financials[[#This Row],[Product]])</f>
        <v>Small Business,France,VTT</v>
      </c>
      <c r="E298" s="6" t="s">
        <v>33</v>
      </c>
      <c r="F298">
        <f t="shared" ca="1" si="8"/>
        <v>522</v>
      </c>
      <c r="G298" s="1">
        <f ca="1">VLOOKUP(financials[[#This Row],[ID]],Prices!D:F,2,FALSE)</f>
        <v>20</v>
      </c>
      <c r="H298" s="1">
        <f ca="1">VLOOKUP(financials[[#This Row],[ID]],Prices!D:F,3,FALSE)</f>
        <v>24</v>
      </c>
      <c r="I298" s="1">
        <f ca="1">financials[[#This Row],[Units Sold]]*financials[[#This Row],[Sale Price]]</f>
        <v>12528</v>
      </c>
      <c r="J2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626.40000000000009</v>
      </c>
      <c r="K298" s="1">
        <f ca="1">financials[[#This Row],[Gross Sales]]-financials[[#This Row],[Discounts]]</f>
        <v>11901.6</v>
      </c>
      <c r="L298" s="1">
        <f ca="1">financials[[#This Row],[Units Sold]]*financials[[#This Row],[Manufacturing Price]]</f>
        <v>10440</v>
      </c>
      <c r="M298" s="1">
        <f ca="1">financials[[#This Row],[Sales]]-financials[[#This Row],[COGS]]</f>
        <v>1461.6000000000004</v>
      </c>
      <c r="N298" s="7">
        <f t="shared" ca="1" si="9"/>
        <v>45576</v>
      </c>
      <c r="O298" s="8">
        <f ca="1">MONTH(financials[[#This Row],[Date]])</f>
        <v>10</v>
      </c>
      <c r="P298" s="6" t="str">
        <f ca="1">TEXT(financials[[#This Row],[Date]],"MMM")</f>
        <v>Oct</v>
      </c>
      <c r="Q298">
        <f ca="1">YEAR(financials[[#This Row],[Date]])</f>
        <v>2024</v>
      </c>
      <c r="S298" s="10"/>
    </row>
    <row r="299" spans="1:19" x14ac:dyDescent="0.3">
      <c r="A299" t="s">
        <v>16</v>
      </c>
      <c r="B299" t="s">
        <v>23</v>
      </c>
      <c r="C299" s="6" t="s">
        <v>30</v>
      </c>
      <c r="D299" s="6" t="str">
        <f>CONCATENATE(financials[[#This Row],[Segment]],",",financials[[#This Row],[Country]],",",financials[[#This Row],[Product]])</f>
        <v>Government,Mexico,VTT</v>
      </c>
      <c r="E299" s="6" t="s">
        <v>33</v>
      </c>
      <c r="F299">
        <f t="shared" ca="1" si="8"/>
        <v>395</v>
      </c>
      <c r="G299" s="1">
        <f ca="1">VLOOKUP(financials[[#This Row],[ID]],Prices!D:F,2,FALSE)</f>
        <v>18</v>
      </c>
      <c r="H299" s="1">
        <f ca="1">VLOOKUP(financials[[#This Row],[ID]],Prices!D:F,3,FALSE)</f>
        <v>20</v>
      </c>
      <c r="I299" s="1">
        <f ca="1">financials[[#This Row],[Units Sold]]*financials[[#This Row],[Sale Price]]</f>
        <v>7900</v>
      </c>
      <c r="J2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395</v>
      </c>
      <c r="K299" s="1">
        <f ca="1">financials[[#This Row],[Gross Sales]]-financials[[#This Row],[Discounts]]</f>
        <v>7505</v>
      </c>
      <c r="L299" s="1">
        <f ca="1">financials[[#This Row],[Units Sold]]*financials[[#This Row],[Manufacturing Price]]</f>
        <v>7110</v>
      </c>
      <c r="M299" s="1">
        <f ca="1">financials[[#This Row],[Sales]]-financials[[#This Row],[COGS]]</f>
        <v>395</v>
      </c>
      <c r="N299" s="7">
        <f t="shared" ca="1" si="9"/>
        <v>45582</v>
      </c>
      <c r="O299" s="8">
        <f ca="1">MONTH(financials[[#This Row],[Date]])</f>
        <v>10</v>
      </c>
      <c r="P299" s="6" t="str">
        <f ca="1">TEXT(financials[[#This Row],[Date]],"MMM")</f>
        <v>Oct</v>
      </c>
      <c r="Q299">
        <f ca="1">YEAR(financials[[#This Row],[Date]])</f>
        <v>2024</v>
      </c>
      <c r="S299" s="10"/>
    </row>
    <row r="300" spans="1:19" x14ac:dyDescent="0.3">
      <c r="A300" t="s">
        <v>27</v>
      </c>
      <c r="B300" t="s">
        <v>17</v>
      </c>
      <c r="C300" s="6" t="s">
        <v>30</v>
      </c>
      <c r="D300" s="6" t="str">
        <f>CONCATENATE(financials[[#This Row],[Segment]],",",financials[[#This Row],[Country]],",",financials[[#This Row],[Product]])</f>
        <v>Small Business,Canada,VTT</v>
      </c>
      <c r="E300" s="6" t="s">
        <v>33</v>
      </c>
      <c r="F300">
        <f t="shared" ca="1" si="8"/>
        <v>472</v>
      </c>
      <c r="G300" s="1">
        <f ca="1">VLOOKUP(financials[[#This Row],[ID]],Prices!D:F,2,FALSE)</f>
        <v>10</v>
      </c>
      <c r="H300" s="1">
        <f ca="1">VLOOKUP(financials[[#This Row],[ID]],Prices!D:F,3,FALSE)</f>
        <v>21</v>
      </c>
      <c r="I300" s="1">
        <f ca="1">financials[[#This Row],[Units Sold]]*financials[[#This Row],[Sale Price]]</f>
        <v>9912</v>
      </c>
      <c r="J3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495.6</v>
      </c>
      <c r="K300" s="1">
        <f ca="1">financials[[#This Row],[Gross Sales]]-financials[[#This Row],[Discounts]]</f>
        <v>9416.4</v>
      </c>
      <c r="L300" s="1">
        <f ca="1">financials[[#This Row],[Units Sold]]*financials[[#This Row],[Manufacturing Price]]</f>
        <v>4720</v>
      </c>
      <c r="M300" s="1">
        <f ca="1">financials[[#This Row],[Sales]]-financials[[#This Row],[COGS]]</f>
        <v>4696.3999999999996</v>
      </c>
      <c r="N300" s="7">
        <f t="shared" ca="1" si="9"/>
        <v>45288</v>
      </c>
      <c r="O300" s="8">
        <f ca="1">MONTH(financials[[#This Row],[Date]])</f>
        <v>12</v>
      </c>
      <c r="P300" s="6" t="str">
        <f ca="1">TEXT(financials[[#This Row],[Date]],"MMM")</f>
        <v>Dec</v>
      </c>
      <c r="Q300">
        <f ca="1">YEAR(financials[[#This Row],[Date]])</f>
        <v>2023</v>
      </c>
      <c r="S300" s="10"/>
    </row>
    <row r="301" spans="1:19" x14ac:dyDescent="0.3">
      <c r="A301" t="s">
        <v>26</v>
      </c>
      <c r="B301" t="s">
        <v>22</v>
      </c>
      <c r="C301" s="6" t="s">
        <v>31</v>
      </c>
      <c r="D301" s="6" t="str">
        <f>CONCATENATE(financials[[#This Row],[Segment]],",",financials[[#This Row],[Country]],",",financials[[#This Row],[Product]])</f>
        <v>Enterprise,France,Amarilla</v>
      </c>
      <c r="E301" s="6" t="s">
        <v>33</v>
      </c>
      <c r="F301">
        <f t="shared" ca="1" si="8"/>
        <v>133</v>
      </c>
      <c r="G301" s="1">
        <f ca="1">VLOOKUP(financials[[#This Row],[ID]],Prices!D:F,2,FALSE)</f>
        <v>12</v>
      </c>
      <c r="H301" s="1">
        <f ca="1">VLOOKUP(financials[[#This Row],[ID]],Prices!D:F,3,FALSE)</f>
        <v>34</v>
      </c>
      <c r="I301" s="1">
        <f ca="1">financials[[#This Row],[Units Sold]]*financials[[#This Row],[Sale Price]]</f>
        <v>4522</v>
      </c>
      <c r="J3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226.10000000000002</v>
      </c>
      <c r="K301" s="1">
        <f ca="1">financials[[#This Row],[Gross Sales]]-financials[[#This Row],[Discounts]]</f>
        <v>4295.8999999999996</v>
      </c>
      <c r="L301" s="1">
        <f ca="1">financials[[#This Row],[Units Sold]]*financials[[#This Row],[Manufacturing Price]]</f>
        <v>1596</v>
      </c>
      <c r="M301" s="1">
        <f ca="1">financials[[#This Row],[Sales]]-financials[[#This Row],[COGS]]</f>
        <v>2699.8999999999996</v>
      </c>
      <c r="N301" s="7">
        <f t="shared" ca="1" si="9"/>
        <v>45500</v>
      </c>
      <c r="O301" s="8">
        <f ca="1">MONTH(financials[[#This Row],[Date]])</f>
        <v>7</v>
      </c>
      <c r="P301" s="6" t="str">
        <f ca="1">TEXT(financials[[#This Row],[Date]],"MMM")</f>
        <v>Jul</v>
      </c>
      <c r="Q301">
        <f ca="1">YEAR(financials[[#This Row],[Date]])</f>
        <v>2024</v>
      </c>
      <c r="S301" s="10"/>
    </row>
    <row r="302" spans="1:19" x14ac:dyDescent="0.3">
      <c r="A302" t="s">
        <v>16</v>
      </c>
      <c r="B302" t="s">
        <v>23</v>
      </c>
      <c r="C302" s="6" t="s">
        <v>31</v>
      </c>
      <c r="D302" s="6" t="str">
        <f>CONCATENATE(financials[[#This Row],[Segment]],",",financials[[#This Row],[Country]],",",financials[[#This Row],[Product]])</f>
        <v>Government,Mexico,Amarilla</v>
      </c>
      <c r="E302" s="6" t="s">
        <v>33</v>
      </c>
      <c r="F302">
        <f t="shared" ca="1" si="8"/>
        <v>302</v>
      </c>
      <c r="G302" s="1">
        <f ca="1">VLOOKUP(financials[[#This Row],[ID]],Prices!D:F,2,FALSE)</f>
        <v>15</v>
      </c>
      <c r="H302" s="1">
        <f ca="1">VLOOKUP(financials[[#This Row],[ID]],Prices!D:F,3,FALSE)</f>
        <v>32</v>
      </c>
      <c r="I302" s="1">
        <f ca="1">financials[[#This Row],[Units Sold]]*financials[[#This Row],[Sale Price]]</f>
        <v>9664</v>
      </c>
      <c r="J3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483.20000000000005</v>
      </c>
      <c r="K302" s="1">
        <f ca="1">financials[[#This Row],[Gross Sales]]-financials[[#This Row],[Discounts]]</f>
        <v>9180.7999999999993</v>
      </c>
      <c r="L302" s="1">
        <f ca="1">financials[[#This Row],[Units Sold]]*financials[[#This Row],[Manufacturing Price]]</f>
        <v>4530</v>
      </c>
      <c r="M302" s="1">
        <f ca="1">financials[[#This Row],[Sales]]-financials[[#This Row],[COGS]]</f>
        <v>4650.7999999999993</v>
      </c>
      <c r="N302" s="7">
        <f t="shared" ca="1" si="9"/>
        <v>45575</v>
      </c>
      <c r="O302" s="8">
        <f ca="1">MONTH(financials[[#This Row],[Date]])</f>
        <v>10</v>
      </c>
      <c r="P302" s="6" t="str">
        <f ca="1">TEXT(financials[[#This Row],[Date]],"MMM")</f>
        <v>Oct</v>
      </c>
      <c r="Q302">
        <f ca="1">YEAR(financials[[#This Row],[Date]])</f>
        <v>2024</v>
      </c>
      <c r="S302" s="10"/>
    </row>
    <row r="303" spans="1:19" x14ac:dyDescent="0.3">
      <c r="A303" t="s">
        <v>16</v>
      </c>
      <c r="B303" t="s">
        <v>36</v>
      </c>
      <c r="C303" s="6" t="s">
        <v>31</v>
      </c>
      <c r="D303" s="6" t="str">
        <f>CONCATENATE(financials[[#This Row],[Segment]],",",financials[[#This Row],[Country]],",",financials[[#This Row],[Product]])</f>
        <v>Government,USA,Amarilla</v>
      </c>
      <c r="E303" s="6" t="s">
        <v>33</v>
      </c>
      <c r="F303">
        <f t="shared" ca="1" si="8"/>
        <v>549</v>
      </c>
      <c r="G303" s="1">
        <f ca="1">VLOOKUP(financials[[#This Row],[ID]],Prices!D:F,2,FALSE)</f>
        <v>20</v>
      </c>
      <c r="H303" s="1">
        <f ca="1">VLOOKUP(financials[[#This Row],[ID]],Prices!D:F,3,FALSE)</f>
        <v>37</v>
      </c>
      <c r="I303" s="1">
        <f ca="1">financials[[#This Row],[Units Sold]]*financials[[#This Row],[Sale Price]]</f>
        <v>20313</v>
      </c>
      <c r="J3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1015.6500000000001</v>
      </c>
      <c r="K303" s="1">
        <f ca="1">financials[[#This Row],[Gross Sales]]-financials[[#This Row],[Discounts]]</f>
        <v>19297.349999999999</v>
      </c>
      <c r="L303" s="1">
        <f ca="1">financials[[#This Row],[Units Sold]]*financials[[#This Row],[Manufacturing Price]]</f>
        <v>10980</v>
      </c>
      <c r="M303" s="1">
        <f ca="1">financials[[#This Row],[Sales]]-financials[[#This Row],[COGS]]</f>
        <v>8317.3499999999985</v>
      </c>
      <c r="N303" s="7">
        <f t="shared" ca="1" si="9"/>
        <v>45160</v>
      </c>
      <c r="O303" s="8">
        <f ca="1">MONTH(financials[[#This Row],[Date]])</f>
        <v>8</v>
      </c>
      <c r="P303" s="6" t="str">
        <f ca="1">TEXT(financials[[#This Row],[Date]],"MMM")</f>
        <v>Aug</v>
      </c>
      <c r="Q303">
        <f ca="1">YEAR(financials[[#This Row],[Date]])</f>
        <v>2023</v>
      </c>
      <c r="S303" s="10"/>
    </row>
    <row r="304" spans="1:19" x14ac:dyDescent="0.3">
      <c r="A304" t="s">
        <v>16</v>
      </c>
      <c r="B304" t="s">
        <v>22</v>
      </c>
      <c r="C304" s="6" t="s">
        <v>31</v>
      </c>
      <c r="D304" s="6" t="str">
        <f>CONCATENATE(financials[[#This Row],[Segment]],",",financials[[#This Row],[Country]],",",financials[[#This Row],[Product]])</f>
        <v>Government,France,Amarilla</v>
      </c>
      <c r="E304" s="6" t="s">
        <v>33</v>
      </c>
      <c r="F304">
        <f t="shared" ca="1" si="8"/>
        <v>811</v>
      </c>
      <c r="G304" s="1">
        <f ca="1">VLOOKUP(financials[[#This Row],[ID]],Prices!D:F,2,FALSE)</f>
        <v>10</v>
      </c>
      <c r="H304" s="1">
        <f ca="1">VLOOKUP(financials[[#This Row],[ID]],Prices!D:F,3,FALSE)</f>
        <v>25</v>
      </c>
      <c r="I304" s="1">
        <f ca="1">financials[[#This Row],[Units Sold]]*financials[[#This Row],[Sale Price]]</f>
        <v>20275</v>
      </c>
      <c r="J3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1013.75</v>
      </c>
      <c r="K304" s="1">
        <f ca="1">financials[[#This Row],[Gross Sales]]-financials[[#This Row],[Discounts]]</f>
        <v>19261.25</v>
      </c>
      <c r="L304" s="1">
        <f ca="1">financials[[#This Row],[Units Sold]]*financials[[#This Row],[Manufacturing Price]]</f>
        <v>8110</v>
      </c>
      <c r="M304" s="1">
        <f ca="1">financials[[#This Row],[Sales]]-financials[[#This Row],[COGS]]</f>
        <v>11151.25</v>
      </c>
      <c r="N304" s="7">
        <f t="shared" ca="1" si="9"/>
        <v>45548</v>
      </c>
      <c r="O304" s="8">
        <f ca="1">MONTH(financials[[#This Row],[Date]])</f>
        <v>9</v>
      </c>
      <c r="P304" s="6" t="str">
        <f ca="1">TEXT(financials[[#This Row],[Date]],"MMM")</f>
        <v>Sep</v>
      </c>
      <c r="Q304">
        <f ca="1">YEAR(financials[[#This Row],[Date]])</f>
        <v>2024</v>
      </c>
      <c r="S304" s="10"/>
    </row>
    <row r="305" spans="1:19" x14ac:dyDescent="0.3">
      <c r="A305" t="s">
        <v>16</v>
      </c>
      <c r="B305" t="s">
        <v>22</v>
      </c>
      <c r="C305" s="6" t="s">
        <v>31</v>
      </c>
      <c r="D305" s="6" t="str">
        <f>CONCATENATE(financials[[#This Row],[Segment]],",",financials[[#This Row],[Country]],",",financials[[#This Row],[Product]])</f>
        <v>Government,France,Amarilla</v>
      </c>
      <c r="E305" s="6" t="s">
        <v>33</v>
      </c>
      <c r="F305">
        <f t="shared" ca="1" si="8"/>
        <v>702</v>
      </c>
      <c r="G305" s="1">
        <f ca="1">VLOOKUP(financials[[#This Row],[ID]],Prices!D:F,2,FALSE)</f>
        <v>10</v>
      </c>
      <c r="H305" s="1">
        <f ca="1">VLOOKUP(financials[[#This Row],[ID]],Prices!D:F,3,FALSE)</f>
        <v>25</v>
      </c>
      <c r="I305" s="1">
        <f ca="1">financials[[#This Row],[Units Sold]]*financials[[#This Row],[Sale Price]]</f>
        <v>17550</v>
      </c>
      <c r="J3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877.5</v>
      </c>
      <c r="K305" s="1">
        <f ca="1">financials[[#This Row],[Gross Sales]]-financials[[#This Row],[Discounts]]</f>
        <v>16672.5</v>
      </c>
      <c r="L305" s="1">
        <f ca="1">financials[[#This Row],[Units Sold]]*financials[[#This Row],[Manufacturing Price]]</f>
        <v>7020</v>
      </c>
      <c r="M305" s="1">
        <f ca="1">financials[[#This Row],[Sales]]-financials[[#This Row],[COGS]]</f>
        <v>9652.5</v>
      </c>
      <c r="N305" s="7">
        <f t="shared" ca="1" si="9"/>
        <v>45354</v>
      </c>
      <c r="O305" s="8">
        <f ca="1">MONTH(financials[[#This Row],[Date]])</f>
        <v>3</v>
      </c>
      <c r="P305" s="6" t="str">
        <f ca="1">TEXT(financials[[#This Row],[Date]],"MMM")</f>
        <v>Mar</v>
      </c>
      <c r="Q305">
        <f ca="1">YEAR(financials[[#This Row],[Date]])</f>
        <v>2024</v>
      </c>
      <c r="S305" s="10"/>
    </row>
    <row r="306" spans="1:19" x14ac:dyDescent="0.3">
      <c r="A306" t="s">
        <v>16</v>
      </c>
      <c r="B306" t="s">
        <v>22</v>
      </c>
      <c r="C306" s="6" t="s">
        <v>24</v>
      </c>
      <c r="D306" s="6" t="str">
        <f>CONCATENATE(financials[[#This Row],[Segment]],",",financials[[#This Row],[Country]],",",financials[[#This Row],[Product]])</f>
        <v>Government,France,Montana</v>
      </c>
      <c r="E306" s="6" t="s">
        <v>33</v>
      </c>
      <c r="F306">
        <f t="shared" ca="1" si="8"/>
        <v>16</v>
      </c>
      <c r="G306" s="1">
        <f ca="1">VLOOKUP(financials[[#This Row],[ID]],Prices!D:F,2,FALSE)</f>
        <v>19</v>
      </c>
      <c r="H306" s="1">
        <f ca="1">VLOOKUP(financials[[#This Row],[ID]],Prices!D:F,3,FALSE)</f>
        <v>22</v>
      </c>
      <c r="I306" s="1">
        <f ca="1">financials[[#This Row],[Units Sold]]*financials[[#This Row],[Sale Price]]</f>
        <v>352</v>
      </c>
      <c r="J3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3.52</v>
      </c>
      <c r="K306" s="1">
        <f ca="1">financials[[#This Row],[Gross Sales]]-financials[[#This Row],[Discounts]]</f>
        <v>348.48</v>
      </c>
      <c r="L306" s="1">
        <f ca="1">financials[[#This Row],[Units Sold]]*financials[[#This Row],[Manufacturing Price]]</f>
        <v>304</v>
      </c>
      <c r="M306" s="1">
        <f ca="1">financials[[#This Row],[Sales]]-financials[[#This Row],[COGS]]</f>
        <v>44.480000000000018</v>
      </c>
      <c r="N306" s="7">
        <f t="shared" ca="1" si="9"/>
        <v>45033</v>
      </c>
      <c r="O306" s="8">
        <f ca="1">MONTH(financials[[#This Row],[Date]])</f>
        <v>4</v>
      </c>
      <c r="P306" s="6" t="str">
        <f ca="1">TEXT(financials[[#This Row],[Date]],"MMM")</f>
        <v>Apr</v>
      </c>
      <c r="Q306">
        <f ca="1">YEAR(financials[[#This Row],[Date]])</f>
        <v>2023</v>
      </c>
      <c r="S306" s="10"/>
    </row>
    <row r="307" spans="1:19" x14ac:dyDescent="0.3">
      <c r="A307" t="s">
        <v>21</v>
      </c>
      <c r="B307" t="s">
        <v>36</v>
      </c>
      <c r="C307" s="6" t="s">
        <v>28</v>
      </c>
      <c r="D307" s="6" t="str">
        <f>CONCATENATE(financials[[#This Row],[Segment]],",",financials[[#This Row],[Country]],",",financials[[#This Row],[Product]])</f>
        <v>Midmarket,USA,Paseo</v>
      </c>
      <c r="E307" s="6" t="s">
        <v>33</v>
      </c>
      <c r="F307">
        <f t="shared" ca="1" si="8"/>
        <v>971</v>
      </c>
      <c r="G307" s="1">
        <f ca="1">VLOOKUP(financials[[#This Row],[ID]],Prices!D:F,2,FALSE)</f>
        <v>13</v>
      </c>
      <c r="H307" s="1">
        <f ca="1">VLOOKUP(financials[[#This Row],[ID]],Prices!D:F,3,FALSE)</f>
        <v>25</v>
      </c>
      <c r="I307" s="1">
        <f ca="1">financials[[#This Row],[Units Sold]]*financials[[#This Row],[Sale Price]]</f>
        <v>24275</v>
      </c>
      <c r="J3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1213.75</v>
      </c>
      <c r="K307" s="1">
        <f ca="1">financials[[#This Row],[Gross Sales]]-financials[[#This Row],[Discounts]]</f>
        <v>23061.25</v>
      </c>
      <c r="L307" s="1">
        <f ca="1">financials[[#This Row],[Units Sold]]*financials[[#This Row],[Manufacturing Price]]</f>
        <v>12623</v>
      </c>
      <c r="M307" s="1">
        <f ca="1">financials[[#This Row],[Sales]]-financials[[#This Row],[COGS]]</f>
        <v>10438.25</v>
      </c>
      <c r="N307" s="7">
        <f t="shared" ca="1" si="9"/>
        <v>45266</v>
      </c>
      <c r="O307" s="8">
        <f ca="1">MONTH(financials[[#This Row],[Date]])</f>
        <v>12</v>
      </c>
      <c r="P307" s="6" t="str">
        <f ca="1">TEXT(financials[[#This Row],[Date]],"MMM")</f>
        <v>Dec</v>
      </c>
      <c r="Q307">
        <f ca="1">YEAR(financials[[#This Row],[Date]])</f>
        <v>2023</v>
      </c>
      <c r="S307" s="10"/>
    </row>
    <row r="308" spans="1:19" x14ac:dyDescent="0.3">
      <c r="A308" t="s">
        <v>21</v>
      </c>
      <c r="B308" t="s">
        <v>20</v>
      </c>
      <c r="C308" s="6" t="s">
        <v>28</v>
      </c>
      <c r="D308" s="6" t="str">
        <f>CONCATENATE(financials[[#This Row],[Segment]],",",financials[[#This Row],[Country]],",",financials[[#This Row],[Product]])</f>
        <v>Midmarket,Germany,Paseo</v>
      </c>
      <c r="E308" s="6" t="s">
        <v>33</v>
      </c>
      <c r="F308">
        <f t="shared" ca="1" si="8"/>
        <v>374</v>
      </c>
      <c r="G308" s="1">
        <f ca="1">VLOOKUP(financials[[#This Row],[ID]],Prices!D:F,2,FALSE)</f>
        <v>19</v>
      </c>
      <c r="H308" s="1">
        <f ca="1">VLOOKUP(financials[[#This Row],[ID]],Prices!D:F,3,FALSE)</f>
        <v>25</v>
      </c>
      <c r="I308" s="1">
        <f ca="1">financials[[#This Row],[Units Sold]]*financials[[#This Row],[Sale Price]]</f>
        <v>9350</v>
      </c>
      <c r="J3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467.5</v>
      </c>
      <c r="K308" s="1">
        <f ca="1">financials[[#This Row],[Gross Sales]]-financials[[#This Row],[Discounts]]</f>
        <v>8882.5</v>
      </c>
      <c r="L308" s="1">
        <f ca="1">financials[[#This Row],[Units Sold]]*financials[[#This Row],[Manufacturing Price]]</f>
        <v>7106</v>
      </c>
      <c r="M308" s="1">
        <f ca="1">financials[[#This Row],[Sales]]-financials[[#This Row],[COGS]]</f>
        <v>1776.5</v>
      </c>
      <c r="N308" s="7">
        <f t="shared" ca="1" si="9"/>
        <v>45732</v>
      </c>
      <c r="O308" s="8">
        <f ca="1">MONTH(financials[[#This Row],[Date]])</f>
        <v>3</v>
      </c>
      <c r="P308" s="6" t="str">
        <f ca="1">TEXT(financials[[#This Row],[Date]],"MMM")</f>
        <v>Mar</v>
      </c>
      <c r="Q308">
        <f ca="1">YEAR(financials[[#This Row],[Date]])</f>
        <v>2025</v>
      </c>
      <c r="S308" s="10"/>
    </row>
    <row r="309" spans="1:19" x14ac:dyDescent="0.3">
      <c r="A309" t="s">
        <v>21</v>
      </c>
      <c r="B309" t="s">
        <v>36</v>
      </c>
      <c r="C309" s="6" t="s">
        <v>28</v>
      </c>
      <c r="D309" s="6" t="str">
        <f>CONCATENATE(financials[[#This Row],[Segment]],",",financials[[#This Row],[Country]],",",financials[[#This Row],[Product]])</f>
        <v>Midmarket,USA,Paseo</v>
      </c>
      <c r="E309" s="6" t="s">
        <v>33</v>
      </c>
      <c r="F309">
        <f t="shared" ca="1" si="8"/>
        <v>258</v>
      </c>
      <c r="G309" s="1">
        <f ca="1">VLOOKUP(financials[[#This Row],[ID]],Prices!D:F,2,FALSE)</f>
        <v>13</v>
      </c>
      <c r="H309" s="1">
        <f ca="1">VLOOKUP(financials[[#This Row],[ID]],Prices!D:F,3,FALSE)</f>
        <v>25</v>
      </c>
      <c r="I309" s="1">
        <f ca="1">financials[[#This Row],[Units Sold]]*financials[[#This Row],[Sale Price]]</f>
        <v>6450</v>
      </c>
      <c r="J3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322.5</v>
      </c>
      <c r="K309" s="1">
        <f ca="1">financials[[#This Row],[Gross Sales]]-financials[[#This Row],[Discounts]]</f>
        <v>6127.5</v>
      </c>
      <c r="L309" s="1">
        <f ca="1">financials[[#This Row],[Units Sold]]*financials[[#This Row],[Manufacturing Price]]</f>
        <v>3354</v>
      </c>
      <c r="M309" s="1">
        <f ca="1">financials[[#This Row],[Sales]]-financials[[#This Row],[COGS]]</f>
        <v>2773.5</v>
      </c>
      <c r="N309" s="7">
        <f t="shared" ca="1" si="9"/>
        <v>45301</v>
      </c>
      <c r="O309" s="8">
        <f ca="1">MONTH(financials[[#This Row],[Date]])</f>
        <v>1</v>
      </c>
      <c r="P309" s="6" t="str">
        <f ca="1">TEXT(financials[[#This Row],[Date]],"MMM")</f>
        <v>Jan</v>
      </c>
      <c r="Q309">
        <f ca="1">YEAR(financials[[#This Row],[Date]])</f>
        <v>2024</v>
      </c>
      <c r="S309" s="10"/>
    </row>
    <row r="310" spans="1:19" x14ac:dyDescent="0.3">
      <c r="A310" t="s">
        <v>16</v>
      </c>
      <c r="B310" t="s">
        <v>22</v>
      </c>
      <c r="C310" s="6" t="s">
        <v>28</v>
      </c>
      <c r="D310" s="6" t="str">
        <f>CONCATENATE(financials[[#This Row],[Segment]],",",financials[[#This Row],[Country]],",",financials[[#This Row],[Product]])</f>
        <v>Government,France,Paseo</v>
      </c>
      <c r="E310" s="6" t="s">
        <v>33</v>
      </c>
      <c r="F310">
        <f t="shared" ca="1" si="8"/>
        <v>322</v>
      </c>
      <c r="G310" s="1">
        <f ca="1">VLOOKUP(financials[[#This Row],[ID]],Prices!D:F,2,FALSE)</f>
        <v>14</v>
      </c>
      <c r="H310" s="1">
        <f ca="1">VLOOKUP(financials[[#This Row],[ID]],Prices!D:F,3,FALSE)</f>
        <v>18</v>
      </c>
      <c r="I310" s="1">
        <f ca="1">financials[[#This Row],[Units Sold]]*financials[[#This Row],[Sale Price]]</f>
        <v>5796</v>
      </c>
      <c r="J3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289.8</v>
      </c>
      <c r="K310" s="1">
        <f ca="1">financials[[#This Row],[Gross Sales]]-financials[[#This Row],[Discounts]]</f>
        <v>5506.2</v>
      </c>
      <c r="L310" s="1">
        <f ca="1">financials[[#This Row],[Units Sold]]*financials[[#This Row],[Manufacturing Price]]</f>
        <v>4508</v>
      </c>
      <c r="M310" s="1">
        <f ca="1">financials[[#This Row],[Sales]]-financials[[#This Row],[COGS]]</f>
        <v>998.19999999999982</v>
      </c>
      <c r="N310" s="7">
        <f t="shared" ca="1" si="9"/>
        <v>45299</v>
      </c>
      <c r="O310" s="8">
        <f ca="1">MONTH(financials[[#This Row],[Date]])</f>
        <v>1</v>
      </c>
      <c r="P310" s="6" t="str">
        <f ca="1">TEXT(financials[[#This Row],[Date]],"MMM")</f>
        <v>Jan</v>
      </c>
      <c r="Q310">
        <f ca="1">YEAR(financials[[#This Row],[Date]])</f>
        <v>2024</v>
      </c>
      <c r="S310" s="10"/>
    </row>
    <row r="311" spans="1:19" x14ac:dyDescent="0.3">
      <c r="A311" t="s">
        <v>16</v>
      </c>
      <c r="B311" t="s">
        <v>20</v>
      </c>
      <c r="C311" s="6" t="s">
        <v>29</v>
      </c>
      <c r="D311" s="6" t="str">
        <f>CONCATENATE(financials[[#This Row],[Segment]],",",financials[[#This Row],[Country]],",",financials[[#This Row],[Product]])</f>
        <v>Government,Germany,Velo</v>
      </c>
      <c r="E311" s="6" t="s">
        <v>33</v>
      </c>
      <c r="F311">
        <f t="shared" ca="1" si="8"/>
        <v>157</v>
      </c>
      <c r="G311" s="1">
        <f ca="1">VLOOKUP(financials[[#This Row],[ID]],Prices!D:F,2,FALSE)</f>
        <v>13</v>
      </c>
      <c r="H311" s="1">
        <f ca="1">VLOOKUP(financials[[#This Row],[ID]],Prices!D:F,3,FALSE)</f>
        <v>19</v>
      </c>
      <c r="I311" s="1">
        <f ca="1">financials[[#This Row],[Units Sold]]*financials[[#This Row],[Sale Price]]</f>
        <v>2983</v>
      </c>
      <c r="J3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149.15</v>
      </c>
      <c r="K311" s="1">
        <f ca="1">financials[[#This Row],[Gross Sales]]-financials[[#This Row],[Discounts]]</f>
        <v>2833.85</v>
      </c>
      <c r="L311" s="1">
        <f ca="1">financials[[#This Row],[Units Sold]]*financials[[#This Row],[Manufacturing Price]]</f>
        <v>2041</v>
      </c>
      <c r="M311" s="1">
        <f ca="1">financials[[#This Row],[Sales]]-financials[[#This Row],[COGS]]</f>
        <v>792.84999999999991</v>
      </c>
      <c r="N311" s="7">
        <f t="shared" ca="1" si="9"/>
        <v>45103</v>
      </c>
      <c r="O311" s="8">
        <f ca="1">MONTH(financials[[#This Row],[Date]])</f>
        <v>6</v>
      </c>
      <c r="P311" s="6" t="str">
        <f ca="1">TEXT(financials[[#This Row],[Date]],"MMM")</f>
        <v>Jun</v>
      </c>
      <c r="Q311">
        <f ca="1">YEAR(financials[[#This Row],[Date]])</f>
        <v>2023</v>
      </c>
      <c r="S311" s="10"/>
    </row>
    <row r="312" spans="1:19" x14ac:dyDescent="0.3">
      <c r="A312" t="s">
        <v>16</v>
      </c>
      <c r="B312" t="s">
        <v>23</v>
      </c>
      <c r="C312" s="6" t="s">
        <v>29</v>
      </c>
      <c r="D312" s="6" t="str">
        <f>CONCATENATE(financials[[#This Row],[Segment]],",",financials[[#This Row],[Country]],",",financials[[#This Row],[Product]])</f>
        <v>Government,Mexico,Velo</v>
      </c>
      <c r="E312" s="6" t="s">
        <v>33</v>
      </c>
      <c r="F312">
        <f t="shared" ca="1" si="8"/>
        <v>631</v>
      </c>
      <c r="G312" s="1">
        <f ca="1">VLOOKUP(financials[[#This Row],[ID]],Prices!D:F,2,FALSE)</f>
        <v>18</v>
      </c>
      <c r="H312" s="1">
        <f ca="1">VLOOKUP(financials[[#This Row],[ID]],Prices!D:F,3,FALSE)</f>
        <v>36</v>
      </c>
      <c r="I312" s="1">
        <f ca="1">financials[[#This Row],[Units Sold]]*financials[[#This Row],[Sale Price]]</f>
        <v>22716</v>
      </c>
      <c r="J3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1135.8</v>
      </c>
      <c r="K312" s="1">
        <f ca="1">financials[[#This Row],[Gross Sales]]-financials[[#This Row],[Discounts]]</f>
        <v>21580.2</v>
      </c>
      <c r="L312" s="1">
        <f ca="1">financials[[#This Row],[Units Sold]]*financials[[#This Row],[Manufacturing Price]]</f>
        <v>11358</v>
      </c>
      <c r="M312" s="1">
        <f ca="1">financials[[#This Row],[Sales]]-financials[[#This Row],[COGS]]</f>
        <v>10222.200000000001</v>
      </c>
      <c r="N312" s="7">
        <f t="shared" ca="1" si="9"/>
        <v>45713</v>
      </c>
      <c r="O312" s="8">
        <f ca="1">MONTH(financials[[#This Row],[Date]])</f>
        <v>2</v>
      </c>
      <c r="P312" s="6" t="str">
        <f ca="1">TEXT(financials[[#This Row],[Date]],"MMM")</f>
        <v>Feb</v>
      </c>
      <c r="Q312">
        <f ca="1">YEAR(financials[[#This Row],[Date]])</f>
        <v>2025</v>
      </c>
      <c r="S312" s="10"/>
    </row>
    <row r="313" spans="1:19" x14ac:dyDescent="0.3">
      <c r="A313" t="s">
        <v>21</v>
      </c>
      <c r="B313" t="s">
        <v>36</v>
      </c>
      <c r="C313" s="6" t="s">
        <v>30</v>
      </c>
      <c r="D313" s="6" t="str">
        <f>CONCATENATE(financials[[#This Row],[Segment]],",",financials[[#This Row],[Country]],",",financials[[#This Row],[Product]])</f>
        <v>Midmarket,USA,VTT</v>
      </c>
      <c r="E313" s="6" t="s">
        <v>33</v>
      </c>
      <c r="F313">
        <f t="shared" ca="1" si="8"/>
        <v>948</v>
      </c>
      <c r="G313" s="1">
        <f ca="1">VLOOKUP(financials[[#This Row],[ID]],Prices!D:F,2,FALSE)</f>
        <v>15</v>
      </c>
      <c r="H313" s="1">
        <f ca="1">VLOOKUP(financials[[#This Row],[ID]],Prices!D:F,3,FALSE)</f>
        <v>27</v>
      </c>
      <c r="I313" s="1">
        <f ca="1">financials[[#This Row],[Units Sold]]*financials[[#This Row],[Sale Price]]</f>
        <v>25596</v>
      </c>
      <c r="J3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1279.8000000000002</v>
      </c>
      <c r="K313" s="1">
        <f ca="1">financials[[#This Row],[Gross Sales]]-financials[[#This Row],[Discounts]]</f>
        <v>24316.2</v>
      </c>
      <c r="L313" s="1">
        <f ca="1">financials[[#This Row],[Units Sold]]*financials[[#This Row],[Manufacturing Price]]</f>
        <v>14220</v>
      </c>
      <c r="M313" s="1">
        <f ca="1">financials[[#This Row],[Sales]]-financials[[#This Row],[COGS]]</f>
        <v>10096.200000000001</v>
      </c>
      <c r="N313" s="7">
        <f t="shared" ca="1" si="9"/>
        <v>45217</v>
      </c>
      <c r="O313" s="8">
        <f ca="1">MONTH(financials[[#This Row],[Date]])</f>
        <v>10</v>
      </c>
      <c r="P313" s="6" t="str">
        <f ca="1">TEXT(financials[[#This Row],[Date]],"MMM")</f>
        <v>Oct</v>
      </c>
      <c r="Q313">
        <f ca="1">YEAR(financials[[#This Row],[Date]])</f>
        <v>2023</v>
      </c>
      <c r="S313" s="10"/>
    </row>
    <row r="314" spans="1:19" x14ac:dyDescent="0.3">
      <c r="A314" t="s">
        <v>25</v>
      </c>
      <c r="B314" t="s">
        <v>23</v>
      </c>
      <c r="C314" s="6" t="s">
        <v>18</v>
      </c>
      <c r="D314" s="6" t="str">
        <f>CONCATENATE(financials[[#This Row],[Segment]],",",financials[[#This Row],[Country]],",",financials[[#This Row],[Product]])</f>
        <v>Channel Partners,Mexico,Carretera</v>
      </c>
      <c r="E314" s="6" t="s">
        <v>33</v>
      </c>
      <c r="F314">
        <f t="shared" ca="1" si="8"/>
        <v>744</v>
      </c>
      <c r="G314" s="1">
        <f ca="1">VLOOKUP(financials[[#This Row],[ID]],Prices!D:F,2,FALSE)</f>
        <v>14</v>
      </c>
      <c r="H314" s="1">
        <f ca="1">VLOOKUP(financials[[#This Row],[ID]],Prices!D:F,3,FALSE)</f>
        <v>18</v>
      </c>
      <c r="I314" s="1">
        <f ca="1">financials[[#This Row],[Units Sold]]*financials[[#This Row],[Sale Price]]</f>
        <v>13392</v>
      </c>
      <c r="J3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669.6</v>
      </c>
      <c r="K314" s="1">
        <f ca="1">financials[[#This Row],[Gross Sales]]-financials[[#This Row],[Discounts]]</f>
        <v>12722.4</v>
      </c>
      <c r="L314" s="1">
        <f ca="1">financials[[#This Row],[Units Sold]]*financials[[#This Row],[Manufacturing Price]]</f>
        <v>10416</v>
      </c>
      <c r="M314" s="1">
        <f ca="1">financials[[#This Row],[Sales]]-financials[[#This Row],[COGS]]</f>
        <v>2306.3999999999996</v>
      </c>
      <c r="N314" s="7">
        <f t="shared" ca="1" si="9"/>
        <v>45504</v>
      </c>
      <c r="O314" s="8">
        <f ca="1">MONTH(financials[[#This Row],[Date]])</f>
        <v>7</v>
      </c>
      <c r="P314" s="6" t="str">
        <f ca="1">TEXT(financials[[#This Row],[Date]],"MMM")</f>
        <v>Jul</v>
      </c>
      <c r="Q314">
        <f ca="1">YEAR(financials[[#This Row],[Date]])</f>
        <v>2024</v>
      </c>
      <c r="S314" s="10"/>
    </row>
    <row r="315" spans="1:19" x14ac:dyDescent="0.3">
      <c r="A315" t="s">
        <v>25</v>
      </c>
      <c r="B315" t="s">
        <v>17</v>
      </c>
      <c r="C315" s="6" t="s">
        <v>18</v>
      </c>
      <c r="D315" s="6" t="str">
        <f>CONCATENATE(financials[[#This Row],[Segment]],",",financials[[#This Row],[Country]],",",financials[[#This Row],[Product]])</f>
        <v>Channel Partners,Canada,Carretera</v>
      </c>
      <c r="E315" s="6" t="s">
        <v>33</v>
      </c>
      <c r="F315">
        <f t="shared" ca="1" si="8"/>
        <v>392</v>
      </c>
      <c r="G315" s="1">
        <f ca="1">VLOOKUP(financials[[#This Row],[ID]],Prices!D:F,2,FALSE)</f>
        <v>17</v>
      </c>
      <c r="H315" s="1">
        <f ca="1">VLOOKUP(financials[[#This Row],[ID]],Prices!D:F,3,FALSE)</f>
        <v>24</v>
      </c>
      <c r="I315" s="1">
        <f ca="1">financials[[#This Row],[Units Sold]]*financials[[#This Row],[Sale Price]]</f>
        <v>9408</v>
      </c>
      <c r="J3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470.40000000000003</v>
      </c>
      <c r="K315" s="1">
        <f ca="1">financials[[#This Row],[Gross Sales]]-financials[[#This Row],[Discounts]]</f>
        <v>8937.6</v>
      </c>
      <c r="L315" s="1">
        <f ca="1">financials[[#This Row],[Units Sold]]*financials[[#This Row],[Manufacturing Price]]</f>
        <v>6664</v>
      </c>
      <c r="M315" s="1">
        <f ca="1">financials[[#This Row],[Sales]]-financials[[#This Row],[COGS]]</f>
        <v>2273.6000000000004</v>
      </c>
      <c r="N315" s="7">
        <f t="shared" ca="1" si="9"/>
        <v>45433</v>
      </c>
      <c r="O315" s="8">
        <f ca="1">MONTH(financials[[#This Row],[Date]])</f>
        <v>5</v>
      </c>
      <c r="P315" s="6" t="str">
        <f ca="1">TEXT(financials[[#This Row],[Date]],"MMM")</f>
        <v>May</v>
      </c>
      <c r="Q315">
        <f ca="1">YEAR(financials[[#This Row],[Date]])</f>
        <v>2024</v>
      </c>
      <c r="S315" s="10"/>
    </row>
    <row r="316" spans="1:19" x14ac:dyDescent="0.3">
      <c r="A316" t="s">
        <v>16</v>
      </c>
      <c r="B316" t="s">
        <v>23</v>
      </c>
      <c r="C316" s="6" t="s">
        <v>18</v>
      </c>
      <c r="D316" s="6" t="str">
        <f>CONCATENATE(financials[[#This Row],[Segment]],",",financials[[#This Row],[Country]],",",financials[[#This Row],[Product]])</f>
        <v>Government,Mexico,Carretera</v>
      </c>
      <c r="E316" s="6" t="s">
        <v>33</v>
      </c>
      <c r="F316">
        <f t="shared" ca="1" si="8"/>
        <v>659</v>
      </c>
      <c r="G316" s="1">
        <f ca="1">VLOOKUP(financials[[#This Row],[ID]],Prices!D:F,2,FALSE)</f>
        <v>16</v>
      </c>
      <c r="H316" s="1">
        <f ca="1">VLOOKUP(financials[[#This Row],[ID]],Prices!D:F,3,FALSE)</f>
        <v>31</v>
      </c>
      <c r="I316" s="1">
        <f ca="1">financials[[#This Row],[Units Sold]]*financials[[#This Row],[Sale Price]]</f>
        <v>20429</v>
      </c>
      <c r="J3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1021.45</v>
      </c>
      <c r="K316" s="1">
        <f ca="1">financials[[#This Row],[Gross Sales]]-financials[[#This Row],[Discounts]]</f>
        <v>19407.55</v>
      </c>
      <c r="L316" s="1">
        <f ca="1">financials[[#This Row],[Units Sold]]*financials[[#This Row],[Manufacturing Price]]</f>
        <v>10544</v>
      </c>
      <c r="M316" s="1">
        <f ca="1">financials[[#This Row],[Sales]]-financials[[#This Row],[COGS]]</f>
        <v>8863.5499999999993</v>
      </c>
      <c r="N316" s="7">
        <f t="shared" ca="1" si="9"/>
        <v>45137</v>
      </c>
      <c r="O316" s="8">
        <f ca="1">MONTH(financials[[#This Row],[Date]])</f>
        <v>7</v>
      </c>
      <c r="P316" s="6" t="str">
        <f ca="1">TEXT(financials[[#This Row],[Date]],"MMM")</f>
        <v>Jul</v>
      </c>
      <c r="Q316">
        <f ca="1">YEAR(financials[[#This Row],[Date]])</f>
        <v>2023</v>
      </c>
      <c r="S316" s="10"/>
    </row>
    <row r="317" spans="1:19" x14ac:dyDescent="0.3">
      <c r="A317" t="s">
        <v>25</v>
      </c>
      <c r="B317" t="s">
        <v>23</v>
      </c>
      <c r="C317" s="6" t="s">
        <v>24</v>
      </c>
      <c r="D317" s="6" t="str">
        <f>CONCATENATE(financials[[#This Row],[Segment]],",",financials[[#This Row],[Country]],",",financials[[#This Row],[Product]])</f>
        <v>Channel Partners,Mexico,Montana</v>
      </c>
      <c r="E317" s="6" t="s">
        <v>33</v>
      </c>
      <c r="F317">
        <f t="shared" ca="1" si="8"/>
        <v>295</v>
      </c>
      <c r="G317" s="1">
        <f ca="1">VLOOKUP(financials[[#This Row],[ID]],Prices!D:F,2,FALSE)</f>
        <v>15</v>
      </c>
      <c r="H317" s="1">
        <f ca="1">VLOOKUP(financials[[#This Row],[ID]],Prices!D:F,3,FALSE)</f>
        <v>17</v>
      </c>
      <c r="I317" s="1">
        <f ca="1">financials[[#This Row],[Units Sold]]*financials[[#This Row],[Sale Price]]</f>
        <v>5015</v>
      </c>
      <c r="J3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250.75</v>
      </c>
      <c r="K317" s="1">
        <f ca="1">financials[[#This Row],[Gross Sales]]-financials[[#This Row],[Discounts]]</f>
        <v>4764.25</v>
      </c>
      <c r="L317" s="1">
        <f ca="1">financials[[#This Row],[Units Sold]]*financials[[#This Row],[Manufacturing Price]]</f>
        <v>4425</v>
      </c>
      <c r="M317" s="1">
        <f ca="1">financials[[#This Row],[Sales]]-financials[[#This Row],[COGS]]</f>
        <v>339.25</v>
      </c>
      <c r="N317" s="7">
        <f t="shared" ca="1" si="9"/>
        <v>45562</v>
      </c>
      <c r="O317" s="8">
        <f ca="1">MONTH(financials[[#This Row],[Date]])</f>
        <v>9</v>
      </c>
      <c r="P317" s="6" t="str">
        <f ca="1">TEXT(financials[[#This Row],[Date]],"MMM")</f>
        <v>Sep</v>
      </c>
      <c r="Q317">
        <f ca="1">YEAR(financials[[#This Row],[Date]])</f>
        <v>2024</v>
      </c>
      <c r="S317" s="10"/>
    </row>
    <row r="318" spans="1:19" x14ac:dyDescent="0.3">
      <c r="A318" t="s">
        <v>25</v>
      </c>
      <c r="B318" t="s">
        <v>22</v>
      </c>
      <c r="C318" s="6" t="s">
        <v>24</v>
      </c>
      <c r="D318" s="6" t="str">
        <f>CONCATENATE(financials[[#This Row],[Segment]],",",financials[[#This Row],[Country]],",",financials[[#This Row],[Product]])</f>
        <v>Channel Partners,France,Montana</v>
      </c>
      <c r="E318" s="6" t="s">
        <v>33</v>
      </c>
      <c r="F318">
        <f t="shared" ca="1" si="8"/>
        <v>870</v>
      </c>
      <c r="G318" s="1">
        <f ca="1">VLOOKUP(financials[[#This Row],[ID]],Prices!D:F,2,FALSE)</f>
        <v>19</v>
      </c>
      <c r="H318" s="1">
        <f ca="1">VLOOKUP(financials[[#This Row],[ID]],Prices!D:F,3,FALSE)</f>
        <v>30</v>
      </c>
      <c r="I318" s="1">
        <f ca="1">financials[[#This Row],[Units Sold]]*financials[[#This Row],[Sale Price]]</f>
        <v>26100</v>
      </c>
      <c r="J3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1305</v>
      </c>
      <c r="K318" s="1">
        <f ca="1">financials[[#This Row],[Gross Sales]]-financials[[#This Row],[Discounts]]</f>
        <v>24795</v>
      </c>
      <c r="L318" s="1">
        <f ca="1">financials[[#This Row],[Units Sold]]*financials[[#This Row],[Manufacturing Price]]</f>
        <v>16530</v>
      </c>
      <c r="M318" s="1">
        <f ca="1">financials[[#This Row],[Sales]]-financials[[#This Row],[COGS]]</f>
        <v>8265</v>
      </c>
      <c r="N318" s="7">
        <f t="shared" ca="1" si="9"/>
        <v>45499</v>
      </c>
      <c r="O318" s="8">
        <f ca="1">MONTH(financials[[#This Row],[Date]])</f>
        <v>7</v>
      </c>
      <c r="P318" s="6" t="str">
        <f ca="1">TEXT(financials[[#This Row],[Date]],"MMM")</f>
        <v>Jul</v>
      </c>
      <c r="Q318">
        <f ca="1">YEAR(financials[[#This Row],[Date]])</f>
        <v>2024</v>
      </c>
      <c r="S318" s="10"/>
    </row>
    <row r="319" spans="1:19" x14ac:dyDescent="0.3">
      <c r="A319" t="s">
        <v>16</v>
      </c>
      <c r="B319" t="s">
        <v>22</v>
      </c>
      <c r="C319" s="6" t="s">
        <v>28</v>
      </c>
      <c r="D319" s="6" t="str">
        <f>CONCATENATE(financials[[#This Row],[Segment]],",",financials[[#This Row],[Country]],",",financials[[#This Row],[Product]])</f>
        <v>Government,France,Paseo</v>
      </c>
      <c r="E319" s="6" t="s">
        <v>33</v>
      </c>
      <c r="F319">
        <f t="shared" ca="1" si="8"/>
        <v>461</v>
      </c>
      <c r="G319" s="1">
        <f ca="1">VLOOKUP(financials[[#This Row],[ID]],Prices!D:F,2,FALSE)</f>
        <v>14</v>
      </c>
      <c r="H319" s="1">
        <f ca="1">VLOOKUP(financials[[#This Row],[ID]],Prices!D:F,3,FALSE)</f>
        <v>18</v>
      </c>
      <c r="I319" s="1">
        <f ca="1">financials[[#This Row],[Units Sold]]*financials[[#This Row],[Sale Price]]</f>
        <v>8298</v>
      </c>
      <c r="J3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414.90000000000003</v>
      </c>
      <c r="K319" s="1">
        <f ca="1">financials[[#This Row],[Gross Sales]]-financials[[#This Row],[Discounts]]</f>
        <v>7883.1</v>
      </c>
      <c r="L319" s="1">
        <f ca="1">financials[[#This Row],[Units Sold]]*financials[[#This Row],[Manufacturing Price]]</f>
        <v>6454</v>
      </c>
      <c r="M319" s="1">
        <f ca="1">financials[[#This Row],[Sales]]-financials[[#This Row],[COGS]]</f>
        <v>1429.1000000000004</v>
      </c>
      <c r="N319" s="7">
        <f t="shared" ca="1" si="9"/>
        <v>45472</v>
      </c>
      <c r="O319" s="8">
        <f ca="1">MONTH(financials[[#This Row],[Date]])</f>
        <v>6</v>
      </c>
      <c r="P319" s="6" t="str">
        <f ca="1">TEXT(financials[[#This Row],[Date]],"MMM")</f>
        <v>Jun</v>
      </c>
      <c r="Q319">
        <f ca="1">YEAR(financials[[#This Row],[Date]])</f>
        <v>2024</v>
      </c>
      <c r="S319" s="10"/>
    </row>
    <row r="320" spans="1:19" x14ac:dyDescent="0.3">
      <c r="A320" t="s">
        <v>21</v>
      </c>
      <c r="B320" t="s">
        <v>17</v>
      </c>
      <c r="C320" s="6" t="s">
        <v>29</v>
      </c>
      <c r="D320" s="6" t="str">
        <f>CONCATENATE(financials[[#This Row],[Segment]],",",financials[[#This Row],[Country]],",",financials[[#This Row],[Product]])</f>
        <v>Midmarket,Canada,Velo</v>
      </c>
      <c r="E320" s="6" t="s">
        <v>33</v>
      </c>
      <c r="F320">
        <f t="shared" ca="1" si="8"/>
        <v>784</v>
      </c>
      <c r="G320" s="1">
        <f ca="1">VLOOKUP(financials[[#This Row],[ID]],Prices!D:F,2,FALSE)</f>
        <v>20</v>
      </c>
      <c r="H320" s="1">
        <f ca="1">VLOOKUP(financials[[#This Row],[ID]],Prices!D:F,3,FALSE)</f>
        <v>23</v>
      </c>
      <c r="I320" s="1">
        <f ca="1">financials[[#This Row],[Units Sold]]*financials[[#This Row],[Sale Price]]</f>
        <v>18032</v>
      </c>
      <c r="J3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901.6</v>
      </c>
      <c r="K320" s="1">
        <f ca="1">financials[[#This Row],[Gross Sales]]-financials[[#This Row],[Discounts]]</f>
        <v>17130.400000000001</v>
      </c>
      <c r="L320" s="1">
        <f ca="1">financials[[#This Row],[Units Sold]]*financials[[#This Row],[Manufacturing Price]]</f>
        <v>15680</v>
      </c>
      <c r="M320" s="1">
        <f ca="1">financials[[#This Row],[Sales]]-financials[[#This Row],[COGS]]</f>
        <v>1450.4000000000015</v>
      </c>
      <c r="N320" s="7">
        <f t="shared" ca="1" si="9"/>
        <v>45535</v>
      </c>
      <c r="O320" s="8">
        <f ca="1">MONTH(financials[[#This Row],[Date]])</f>
        <v>8</v>
      </c>
      <c r="P320" s="6" t="str">
        <f ca="1">TEXT(financials[[#This Row],[Date]],"MMM")</f>
        <v>Aug</v>
      </c>
      <c r="Q320">
        <f ca="1">YEAR(financials[[#This Row],[Date]])</f>
        <v>2024</v>
      </c>
      <c r="S320" s="10"/>
    </row>
    <row r="321" spans="1:19" x14ac:dyDescent="0.3">
      <c r="A321" t="s">
        <v>16</v>
      </c>
      <c r="B321" t="s">
        <v>17</v>
      </c>
      <c r="C321" s="6" t="s">
        <v>29</v>
      </c>
      <c r="D321" s="6" t="str">
        <f>CONCATENATE(financials[[#This Row],[Segment]],",",financials[[#This Row],[Country]],",",financials[[#This Row],[Product]])</f>
        <v>Government,Canada,Velo</v>
      </c>
      <c r="E321" s="6" t="s">
        <v>33</v>
      </c>
      <c r="F321">
        <f t="shared" ca="1" si="8"/>
        <v>257</v>
      </c>
      <c r="G321" s="1">
        <f ca="1">VLOOKUP(financials[[#This Row],[ID]],Prices!D:F,2,FALSE)</f>
        <v>19</v>
      </c>
      <c r="H321" s="1">
        <f ca="1">VLOOKUP(financials[[#This Row],[ID]],Prices!D:F,3,FALSE)</f>
        <v>37</v>
      </c>
      <c r="I321" s="1">
        <f ca="1">financials[[#This Row],[Units Sold]]*financials[[#This Row],[Sale Price]]</f>
        <v>9509</v>
      </c>
      <c r="J3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475.45000000000005</v>
      </c>
      <c r="K321" s="1">
        <f ca="1">financials[[#This Row],[Gross Sales]]-financials[[#This Row],[Discounts]]</f>
        <v>9033.5499999999993</v>
      </c>
      <c r="L321" s="1">
        <f ca="1">financials[[#This Row],[Units Sold]]*financials[[#This Row],[Manufacturing Price]]</f>
        <v>4883</v>
      </c>
      <c r="M321" s="1">
        <f ca="1">financials[[#This Row],[Sales]]-financials[[#This Row],[COGS]]</f>
        <v>4150.5499999999993</v>
      </c>
      <c r="N321" s="7">
        <f t="shared" ca="1" si="9"/>
        <v>45750</v>
      </c>
      <c r="O321" s="8">
        <f ca="1">MONTH(financials[[#This Row],[Date]])</f>
        <v>4</v>
      </c>
      <c r="P321" s="6" t="str">
        <f ca="1">TEXT(financials[[#This Row],[Date]],"MMM")</f>
        <v>Apr</v>
      </c>
      <c r="Q321">
        <f ca="1">YEAR(financials[[#This Row],[Date]])</f>
        <v>2025</v>
      </c>
      <c r="S321" s="10"/>
    </row>
    <row r="322" spans="1:19" x14ac:dyDescent="0.3">
      <c r="A322" t="s">
        <v>16</v>
      </c>
      <c r="B322" t="s">
        <v>36</v>
      </c>
      <c r="C322" s="6" t="s">
        <v>29</v>
      </c>
      <c r="D322" s="6" t="str">
        <f>CONCATENATE(financials[[#This Row],[Segment]],",",financials[[#This Row],[Country]],",",financials[[#This Row],[Product]])</f>
        <v>Government,USA,Velo</v>
      </c>
      <c r="E322" s="6" t="s">
        <v>33</v>
      </c>
      <c r="F322">
        <f t="shared" ca="1" si="8"/>
        <v>415</v>
      </c>
      <c r="G322" s="1">
        <f ca="1">VLOOKUP(financials[[#This Row],[ID]],Prices!D:F,2,FALSE)</f>
        <v>18</v>
      </c>
      <c r="H322" s="1">
        <f ca="1">VLOOKUP(financials[[#This Row],[ID]],Prices!D:F,3,FALSE)</f>
        <v>38</v>
      </c>
      <c r="I322" s="1">
        <f ca="1">financials[[#This Row],[Units Sold]]*financials[[#This Row],[Sale Price]]</f>
        <v>15770</v>
      </c>
      <c r="J3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788.5</v>
      </c>
      <c r="K322" s="1">
        <f ca="1">financials[[#This Row],[Gross Sales]]-financials[[#This Row],[Discounts]]</f>
        <v>14981.5</v>
      </c>
      <c r="L322" s="1">
        <f ca="1">financials[[#This Row],[Units Sold]]*financials[[#This Row],[Manufacturing Price]]</f>
        <v>7470</v>
      </c>
      <c r="M322" s="1">
        <f ca="1">financials[[#This Row],[Sales]]-financials[[#This Row],[COGS]]</f>
        <v>7511.5</v>
      </c>
      <c r="N322" s="7">
        <f t="shared" ca="1" si="9"/>
        <v>45452</v>
      </c>
      <c r="O322" s="8">
        <f ca="1">MONTH(financials[[#This Row],[Date]])</f>
        <v>6</v>
      </c>
      <c r="P322" s="6" t="str">
        <f ca="1">TEXT(financials[[#This Row],[Date]],"MMM")</f>
        <v>Jun</v>
      </c>
      <c r="Q322">
        <f ca="1">YEAR(financials[[#This Row],[Date]])</f>
        <v>2024</v>
      </c>
      <c r="S322" s="10"/>
    </row>
    <row r="323" spans="1:19" x14ac:dyDescent="0.3">
      <c r="A323" t="s">
        <v>16</v>
      </c>
      <c r="B323" t="s">
        <v>17</v>
      </c>
      <c r="C323" s="6" t="s">
        <v>29</v>
      </c>
      <c r="D323" s="6" t="str">
        <f>CONCATENATE(financials[[#This Row],[Segment]],",",financials[[#This Row],[Country]],",",financials[[#This Row],[Product]])</f>
        <v>Government,Canada,Velo</v>
      </c>
      <c r="E323" s="6" t="s">
        <v>33</v>
      </c>
      <c r="F323">
        <f t="shared" ref="F323:F386" ca="1" si="10">RANDBETWEEN(10,1000)</f>
        <v>442</v>
      </c>
      <c r="G323" s="1">
        <f ca="1">VLOOKUP(financials[[#This Row],[ID]],Prices!D:F,2,FALSE)</f>
        <v>19</v>
      </c>
      <c r="H323" s="1">
        <f ca="1">VLOOKUP(financials[[#This Row],[ID]],Prices!D:F,3,FALSE)</f>
        <v>37</v>
      </c>
      <c r="I323" s="1">
        <f ca="1">financials[[#This Row],[Units Sold]]*financials[[#This Row],[Sale Price]]</f>
        <v>16354</v>
      </c>
      <c r="J3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817.7</v>
      </c>
      <c r="K323" s="1">
        <f ca="1">financials[[#This Row],[Gross Sales]]-financials[[#This Row],[Discounts]]</f>
        <v>15536.3</v>
      </c>
      <c r="L323" s="1">
        <f ca="1">financials[[#This Row],[Units Sold]]*financials[[#This Row],[Manufacturing Price]]</f>
        <v>8398</v>
      </c>
      <c r="M323" s="1">
        <f ca="1">financials[[#This Row],[Sales]]-financials[[#This Row],[COGS]]</f>
        <v>7138.2999999999993</v>
      </c>
      <c r="N323" s="7">
        <f t="shared" ref="N323:N386" ca="1" si="11">TODAY()-RANDBETWEEN(1,732)</f>
        <v>45500</v>
      </c>
      <c r="O323" s="8">
        <f ca="1">MONTH(financials[[#This Row],[Date]])</f>
        <v>7</v>
      </c>
      <c r="P323" s="6" t="str">
        <f ca="1">TEXT(financials[[#This Row],[Date]],"MMM")</f>
        <v>Jul</v>
      </c>
      <c r="Q323">
        <f ca="1">YEAR(financials[[#This Row],[Date]])</f>
        <v>2024</v>
      </c>
      <c r="S323" s="10"/>
    </row>
    <row r="324" spans="1:19" x14ac:dyDescent="0.3">
      <c r="A324" t="s">
        <v>25</v>
      </c>
      <c r="B324" t="s">
        <v>22</v>
      </c>
      <c r="C324" s="6" t="s">
        <v>30</v>
      </c>
      <c r="D324" s="6" t="str">
        <f>CONCATENATE(financials[[#This Row],[Segment]],",",financials[[#This Row],[Country]],",",financials[[#This Row],[Product]])</f>
        <v>Channel Partners,France,VTT</v>
      </c>
      <c r="E324" s="6" t="s">
        <v>33</v>
      </c>
      <c r="F324">
        <f t="shared" ca="1" si="10"/>
        <v>39</v>
      </c>
      <c r="G324" s="1">
        <f ca="1">VLOOKUP(financials[[#This Row],[ID]],Prices!D:F,2,FALSE)</f>
        <v>11</v>
      </c>
      <c r="H324" s="1">
        <f ca="1">VLOOKUP(financials[[#This Row],[ID]],Prices!D:F,3,FALSE)</f>
        <v>38</v>
      </c>
      <c r="I324" s="1">
        <f ca="1">financials[[#This Row],[Units Sold]]*financials[[#This Row],[Sale Price]]</f>
        <v>1482</v>
      </c>
      <c r="J3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74.100000000000009</v>
      </c>
      <c r="K324" s="1">
        <f ca="1">financials[[#This Row],[Gross Sales]]-financials[[#This Row],[Discounts]]</f>
        <v>1407.9</v>
      </c>
      <c r="L324" s="1">
        <f ca="1">financials[[#This Row],[Units Sold]]*financials[[#This Row],[Manufacturing Price]]</f>
        <v>429</v>
      </c>
      <c r="M324" s="1">
        <f ca="1">financials[[#This Row],[Sales]]-financials[[#This Row],[COGS]]</f>
        <v>978.90000000000009</v>
      </c>
      <c r="N324" s="7">
        <f t="shared" ca="1" si="11"/>
        <v>45695</v>
      </c>
      <c r="O324" s="8">
        <f ca="1">MONTH(financials[[#This Row],[Date]])</f>
        <v>2</v>
      </c>
      <c r="P324" s="6" t="str">
        <f ca="1">TEXT(financials[[#This Row],[Date]],"MMM")</f>
        <v>Feb</v>
      </c>
      <c r="Q324">
        <f ca="1">YEAR(financials[[#This Row],[Date]])</f>
        <v>2025</v>
      </c>
      <c r="S324" s="10"/>
    </row>
    <row r="325" spans="1:19" x14ac:dyDescent="0.3">
      <c r="A325" t="s">
        <v>25</v>
      </c>
      <c r="B325" t="s">
        <v>20</v>
      </c>
      <c r="C325" s="6" t="s">
        <v>30</v>
      </c>
      <c r="D325" s="6" t="str">
        <f>CONCATENATE(financials[[#This Row],[Segment]],",",financials[[#This Row],[Country]],",",financials[[#This Row],[Product]])</f>
        <v>Channel Partners,Germany,VTT</v>
      </c>
      <c r="E325" s="6" t="s">
        <v>33</v>
      </c>
      <c r="F325">
        <f t="shared" ca="1" si="10"/>
        <v>149</v>
      </c>
      <c r="G325" s="1">
        <f ca="1">VLOOKUP(financials[[#This Row],[ID]],Prices!D:F,2,FALSE)</f>
        <v>20</v>
      </c>
      <c r="H325" s="1">
        <f ca="1">VLOOKUP(financials[[#This Row],[ID]],Prices!D:F,3,FALSE)</f>
        <v>32</v>
      </c>
      <c r="I325" s="1">
        <f ca="1">financials[[#This Row],[Units Sold]]*financials[[#This Row],[Sale Price]]</f>
        <v>4768</v>
      </c>
      <c r="J3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238.4</v>
      </c>
      <c r="K325" s="1">
        <f ca="1">financials[[#This Row],[Gross Sales]]-financials[[#This Row],[Discounts]]</f>
        <v>4529.6000000000004</v>
      </c>
      <c r="L325" s="1">
        <f ca="1">financials[[#This Row],[Units Sold]]*financials[[#This Row],[Manufacturing Price]]</f>
        <v>2980</v>
      </c>
      <c r="M325" s="1">
        <f ca="1">financials[[#This Row],[Sales]]-financials[[#This Row],[COGS]]</f>
        <v>1549.6000000000004</v>
      </c>
      <c r="N325" s="7">
        <f t="shared" ca="1" si="11"/>
        <v>45070</v>
      </c>
      <c r="O325" s="8">
        <f ca="1">MONTH(financials[[#This Row],[Date]])</f>
        <v>5</v>
      </c>
      <c r="P325" s="6" t="str">
        <f ca="1">TEXT(financials[[#This Row],[Date]],"MMM")</f>
        <v>May</v>
      </c>
      <c r="Q325">
        <f ca="1">YEAR(financials[[#This Row],[Date]])</f>
        <v>2023</v>
      </c>
      <c r="S325" s="10"/>
    </row>
    <row r="326" spans="1:19" x14ac:dyDescent="0.3">
      <c r="A326" t="s">
        <v>16</v>
      </c>
      <c r="B326" t="s">
        <v>17</v>
      </c>
      <c r="C326" s="6" t="s">
        <v>30</v>
      </c>
      <c r="D326" s="6" t="str">
        <f>CONCATENATE(financials[[#This Row],[Segment]],",",financials[[#This Row],[Country]],",",financials[[#This Row],[Product]])</f>
        <v>Government,Canada,VTT</v>
      </c>
      <c r="E326" s="6" t="s">
        <v>33</v>
      </c>
      <c r="F326">
        <f t="shared" ca="1" si="10"/>
        <v>395</v>
      </c>
      <c r="G326" s="1">
        <f ca="1">VLOOKUP(financials[[#This Row],[ID]],Prices!D:F,2,FALSE)</f>
        <v>17</v>
      </c>
      <c r="H326" s="1">
        <f ca="1">VLOOKUP(financials[[#This Row],[ID]],Prices!D:F,3,FALSE)</f>
        <v>38</v>
      </c>
      <c r="I326" s="1">
        <f ca="1">financials[[#This Row],[Units Sold]]*financials[[#This Row],[Sale Price]]</f>
        <v>15010</v>
      </c>
      <c r="J3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750.5</v>
      </c>
      <c r="K326" s="1">
        <f ca="1">financials[[#This Row],[Gross Sales]]-financials[[#This Row],[Discounts]]</f>
        <v>14259.5</v>
      </c>
      <c r="L326" s="1">
        <f ca="1">financials[[#This Row],[Units Sold]]*financials[[#This Row],[Manufacturing Price]]</f>
        <v>6715</v>
      </c>
      <c r="M326" s="1">
        <f ca="1">financials[[#This Row],[Sales]]-financials[[#This Row],[COGS]]</f>
        <v>7544.5</v>
      </c>
      <c r="N326" s="7">
        <f t="shared" ca="1" si="11"/>
        <v>45230</v>
      </c>
      <c r="O326" s="8">
        <f ca="1">MONTH(financials[[#This Row],[Date]])</f>
        <v>10</v>
      </c>
      <c r="P326" s="6" t="str">
        <f ca="1">TEXT(financials[[#This Row],[Date]],"MMM")</f>
        <v>Oct</v>
      </c>
      <c r="Q326">
        <f ca="1">YEAR(financials[[#This Row],[Date]])</f>
        <v>2023</v>
      </c>
      <c r="S326" s="10"/>
    </row>
    <row r="327" spans="1:19" x14ac:dyDescent="0.3">
      <c r="A327" t="s">
        <v>16</v>
      </c>
      <c r="B327" t="s">
        <v>17</v>
      </c>
      <c r="C327" s="6" t="s">
        <v>31</v>
      </c>
      <c r="D327" s="6" t="str">
        <f>CONCATENATE(financials[[#This Row],[Segment]],",",financials[[#This Row],[Country]],",",financials[[#This Row],[Product]])</f>
        <v>Government,Canada,Amarilla</v>
      </c>
      <c r="E327" s="6" t="s">
        <v>33</v>
      </c>
      <c r="F327">
        <f t="shared" ca="1" si="10"/>
        <v>257</v>
      </c>
      <c r="G327" s="1">
        <f ca="1">VLOOKUP(financials[[#This Row],[ID]],Prices!D:F,2,FALSE)</f>
        <v>11</v>
      </c>
      <c r="H327" s="1">
        <f ca="1">VLOOKUP(financials[[#This Row],[ID]],Prices!D:F,3,FALSE)</f>
        <v>29</v>
      </c>
      <c r="I327" s="1">
        <f ca="1">financials[[#This Row],[Units Sold]]*financials[[#This Row],[Sale Price]]</f>
        <v>7453</v>
      </c>
      <c r="J3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372.65000000000003</v>
      </c>
      <c r="K327" s="1">
        <f ca="1">financials[[#This Row],[Gross Sales]]-financials[[#This Row],[Discounts]]</f>
        <v>7080.35</v>
      </c>
      <c r="L327" s="1">
        <f ca="1">financials[[#This Row],[Units Sold]]*financials[[#This Row],[Manufacturing Price]]</f>
        <v>2827</v>
      </c>
      <c r="M327" s="1">
        <f ca="1">financials[[#This Row],[Sales]]-financials[[#This Row],[COGS]]</f>
        <v>4253.3500000000004</v>
      </c>
      <c r="N327" s="7">
        <f t="shared" ca="1" si="11"/>
        <v>45474</v>
      </c>
      <c r="O327" s="8">
        <f ca="1">MONTH(financials[[#This Row],[Date]])</f>
        <v>7</v>
      </c>
      <c r="P327" s="6" t="str">
        <f ca="1">TEXT(financials[[#This Row],[Date]],"MMM")</f>
        <v>Jul</v>
      </c>
      <c r="Q327">
        <f ca="1">YEAR(financials[[#This Row],[Date]])</f>
        <v>2024</v>
      </c>
      <c r="S327" s="10"/>
    </row>
    <row r="328" spans="1:19" x14ac:dyDescent="0.3">
      <c r="A328" t="s">
        <v>16</v>
      </c>
      <c r="B328" t="s">
        <v>36</v>
      </c>
      <c r="C328" s="6" t="s">
        <v>18</v>
      </c>
      <c r="D328" s="6" t="str">
        <f>CONCATENATE(financials[[#This Row],[Segment]],",",financials[[#This Row],[Country]],",",financials[[#This Row],[Product]])</f>
        <v>Government,USA,Carretera</v>
      </c>
      <c r="E328" s="6" t="s">
        <v>33</v>
      </c>
      <c r="F328">
        <f t="shared" ca="1" si="10"/>
        <v>561</v>
      </c>
      <c r="G328" s="1">
        <f ca="1">VLOOKUP(financials[[#This Row],[ID]],Prices!D:F,2,FALSE)</f>
        <v>11</v>
      </c>
      <c r="H328" s="1">
        <f ca="1">VLOOKUP(financials[[#This Row],[ID]],Prices!D:F,3,FALSE)</f>
        <v>21</v>
      </c>
      <c r="I328" s="1">
        <f ca="1">financials[[#This Row],[Units Sold]]*financials[[#This Row],[Sale Price]]</f>
        <v>11781</v>
      </c>
      <c r="J3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589.05000000000007</v>
      </c>
      <c r="K328" s="1">
        <f ca="1">financials[[#This Row],[Gross Sales]]-financials[[#This Row],[Discounts]]</f>
        <v>11191.95</v>
      </c>
      <c r="L328" s="1">
        <f ca="1">financials[[#This Row],[Units Sold]]*financials[[#This Row],[Manufacturing Price]]</f>
        <v>6171</v>
      </c>
      <c r="M328" s="1">
        <f ca="1">financials[[#This Row],[Sales]]-financials[[#This Row],[COGS]]</f>
        <v>5020.9500000000007</v>
      </c>
      <c r="N328" s="7">
        <f t="shared" ca="1" si="11"/>
        <v>45592</v>
      </c>
      <c r="O328" s="8">
        <f ca="1">MONTH(financials[[#This Row],[Date]])</f>
        <v>10</v>
      </c>
      <c r="P328" s="6" t="str">
        <f ca="1">TEXT(financials[[#This Row],[Date]],"MMM")</f>
        <v>Oct</v>
      </c>
      <c r="Q328">
        <f ca="1">YEAR(financials[[#This Row],[Date]])</f>
        <v>2024</v>
      </c>
      <c r="S328" s="10"/>
    </row>
    <row r="329" spans="1:19" x14ac:dyDescent="0.3">
      <c r="A329" t="s">
        <v>27</v>
      </c>
      <c r="B329" t="s">
        <v>22</v>
      </c>
      <c r="C329" s="6" t="s">
        <v>18</v>
      </c>
      <c r="D329" s="6" t="str">
        <f>CONCATENATE(financials[[#This Row],[Segment]],",",financials[[#This Row],[Country]],",",financials[[#This Row],[Product]])</f>
        <v>Small Business,France,Carretera</v>
      </c>
      <c r="E329" s="6" t="s">
        <v>33</v>
      </c>
      <c r="F329">
        <f t="shared" ca="1" si="10"/>
        <v>669</v>
      </c>
      <c r="G329" s="1">
        <f ca="1">VLOOKUP(financials[[#This Row],[ID]],Prices!D:F,2,FALSE)</f>
        <v>12</v>
      </c>
      <c r="H329" s="1">
        <f ca="1">VLOOKUP(financials[[#This Row],[ID]],Prices!D:F,3,FALSE)</f>
        <v>31</v>
      </c>
      <c r="I329" s="1">
        <f ca="1">financials[[#This Row],[Units Sold]]*financials[[#This Row],[Sale Price]]</f>
        <v>20739</v>
      </c>
      <c r="J3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1036.95</v>
      </c>
      <c r="K329" s="1">
        <f ca="1">financials[[#This Row],[Gross Sales]]-financials[[#This Row],[Discounts]]</f>
        <v>19702.05</v>
      </c>
      <c r="L329" s="1">
        <f ca="1">financials[[#This Row],[Units Sold]]*financials[[#This Row],[Manufacturing Price]]</f>
        <v>8028</v>
      </c>
      <c r="M329" s="1">
        <f ca="1">financials[[#This Row],[Sales]]-financials[[#This Row],[COGS]]</f>
        <v>11674.05</v>
      </c>
      <c r="N329" s="7">
        <f t="shared" ca="1" si="11"/>
        <v>45516</v>
      </c>
      <c r="O329" s="8">
        <f ca="1">MONTH(financials[[#This Row],[Date]])</f>
        <v>8</v>
      </c>
      <c r="P329" s="6" t="str">
        <f ca="1">TEXT(financials[[#This Row],[Date]],"MMM")</f>
        <v>Aug</v>
      </c>
      <c r="Q329">
        <f ca="1">YEAR(financials[[#This Row],[Date]])</f>
        <v>2024</v>
      </c>
      <c r="S329" s="10"/>
    </row>
    <row r="330" spans="1:19" x14ac:dyDescent="0.3">
      <c r="A330" t="s">
        <v>27</v>
      </c>
      <c r="B330" t="s">
        <v>22</v>
      </c>
      <c r="C330" s="6" t="s">
        <v>18</v>
      </c>
      <c r="D330" s="6" t="str">
        <f>CONCATENATE(financials[[#This Row],[Segment]],",",financials[[#This Row],[Country]],",",financials[[#This Row],[Product]])</f>
        <v>Small Business,France,Carretera</v>
      </c>
      <c r="E330" s="6" t="s">
        <v>33</v>
      </c>
      <c r="F330">
        <f t="shared" ca="1" si="10"/>
        <v>538</v>
      </c>
      <c r="G330" s="1">
        <f ca="1">VLOOKUP(financials[[#This Row],[ID]],Prices!D:F,2,FALSE)</f>
        <v>12</v>
      </c>
      <c r="H330" s="1">
        <f ca="1">VLOOKUP(financials[[#This Row],[ID]],Prices!D:F,3,FALSE)</f>
        <v>31</v>
      </c>
      <c r="I330" s="1">
        <f ca="1">financials[[#This Row],[Units Sold]]*financials[[#This Row],[Sale Price]]</f>
        <v>16678</v>
      </c>
      <c r="J3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833.90000000000009</v>
      </c>
      <c r="K330" s="1">
        <f ca="1">financials[[#This Row],[Gross Sales]]-financials[[#This Row],[Discounts]]</f>
        <v>15844.1</v>
      </c>
      <c r="L330" s="1">
        <f ca="1">financials[[#This Row],[Units Sold]]*financials[[#This Row],[Manufacturing Price]]</f>
        <v>6456</v>
      </c>
      <c r="M330" s="1">
        <f ca="1">financials[[#This Row],[Sales]]-financials[[#This Row],[COGS]]</f>
        <v>9388.1</v>
      </c>
      <c r="N330" s="7">
        <f t="shared" ca="1" si="11"/>
        <v>45749</v>
      </c>
      <c r="O330" s="8">
        <f ca="1">MONTH(financials[[#This Row],[Date]])</f>
        <v>4</v>
      </c>
      <c r="P330" s="6" t="str">
        <f ca="1">TEXT(financials[[#This Row],[Date]],"MMM")</f>
        <v>Apr</v>
      </c>
      <c r="Q330">
        <f ca="1">YEAR(financials[[#This Row],[Date]])</f>
        <v>2025</v>
      </c>
      <c r="S330" s="10"/>
    </row>
    <row r="331" spans="1:19" x14ac:dyDescent="0.3">
      <c r="A331" t="s">
        <v>16</v>
      </c>
      <c r="B331" t="s">
        <v>22</v>
      </c>
      <c r="C331" s="6" t="s">
        <v>24</v>
      </c>
      <c r="D331" s="6" t="str">
        <f>CONCATENATE(financials[[#This Row],[Segment]],",",financials[[#This Row],[Country]],",",financials[[#This Row],[Product]])</f>
        <v>Government,France,Montana</v>
      </c>
      <c r="E331" s="6" t="s">
        <v>33</v>
      </c>
      <c r="F331">
        <f t="shared" ca="1" si="10"/>
        <v>854</v>
      </c>
      <c r="G331" s="1">
        <f ca="1">VLOOKUP(financials[[#This Row],[ID]],Prices!D:F,2,FALSE)</f>
        <v>19</v>
      </c>
      <c r="H331" s="1">
        <f ca="1">VLOOKUP(financials[[#This Row],[ID]],Prices!D:F,3,FALSE)</f>
        <v>22</v>
      </c>
      <c r="I331" s="1">
        <f ca="1">financials[[#This Row],[Units Sold]]*financials[[#This Row],[Sale Price]]</f>
        <v>18788</v>
      </c>
      <c r="J3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939.40000000000009</v>
      </c>
      <c r="K331" s="1">
        <f ca="1">financials[[#This Row],[Gross Sales]]-financials[[#This Row],[Discounts]]</f>
        <v>17848.599999999999</v>
      </c>
      <c r="L331" s="1">
        <f ca="1">financials[[#This Row],[Units Sold]]*financials[[#This Row],[Manufacturing Price]]</f>
        <v>16226</v>
      </c>
      <c r="M331" s="1">
        <f ca="1">financials[[#This Row],[Sales]]-financials[[#This Row],[COGS]]</f>
        <v>1622.5999999999985</v>
      </c>
      <c r="N331" s="7">
        <f t="shared" ca="1" si="11"/>
        <v>45412</v>
      </c>
      <c r="O331" s="8">
        <f ca="1">MONTH(financials[[#This Row],[Date]])</f>
        <v>4</v>
      </c>
      <c r="P331" s="6" t="str">
        <f ca="1">TEXT(financials[[#This Row],[Date]],"MMM")</f>
        <v>Apr</v>
      </c>
      <c r="Q331">
        <f ca="1">YEAR(financials[[#This Row],[Date]])</f>
        <v>2024</v>
      </c>
      <c r="S331" s="10"/>
    </row>
    <row r="332" spans="1:19" x14ac:dyDescent="0.3">
      <c r="A332" t="s">
        <v>27</v>
      </c>
      <c r="B332" t="s">
        <v>22</v>
      </c>
      <c r="C332" s="6" t="s">
        <v>24</v>
      </c>
      <c r="D332" s="6" t="str">
        <f>CONCATENATE(financials[[#This Row],[Segment]],",",financials[[#This Row],[Country]],",",financials[[#This Row],[Product]])</f>
        <v>Small Business,France,Montana</v>
      </c>
      <c r="E332" s="6" t="s">
        <v>33</v>
      </c>
      <c r="F332">
        <f t="shared" ca="1" si="10"/>
        <v>497</v>
      </c>
      <c r="G332" s="1">
        <f ca="1">VLOOKUP(financials[[#This Row],[ID]],Prices!D:F,2,FALSE)</f>
        <v>14</v>
      </c>
      <c r="H332" s="1">
        <f ca="1">VLOOKUP(financials[[#This Row],[ID]],Prices!D:F,3,FALSE)</f>
        <v>35</v>
      </c>
      <c r="I332" s="1">
        <f ca="1">financials[[#This Row],[Units Sold]]*financials[[#This Row],[Sale Price]]</f>
        <v>17395</v>
      </c>
      <c r="J3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869.75</v>
      </c>
      <c r="K332" s="1">
        <f ca="1">financials[[#This Row],[Gross Sales]]-financials[[#This Row],[Discounts]]</f>
        <v>16525.25</v>
      </c>
      <c r="L332" s="1">
        <f ca="1">financials[[#This Row],[Units Sold]]*financials[[#This Row],[Manufacturing Price]]</f>
        <v>6958</v>
      </c>
      <c r="M332" s="1">
        <f ca="1">financials[[#This Row],[Sales]]-financials[[#This Row],[COGS]]</f>
        <v>9567.25</v>
      </c>
      <c r="N332" s="7">
        <f t="shared" ca="1" si="11"/>
        <v>45237</v>
      </c>
      <c r="O332" s="8">
        <f ca="1">MONTH(financials[[#This Row],[Date]])</f>
        <v>11</v>
      </c>
      <c r="P332" s="6" t="str">
        <f ca="1">TEXT(financials[[#This Row],[Date]],"MMM")</f>
        <v>Nov</v>
      </c>
      <c r="Q332">
        <f ca="1">YEAR(financials[[#This Row],[Date]])</f>
        <v>2023</v>
      </c>
      <c r="S332" s="10"/>
    </row>
    <row r="333" spans="1:19" x14ac:dyDescent="0.3">
      <c r="A333" t="s">
        <v>26</v>
      </c>
      <c r="B333" t="s">
        <v>20</v>
      </c>
      <c r="C333" s="6" t="s">
        <v>24</v>
      </c>
      <c r="D333" s="6" t="str">
        <f>CONCATENATE(financials[[#This Row],[Segment]],",",financials[[#This Row],[Country]],",",financials[[#This Row],[Product]])</f>
        <v>Enterprise,Germany,Montana</v>
      </c>
      <c r="E333" s="6" t="s">
        <v>33</v>
      </c>
      <c r="F333">
        <f t="shared" ca="1" si="10"/>
        <v>408</v>
      </c>
      <c r="G333" s="1">
        <f ca="1">VLOOKUP(financials[[#This Row],[ID]],Prices!D:F,2,FALSE)</f>
        <v>17</v>
      </c>
      <c r="H333" s="1">
        <f ca="1">VLOOKUP(financials[[#This Row],[ID]],Prices!D:F,3,FALSE)</f>
        <v>22</v>
      </c>
      <c r="I333" s="1">
        <f ca="1">financials[[#This Row],[Units Sold]]*financials[[#This Row],[Sale Price]]</f>
        <v>8976</v>
      </c>
      <c r="J3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448.8</v>
      </c>
      <c r="K333" s="1">
        <f ca="1">financials[[#This Row],[Gross Sales]]-financials[[#This Row],[Discounts]]</f>
        <v>8527.2000000000007</v>
      </c>
      <c r="L333" s="1">
        <f ca="1">financials[[#This Row],[Units Sold]]*financials[[#This Row],[Manufacturing Price]]</f>
        <v>6936</v>
      </c>
      <c r="M333" s="1">
        <f ca="1">financials[[#This Row],[Sales]]-financials[[#This Row],[COGS]]</f>
        <v>1591.2000000000007</v>
      </c>
      <c r="N333" s="7">
        <f t="shared" ca="1" si="11"/>
        <v>45668</v>
      </c>
      <c r="O333" s="8">
        <f ca="1">MONTH(financials[[#This Row],[Date]])</f>
        <v>1</v>
      </c>
      <c r="P333" s="6" t="str">
        <f ca="1">TEXT(financials[[#This Row],[Date]],"MMM")</f>
        <v>Jan</v>
      </c>
      <c r="Q333">
        <f ca="1">YEAR(financials[[#This Row],[Date]])</f>
        <v>2025</v>
      </c>
      <c r="S333" s="10"/>
    </row>
    <row r="334" spans="1:19" x14ac:dyDescent="0.3">
      <c r="A334" t="s">
        <v>27</v>
      </c>
      <c r="B334" t="s">
        <v>17</v>
      </c>
      <c r="C334" s="6" t="s">
        <v>28</v>
      </c>
      <c r="D334" s="6" t="str">
        <f>CONCATENATE(financials[[#This Row],[Segment]],",",financials[[#This Row],[Country]],",",financials[[#This Row],[Product]])</f>
        <v>Small Business,Canada,Paseo</v>
      </c>
      <c r="E334" s="6" t="s">
        <v>33</v>
      </c>
      <c r="F334">
        <f t="shared" ca="1" si="10"/>
        <v>115</v>
      </c>
      <c r="G334" s="1">
        <f ca="1">VLOOKUP(financials[[#This Row],[ID]],Prices!D:F,2,FALSE)</f>
        <v>20</v>
      </c>
      <c r="H334" s="1">
        <f ca="1">VLOOKUP(financials[[#This Row],[ID]],Prices!D:F,3,FALSE)</f>
        <v>31</v>
      </c>
      <c r="I334" s="1">
        <f ca="1">financials[[#This Row],[Units Sold]]*financials[[#This Row],[Sale Price]]</f>
        <v>3565</v>
      </c>
      <c r="J3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178.25</v>
      </c>
      <c r="K334" s="1">
        <f ca="1">financials[[#This Row],[Gross Sales]]-financials[[#This Row],[Discounts]]</f>
        <v>3386.75</v>
      </c>
      <c r="L334" s="1">
        <f ca="1">financials[[#This Row],[Units Sold]]*financials[[#This Row],[Manufacturing Price]]</f>
        <v>2300</v>
      </c>
      <c r="M334" s="1">
        <f ca="1">financials[[#This Row],[Sales]]-financials[[#This Row],[COGS]]</f>
        <v>1086.75</v>
      </c>
      <c r="N334" s="7">
        <f t="shared" ca="1" si="11"/>
        <v>45548</v>
      </c>
      <c r="O334" s="8">
        <f ca="1">MONTH(financials[[#This Row],[Date]])</f>
        <v>9</v>
      </c>
      <c r="P334" s="6" t="str">
        <f ca="1">TEXT(financials[[#This Row],[Date]],"MMM")</f>
        <v>Sep</v>
      </c>
      <c r="Q334">
        <f ca="1">YEAR(financials[[#This Row],[Date]])</f>
        <v>2024</v>
      </c>
      <c r="S334" s="10"/>
    </row>
    <row r="335" spans="1:19" x14ac:dyDescent="0.3">
      <c r="A335" t="s">
        <v>27</v>
      </c>
      <c r="B335" t="s">
        <v>22</v>
      </c>
      <c r="C335" s="6" t="s">
        <v>28</v>
      </c>
      <c r="D335" s="6" t="str">
        <f>CONCATENATE(financials[[#This Row],[Segment]],",",financials[[#This Row],[Country]],",",financials[[#This Row],[Product]])</f>
        <v>Small Business,France,Paseo</v>
      </c>
      <c r="E335" s="6" t="s">
        <v>33</v>
      </c>
      <c r="F335">
        <f t="shared" ca="1" si="10"/>
        <v>152</v>
      </c>
      <c r="G335" s="1">
        <f ca="1">VLOOKUP(financials[[#This Row],[ID]],Prices!D:F,2,FALSE)</f>
        <v>16</v>
      </c>
      <c r="H335" s="1">
        <f ca="1">VLOOKUP(financials[[#This Row],[ID]],Prices!D:F,3,FALSE)</f>
        <v>29</v>
      </c>
      <c r="I335" s="1">
        <f ca="1">financials[[#This Row],[Units Sold]]*financials[[#This Row],[Sale Price]]</f>
        <v>4408</v>
      </c>
      <c r="J3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220.4</v>
      </c>
      <c r="K335" s="1">
        <f ca="1">financials[[#This Row],[Gross Sales]]-financials[[#This Row],[Discounts]]</f>
        <v>4187.6000000000004</v>
      </c>
      <c r="L335" s="1">
        <f ca="1">financials[[#This Row],[Units Sold]]*financials[[#This Row],[Manufacturing Price]]</f>
        <v>2432</v>
      </c>
      <c r="M335" s="1">
        <f ca="1">financials[[#This Row],[Sales]]-financials[[#This Row],[COGS]]</f>
        <v>1755.6000000000004</v>
      </c>
      <c r="N335" s="7">
        <f t="shared" ca="1" si="11"/>
        <v>45089</v>
      </c>
      <c r="O335" s="8">
        <f ca="1">MONTH(financials[[#This Row],[Date]])</f>
        <v>6</v>
      </c>
      <c r="P335" s="6" t="str">
        <f ca="1">TEXT(financials[[#This Row],[Date]],"MMM")</f>
        <v>Jun</v>
      </c>
      <c r="Q335">
        <f ca="1">YEAR(financials[[#This Row],[Date]])</f>
        <v>2023</v>
      </c>
      <c r="S335" s="10"/>
    </row>
    <row r="336" spans="1:19" x14ac:dyDescent="0.3">
      <c r="A336" t="s">
        <v>26</v>
      </c>
      <c r="B336" t="s">
        <v>20</v>
      </c>
      <c r="C336" s="6" t="s">
        <v>28</v>
      </c>
      <c r="D336" s="6" t="str">
        <f>CONCATENATE(financials[[#This Row],[Segment]],",",financials[[#This Row],[Country]],",",financials[[#This Row],[Product]])</f>
        <v>Enterprise,Germany,Paseo</v>
      </c>
      <c r="E336" s="6" t="s">
        <v>33</v>
      </c>
      <c r="F336">
        <f t="shared" ca="1" si="10"/>
        <v>200</v>
      </c>
      <c r="G336" s="1">
        <f ca="1">VLOOKUP(financials[[#This Row],[ID]],Prices!D:F,2,FALSE)</f>
        <v>14</v>
      </c>
      <c r="H336" s="1">
        <f ca="1">VLOOKUP(financials[[#This Row],[ID]],Prices!D:F,3,FALSE)</f>
        <v>18</v>
      </c>
      <c r="I336" s="1">
        <f ca="1">financials[[#This Row],[Units Sold]]*financials[[#This Row],[Sale Price]]</f>
        <v>3600</v>
      </c>
      <c r="J3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180</v>
      </c>
      <c r="K336" s="1">
        <f ca="1">financials[[#This Row],[Gross Sales]]-financials[[#This Row],[Discounts]]</f>
        <v>3420</v>
      </c>
      <c r="L336" s="1">
        <f ca="1">financials[[#This Row],[Units Sold]]*financials[[#This Row],[Manufacturing Price]]</f>
        <v>2800</v>
      </c>
      <c r="M336" s="1">
        <f ca="1">financials[[#This Row],[Sales]]-financials[[#This Row],[COGS]]</f>
        <v>620</v>
      </c>
      <c r="N336" s="7">
        <f t="shared" ca="1" si="11"/>
        <v>45552</v>
      </c>
      <c r="O336" s="8">
        <f ca="1">MONTH(financials[[#This Row],[Date]])</f>
        <v>9</v>
      </c>
      <c r="P336" s="6" t="str">
        <f ca="1">TEXT(financials[[#This Row],[Date]],"MMM")</f>
        <v>Sep</v>
      </c>
      <c r="Q336">
        <f ca="1">YEAR(financials[[#This Row],[Date]])</f>
        <v>2024</v>
      </c>
      <c r="S336" s="10"/>
    </row>
    <row r="337" spans="1:19" x14ac:dyDescent="0.3">
      <c r="A337" t="s">
        <v>21</v>
      </c>
      <c r="B337" t="s">
        <v>22</v>
      </c>
      <c r="C337" s="6" t="s">
        <v>28</v>
      </c>
      <c r="D337" s="6" t="str">
        <f>CONCATENATE(financials[[#This Row],[Segment]],",",financials[[#This Row],[Country]],",",financials[[#This Row],[Product]])</f>
        <v>Midmarket,France,Paseo</v>
      </c>
      <c r="E337" s="6" t="s">
        <v>33</v>
      </c>
      <c r="F337">
        <f t="shared" ca="1" si="10"/>
        <v>937</v>
      </c>
      <c r="G337" s="1">
        <f ca="1">VLOOKUP(financials[[#This Row],[ID]],Prices!D:F,2,FALSE)</f>
        <v>20</v>
      </c>
      <c r="H337" s="1">
        <f ca="1">VLOOKUP(financials[[#This Row],[ID]],Prices!D:F,3,FALSE)</f>
        <v>38</v>
      </c>
      <c r="I337" s="1">
        <f ca="1">financials[[#This Row],[Units Sold]]*financials[[#This Row],[Sale Price]]</f>
        <v>35606</v>
      </c>
      <c r="J3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1780.3000000000002</v>
      </c>
      <c r="K337" s="1">
        <f ca="1">financials[[#This Row],[Gross Sales]]-financials[[#This Row],[Discounts]]</f>
        <v>33825.699999999997</v>
      </c>
      <c r="L337" s="1">
        <f ca="1">financials[[#This Row],[Units Sold]]*financials[[#This Row],[Manufacturing Price]]</f>
        <v>18740</v>
      </c>
      <c r="M337" s="1">
        <f ca="1">financials[[#This Row],[Sales]]-financials[[#This Row],[COGS]]</f>
        <v>15085.699999999997</v>
      </c>
      <c r="N337" s="7">
        <f t="shared" ca="1" si="11"/>
        <v>45277</v>
      </c>
      <c r="O337" s="8">
        <f ca="1">MONTH(financials[[#This Row],[Date]])</f>
        <v>12</v>
      </c>
      <c r="P337" s="6" t="str">
        <f ca="1">TEXT(financials[[#This Row],[Date]],"MMM")</f>
        <v>Dec</v>
      </c>
      <c r="Q337">
        <f ca="1">YEAR(financials[[#This Row],[Date]])</f>
        <v>2023</v>
      </c>
      <c r="S337" s="10"/>
    </row>
    <row r="338" spans="1:19" x14ac:dyDescent="0.3">
      <c r="A338" t="s">
        <v>21</v>
      </c>
      <c r="B338" t="s">
        <v>36</v>
      </c>
      <c r="C338" s="6" t="s">
        <v>28</v>
      </c>
      <c r="D338" s="6" t="str">
        <f>CONCATENATE(financials[[#This Row],[Segment]],",",financials[[#This Row],[Country]],",",financials[[#This Row],[Product]])</f>
        <v>Midmarket,USA,Paseo</v>
      </c>
      <c r="E338" s="6" t="s">
        <v>33</v>
      </c>
      <c r="F338">
        <f t="shared" ca="1" si="10"/>
        <v>714</v>
      </c>
      <c r="G338" s="1">
        <f ca="1">VLOOKUP(financials[[#This Row],[ID]],Prices!D:F,2,FALSE)</f>
        <v>13</v>
      </c>
      <c r="H338" s="1">
        <f ca="1">VLOOKUP(financials[[#This Row],[ID]],Prices!D:F,3,FALSE)</f>
        <v>25</v>
      </c>
      <c r="I338" s="1">
        <f ca="1">financials[[#This Row],[Units Sold]]*financials[[#This Row],[Sale Price]]</f>
        <v>17850</v>
      </c>
      <c r="J3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892.5</v>
      </c>
      <c r="K338" s="1">
        <f ca="1">financials[[#This Row],[Gross Sales]]-financials[[#This Row],[Discounts]]</f>
        <v>16957.5</v>
      </c>
      <c r="L338" s="1">
        <f ca="1">financials[[#This Row],[Units Sold]]*financials[[#This Row],[Manufacturing Price]]</f>
        <v>9282</v>
      </c>
      <c r="M338" s="1">
        <f ca="1">financials[[#This Row],[Sales]]-financials[[#This Row],[COGS]]</f>
        <v>7675.5</v>
      </c>
      <c r="N338" s="7">
        <f t="shared" ca="1" si="11"/>
        <v>45614</v>
      </c>
      <c r="O338" s="8">
        <f ca="1">MONTH(financials[[#This Row],[Date]])</f>
        <v>11</v>
      </c>
      <c r="P338" s="6" t="str">
        <f ca="1">TEXT(financials[[#This Row],[Date]],"MMM")</f>
        <v>Nov</v>
      </c>
      <c r="Q338">
        <f ca="1">YEAR(financials[[#This Row],[Date]])</f>
        <v>2024</v>
      </c>
      <c r="S338" s="10"/>
    </row>
    <row r="339" spans="1:19" x14ac:dyDescent="0.3">
      <c r="A339" t="s">
        <v>16</v>
      </c>
      <c r="B339" t="s">
        <v>22</v>
      </c>
      <c r="C339" s="6" t="s">
        <v>28</v>
      </c>
      <c r="D339" s="6" t="str">
        <f>CONCATENATE(financials[[#This Row],[Segment]],",",financials[[#This Row],[Country]],",",financials[[#This Row],[Product]])</f>
        <v>Government,France,Paseo</v>
      </c>
      <c r="E339" s="6" t="s">
        <v>33</v>
      </c>
      <c r="F339">
        <f t="shared" ca="1" si="10"/>
        <v>582</v>
      </c>
      <c r="G339" s="1">
        <f ca="1">VLOOKUP(financials[[#This Row],[ID]],Prices!D:F,2,FALSE)</f>
        <v>14</v>
      </c>
      <c r="H339" s="1">
        <f ca="1">VLOOKUP(financials[[#This Row],[ID]],Prices!D:F,3,FALSE)</f>
        <v>18</v>
      </c>
      <c r="I339" s="1">
        <f ca="1">financials[[#This Row],[Units Sold]]*financials[[#This Row],[Sale Price]]</f>
        <v>10476</v>
      </c>
      <c r="J3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523.80000000000007</v>
      </c>
      <c r="K339" s="1">
        <f ca="1">financials[[#This Row],[Gross Sales]]-financials[[#This Row],[Discounts]]</f>
        <v>9952.2000000000007</v>
      </c>
      <c r="L339" s="1">
        <f ca="1">financials[[#This Row],[Units Sold]]*financials[[#This Row],[Manufacturing Price]]</f>
        <v>8148</v>
      </c>
      <c r="M339" s="1">
        <f ca="1">financials[[#This Row],[Sales]]-financials[[#This Row],[COGS]]</f>
        <v>1804.2000000000007</v>
      </c>
      <c r="N339" s="7">
        <f t="shared" ca="1" si="11"/>
        <v>45346</v>
      </c>
      <c r="O339" s="8">
        <f ca="1">MONTH(financials[[#This Row],[Date]])</f>
        <v>2</v>
      </c>
      <c r="P339" s="6" t="str">
        <f ca="1">TEXT(financials[[#This Row],[Date]],"MMM")</f>
        <v>Feb</v>
      </c>
      <c r="Q339">
        <f ca="1">YEAR(financials[[#This Row],[Date]])</f>
        <v>2024</v>
      </c>
      <c r="S339" s="10"/>
    </row>
    <row r="340" spans="1:19" x14ac:dyDescent="0.3">
      <c r="A340" t="s">
        <v>27</v>
      </c>
      <c r="B340" t="s">
        <v>20</v>
      </c>
      <c r="C340" s="6" t="s">
        <v>28</v>
      </c>
      <c r="D340" s="6" t="str">
        <f>CONCATENATE(financials[[#This Row],[Segment]],",",financials[[#This Row],[Country]],",",financials[[#This Row],[Product]])</f>
        <v>Small Business,Germany,Paseo</v>
      </c>
      <c r="E340" s="6" t="s">
        <v>33</v>
      </c>
      <c r="F340">
        <f t="shared" ca="1" si="10"/>
        <v>747</v>
      </c>
      <c r="G340" s="1">
        <f ca="1">VLOOKUP(financials[[#This Row],[ID]],Prices!D:F,2,FALSE)</f>
        <v>19</v>
      </c>
      <c r="H340" s="1">
        <f ca="1">VLOOKUP(financials[[#This Row],[ID]],Prices!D:F,3,FALSE)</f>
        <v>25</v>
      </c>
      <c r="I340" s="1">
        <f ca="1">financials[[#This Row],[Units Sold]]*financials[[#This Row],[Sale Price]]</f>
        <v>18675</v>
      </c>
      <c r="J3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933.75</v>
      </c>
      <c r="K340" s="1">
        <f ca="1">financials[[#This Row],[Gross Sales]]-financials[[#This Row],[Discounts]]</f>
        <v>17741.25</v>
      </c>
      <c r="L340" s="1">
        <f ca="1">financials[[#This Row],[Units Sold]]*financials[[#This Row],[Manufacturing Price]]</f>
        <v>14193</v>
      </c>
      <c r="M340" s="1">
        <f ca="1">financials[[#This Row],[Sales]]-financials[[#This Row],[COGS]]</f>
        <v>3548.25</v>
      </c>
      <c r="N340" s="7">
        <f t="shared" ca="1" si="11"/>
        <v>45682</v>
      </c>
      <c r="O340" s="8">
        <f ca="1">MONTH(financials[[#This Row],[Date]])</f>
        <v>1</v>
      </c>
      <c r="P340" s="6" t="str">
        <f ca="1">TEXT(financials[[#This Row],[Date]],"MMM")</f>
        <v>Jan</v>
      </c>
      <c r="Q340">
        <f ca="1">YEAR(financials[[#This Row],[Date]])</f>
        <v>2025</v>
      </c>
      <c r="S340" s="10"/>
    </row>
    <row r="341" spans="1:19" x14ac:dyDescent="0.3">
      <c r="A341" t="s">
        <v>27</v>
      </c>
      <c r="B341" t="s">
        <v>17</v>
      </c>
      <c r="C341" s="6" t="s">
        <v>28</v>
      </c>
      <c r="D341" s="6" t="str">
        <f>CONCATENATE(financials[[#This Row],[Segment]],",",financials[[#This Row],[Country]],",",financials[[#This Row],[Product]])</f>
        <v>Small Business,Canada,Paseo</v>
      </c>
      <c r="E341" s="6" t="s">
        <v>33</v>
      </c>
      <c r="F341">
        <f t="shared" ca="1" si="10"/>
        <v>331</v>
      </c>
      <c r="G341" s="1">
        <f ca="1">VLOOKUP(financials[[#This Row],[ID]],Prices!D:F,2,FALSE)</f>
        <v>20</v>
      </c>
      <c r="H341" s="1">
        <f ca="1">VLOOKUP(financials[[#This Row],[ID]],Prices!D:F,3,FALSE)</f>
        <v>31</v>
      </c>
      <c r="I341" s="1">
        <f ca="1">financials[[#This Row],[Units Sold]]*financials[[#This Row],[Sale Price]]</f>
        <v>10261</v>
      </c>
      <c r="J3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513.05000000000007</v>
      </c>
      <c r="K341" s="1">
        <f ca="1">financials[[#This Row],[Gross Sales]]-financials[[#This Row],[Discounts]]</f>
        <v>9747.9500000000007</v>
      </c>
      <c r="L341" s="1">
        <f ca="1">financials[[#This Row],[Units Sold]]*financials[[#This Row],[Manufacturing Price]]</f>
        <v>6620</v>
      </c>
      <c r="M341" s="1">
        <f ca="1">financials[[#This Row],[Sales]]-financials[[#This Row],[COGS]]</f>
        <v>3127.9500000000007</v>
      </c>
      <c r="N341" s="7">
        <f t="shared" ca="1" si="11"/>
        <v>45353</v>
      </c>
      <c r="O341" s="8">
        <f ca="1">MONTH(financials[[#This Row],[Date]])</f>
        <v>3</v>
      </c>
      <c r="P341" s="6" t="str">
        <f ca="1">TEXT(financials[[#This Row],[Date]],"MMM")</f>
        <v>Mar</v>
      </c>
      <c r="Q341">
        <f ca="1">YEAR(financials[[#This Row],[Date]])</f>
        <v>2024</v>
      </c>
      <c r="S341" s="10"/>
    </row>
    <row r="342" spans="1:19" x14ac:dyDescent="0.3">
      <c r="A342" t="s">
        <v>25</v>
      </c>
      <c r="B342" t="s">
        <v>23</v>
      </c>
      <c r="C342" s="6" t="s">
        <v>28</v>
      </c>
      <c r="D342" s="6" t="str">
        <f>CONCATENATE(financials[[#This Row],[Segment]],",",financials[[#This Row],[Country]],",",financials[[#This Row],[Product]])</f>
        <v>Channel Partners,Mexico,Paseo</v>
      </c>
      <c r="E342" s="6" t="s">
        <v>33</v>
      </c>
      <c r="F342">
        <f t="shared" ca="1" si="10"/>
        <v>246</v>
      </c>
      <c r="G342" s="1">
        <f ca="1">VLOOKUP(financials[[#This Row],[ID]],Prices!D:F,2,FALSE)</f>
        <v>13</v>
      </c>
      <c r="H342" s="1">
        <f ca="1">VLOOKUP(financials[[#This Row],[ID]],Prices!D:F,3,FALSE)</f>
        <v>21</v>
      </c>
      <c r="I342" s="1">
        <f ca="1">financials[[#This Row],[Units Sold]]*financials[[#This Row],[Sale Price]]</f>
        <v>5166</v>
      </c>
      <c r="J3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258.3</v>
      </c>
      <c r="K342" s="1">
        <f ca="1">financials[[#This Row],[Gross Sales]]-financials[[#This Row],[Discounts]]</f>
        <v>4907.7</v>
      </c>
      <c r="L342" s="1">
        <f ca="1">financials[[#This Row],[Units Sold]]*financials[[#This Row],[Manufacturing Price]]</f>
        <v>3198</v>
      </c>
      <c r="M342" s="1">
        <f ca="1">financials[[#This Row],[Sales]]-financials[[#This Row],[COGS]]</f>
        <v>1709.6999999999998</v>
      </c>
      <c r="N342" s="7">
        <f t="shared" ca="1" si="11"/>
        <v>45263</v>
      </c>
      <c r="O342" s="8">
        <f ca="1">MONTH(financials[[#This Row],[Date]])</f>
        <v>12</v>
      </c>
      <c r="P342" s="6" t="str">
        <f ca="1">TEXT(financials[[#This Row],[Date]],"MMM")</f>
        <v>Dec</v>
      </c>
      <c r="Q342">
        <f ca="1">YEAR(financials[[#This Row],[Date]])</f>
        <v>2023</v>
      </c>
      <c r="S342" s="10"/>
    </row>
    <row r="343" spans="1:19" x14ac:dyDescent="0.3">
      <c r="A343" t="s">
        <v>16</v>
      </c>
      <c r="B343" t="s">
        <v>20</v>
      </c>
      <c r="C343" s="6" t="s">
        <v>28</v>
      </c>
      <c r="D343" s="6" t="str">
        <f>CONCATENATE(financials[[#This Row],[Segment]],",",financials[[#This Row],[Country]],",",financials[[#This Row],[Product]])</f>
        <v>Government,Germany,Paseo</v>
      </c>
      <c r="E343" s="6" t="s">
        <v>33</v>
      </c>
      <c r="F343">
        <f t="shared" ca="1" si="10"/>
        <v>433</v>
      </c>
      <c r="G343" s="1">
        <f ca="1">VLOOKUP(financials[[#This Row],[ID]],Prices!D:F,2,FALSE)</f>
        <v>19</v>
      </c>
      <c r="H343" s="1">
        <f ca="1">VLOOKUP(financials[[#This Row],[ID]],Prices!D:F,3,FALSE)</f>
        <v>37</v>
      </c>
      <c r="I343" s="1">
        <f ca="1">financials[[#This Row],[Units Sold]]*financials[[#This Row],[Sale Price]]</f>
        <v>16021</v>
      </c>
      <c r="J3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801.05000000000007</v>
      </c>
      <c r="K343" s="1">
        <f ca="1">financials[[#This Row],[Gross Sales]]-financials[[#This Row],[Discounts]]</f>
        <v>15219.95</v>
      </c>
      <c r="L343" s="1">
        <f ca="1">financials[[#This Row],[Units Sold]]*financials[[#This Row],[Manufacturing Price]]</f>
        <v>8227</v>
      </c>
      <c r="M343" s="1">
        <f ca="1">financials[[#This Row],[Sales]]-financials[[#This Row],[COGS]]</f>
        <v>6992.9500000000007</v>
      </c>
      <c r="N343" s="7">
        <f t="shared" ca="1" si="11"/>
        <v>45101</v>
      </c>
      <c r="O343" s="8">
        <f ca="1">MONTH(financials[[#This Row],[Date]])</f>
        <v>6</v>
      </c>
      <c r="P343" s="6" t="str">
        <f ca="1">TEXT(financials[[#This Row],[Date]],"MMM")</f>
        <v>Jun</v>
      </c>
      <c r="Q343">
        <f ca="1">YEAR(financials[[#This Row],[Date]])</f>
        <v>2023</v>
      </c>
      <c r="S343" s="10"/>
    </row>
    <row r="344" spans="1:19" x14ac:dyDescent="0.3">
      <c r="A344" t="s">
        <v>27</v>
      </c>
      <c r="B344" t="s">
        <v>22</v>
      </c>
      <c r="C344" s="6" t="s">
        <v>29</v>
      </c>
      <c r="D344" s="6" t="str">
        <f>CONCATENATE(financials[[#This Row],[Segment]],",",financials[[#This Row],[Country]],",",financials[[#This Row],[Product]])</f>
        <v>Small Business,France,Velo</v>
      </c>
      <c r="E344" s="6" t="s">
        <v>33</v>
      </c>
      <c r="F344">
        <f t="shared" ca="1" si="10"/>
        <v>728</v>
      </c>
      <c r="G344" s="1">
        <f ca="1">VLOOKUP(financials[[#This Row],[ID]],Prices!D:F,2,FALSE)</f>
        <v>17</v>
      </c>
      <c r="H344" s="1">
        <f ca="1">VLOOKUP(financials[[#This Row],[ID]],Prices!D:F,3,FALSE)</f>
        <v>22</v>
      </c>
      <c r="I344" s="1">
        <f ca="1">financials[[#This Row],[Units Sold]]*financials[[#This Row],[Sale Price]]</f>
        <v>16016</v>
      </c>
      <c r="J3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800.80000000000007</v>
      </c>
      <c r="K344" s="1">
        <f ca="1">financials[[#This Row],[Gross Sales]]-financials[[#This Row],[Discounts]]</f>
        <v>15215.2</v>
      </c>
      <c r="L344" s="1">
        <f ca="1">financials[[#This Row],[Units Sold]]*financials[[#This Row],[Manufacturing Price]]</f>
        <v>12376</v>
      </c>
      <c r="M344" s="1">
        <f ca="1">financials[[#This Row],[Sales]]-financials[[#This Row],[COGS]]</f>
        <v>2839.2000000000007</v>
      </c>
      <c r="N344" s="7">
        <f t="shared" ca="1" si="11"/>
        <v>45309</v>
      </c>
      <c r="O344" s="8">
        <f ca="1">MONTH(financials[[#This Row],[Date]])</f>
        <v>1</v>
      </c>
      <c r="P344" s="6" t="str">
        <f ca="1">TEXT(financials[[#This Row],[Date]],"MMM")</f>
        <v>Jan</v>
      </c>
      <c r="Q344">
        <f ca="1">YEAR(financials[[#This Row],[Date]])</f>
        <v>2024</v>
      </c>
      <c r="S344" s="10"/>
    </row>
    <row r="345" spans="1:19" x14ac:dyDescent="0.3">
      <c r="A345" t="s">
        <v>16</v>
      </c>
      <c r="B345" t="s">
        <v>23</v>
      </c>
      <c r="C345" s="6" t="s">
        <v>29</v>
      </c>
      <c r="D345" s="6" t="str">
        <f>CONCATENATE(financials[[#This Row],[Segment]],",",financials[[#This Row],[Country]],",",financials[[#This Row],[Product]])</f>
        <v>Government,Mexico,Velo</v>
      </c>
      <c r="E345" s="6" t="s">
        <v>33</v>
      </c>
      <c r="F345">
        <f t="shared" ca="1" si="10"/>
        <v>377</v>
      </c>
      <c r="G345" s="1">
        <f ca="1">VLOOKUP(financials[[#This Row],[ID]],Prices!D:F,2,FALSE)</f>
        <v>18</v>
      </c>
      <c r="H345" s="1">
        <f ca="1">VLOOKUP(financials[[#This Row],[ID]],Prices!D:F,3,FALSE)</f>
        <v>36</v>
      </c>
      <c r="I345" s="1">
        <f ca="1">financials[[#This Row],[Units Sold]]*financials[[#This Row],[Sale Price]]</f>
        <v>13572</v>
      </c>
      <c r="J3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678.6</v>
      </c>
      <c r="K345" s="1">
        <f ca="1">financials[[#This Row],[Gross Sales]]-financials[[#This Row],[Discounts]]</f>
        <v>12893.4</v>
      </c>
      <c r="L345" s="1">
        <f ca="1">financials[[#This Row],[Units Sold]]*financials[[#This Row],[Manufacturing Price]]</f>
        <v>6786</v>
      </c>
      <c r="M345" s="1">
        <f ca="1">financials[[#This Row],[Sales]]-financials[[#This Row],[COGS]]</f>
        <v>6107.4</v>
      </c>
      <c r="N345" s="7">
        <f t="shared" ca="1" si="11"/>
        <v>45442</v>
      </c>
      <c r="O345" s="8">
        <f ca="1">MONTH(financials[[#This Row],[Date]])</f>
        <v>5</v>
      </c>
      <c r="P345" s="6" t="str">
        <f ca="1">TEXT(financials[[#This Row],[Date]],"MMM")</f>
        <v>May</v>
      </c>
      <c r="Q345">
        <f ca="1">YEAR(financials[[#This Row],[Date]])</f>
        <v>2024</v>
      </c>
      <c r="S345" s="10"/>
    </row>
    <row r="346" spans="1:19" x14ac:dyDescent="0.3">
      <c r="A346" t="s">
        <v>26</v>
      </c>
      <c r="B346" t="s">
        <v>20</v>
      </c>
      <c r="C346" s="6" t="s">
        <v>29</v>
      </c>
      <c r="D346" s="6" t="str">
        <f>CONCATENATE(financials[[#This Row],[Segment]],",",financials[[#This Row],[Country]],",",financials[[#This Row],[Product]])</f>
        <v>Enterprise,Germany,Velo</v>
      </c>
      <c r="E346" s="6" t="s">
        <v>33</v>
      </c>
      <c r="F346">
        <f t="shared" ca="1" si="10"/>
        <v>824</v>
      </c>
      <c r="G346" s="1">
        <f ca="1">VLOOKUP(financials[[#This Row],[ID]],Prices!D:F,2,FALSE)</f>
        <v>16</v>
      </c>
      <c r="H346" s="1">
        <f ca="1">VLOOKUP(financials[[#This Row],[ID]],Prices!D:F,3,FALSE)</f>
        <v>29</v>
      </c>
      <c r="I346" s="1">
        <f ca="1">financials[[#This Row],[Units Sold]]*financials[[#This Row],[Sale Price]]</f>
        <v>23896</v>
      </c>
      <c r="J3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1194.8</v>
      </c>
      <c r="K346" s="1">
        <f ca="1">financials[[#This Row],[Gross Sales]]-financials[[#This Row],[Discounts]]</f>
        <v>22701.200000000001</v>
      </c>
      <c r="L346" s="1">
        <f ca="1">financials[[#This Row],[Units Sold]]*financials[[#This Row],[Manufacturing Price]]</f>
        <v>13184</v>
      </c>
      <c r="M346" s="1">
        <f ca="1">financials[[#This Row],[Sales]]-financials[[#This Row],[COGS]]</f>
        <v>9517.2000000000007</v>
      </c>
      <c r="N346" s="7">
        <f t="shared" ca="1" si="11"/>
        <v>45327</v>
      </c>
      <c r="O346" s="8">
        <f ca="1">MONTH(financials[[#This Row],[Date]])</f>
        <v>2</v>
      </c>
      <c r="P346" s="6" t="str">
        <f ca="1">TEXT(financials[[#This Row],[Date]],"MMM")</f>
        <v>Feb</v>
      </c>
      <c r="Q346">
        <f ca="1">YEAR(financials[[#This Row],[Date]])</f>
        <v>2024</v>
      </c>
      <c r="S346" s="10"/>
    </row>
    <row r="347" spans="1:19" x14ac:dyDescent="0.3">
      <c r="A347" t="s">
        <v>16</v>
      </c>
      <c r="B347" t="s">
        <v>22</v>
      </c>
      <c r="C347" s="6" t="s">
        <v>29</v>
      </c>
      <c r="D347" s="6" t="str">
        <f>CONCATENATE(financials[[#This Row],[Segment]],",",financials[[#This Row],[Country]],",",financials[[#This Row],[Product]])</f>
        <v>Government,France,Velo</v>
      </c>
      <c r="E347" s="6" t="s">
        <v>33</v>
      </c>
      <c r="F347">
        <f t="shared" ca="1" si="10"/>
        <v>730</v>
      </c>
      <c r="G347" s="1">
        <f ca="1">VLOOKUP(financials[[#This Row],[ID]],Prices!D:F,2,FALSE)</f>
        <v>20</v>
      </c>
      <c r="H347" s="1">
        <f ca="1">VLOOKUP(financials[[#This Row],[ID]],Prices!D:F,3,FALSE)</f>
        <v>36</v>
      </c>
      <c r="I347" s="1">
        <f ca="1">financials[[#This Row],[Units Sold]]*financials[[#This Row],[Sale Price]]</f>
        <v>26280</v>
      </c>
      <c r="J3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1314</v>
      </c>
      <c r="K347" s="1">
        <f ca="1">financials[[#This Row],[Gross Sales]]-financials[[#This Row],[Discounts]]</f>
        <v>24966</v>
      </c>
      <c r="L347" s="1">
        <f ca="1">financials[[#This Row],[Units Sold]]*financials[[#This Row],[Manufacturing Price]]</f>
        <v>14600</v>
      </c>
      <c r="M347" s="1">
        <f ca="1">financials[[#This Row],[Sales]]-financials[[#This Row],[COGS]]</f>
        <v>10366</v>
      </c>
      <c r="N347" s="7">
        <f t="shared" ca="1" si="11"/>
        <v>45520</v>
      </c>
      <c r="O347" s="8">
        <f ca="1">MONTH(financials[[#This Row],[Date]])</f>
        <v>8</v>
      </c>
      <c r="P347" s="6" t="str">
        <f ca="1">TEXT(financials[[#This Row],[Date]],"MMM")</f>
        <v>Aug</v>
      </c>
      <c r="Q347">
        <f ca="1">YEAR(financials[[#This Row],[Date]])</f>
        <v>2024</v>
      </c>
      <c r="S347" s="10"/>
    </row>
    <row r="348" spans="1:19" x14ac:dyDescent="0.3">
      <c r="A348" t="s">
        <v>16</v>
      </c>
      <c r="B348" t="s">
        <v>36</v>
      </c>
      <c r="C348" s="6" t="s">
        <v>29</v>
      </c>
      <c r="D348" s="6" t="str">
        <f>CONCATENATE(financials[[#This Row],[Segment]],",",financials[[#This Row],[Country]],",",financials[[#This Row],[Product]])</f>
        <v>Government,USA,Velo</v>
      </c>
      <c r="E348" s="6" t="s">
        <v>33</v>
      </c>
      <c r="F348">
        <f t="shared" ca="1" si="10"/>
        <v>279</v>
      </c>
      <c r="G348" s="1">
        <f ca="1">VLOOKUP(financials[[#This Row],[ID]],Prices!D:F,2,FALSE)</f>
        <v>18</v>
      </c>
      <c r="H348" s="1">
        <f ca="1">VLOOKUP(financials[[#This Row],[ID]],Prices!D:F,3,FALSE)</f>
        <v>38</v>
      </c>
      <c r="I348" s="1">
        <f ca="1">financials[[#This Row],[Units Sold]]*financials[[#This Row],[Sale Price]]</f>
        <v>10602</v>
      </c>
      <c r="J3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530.1</v>
      </c>
      <c r="K348" s="1">
        <f ca="1">financials[[#This Row],[Gross Sales]]-financials[[#This Row],[Discounts]]</f>
        <v>10071.9</v>
      </c>
      <c r="L348" s="1">
        <f ca="1">financials[[#This Row],[Units Sold]]*financials[[#This Row],[Manufacturing Price]]</f>
        <v>5022</v>
      </c>
      <c r="M348" s="1">
        <f ca="1">financials[[#This Row],[Sales]]-financials[[#This Row],[COGS]]</f>
        <v>5049.8999999999996</v>
      </c>
      <c r="N348" s="7">
        <f t="shared" ca="1" si="11"/>
        <v>45646</v>
      </c>
      <c r="O348" s="8">
        <f ca="1">MONTH(financials[[#This Row],[Date]])</f>
        <v>12</v>
      </c>
      <c r="P348" s="6" t="str">
        <f ca="1">TEXT(financials[[#This Row],[Date]],"MMM")</f>
        <v>Dec</v>
      </c>
      <c r="Q348">
        <f ca="1">YEAR(financials[[#This Row],[Date]])</f>
        <v>2024</v>
      </c>
      <c r="S348" s="10"/>
    </row>
    <row r="349" spans="1:19" x14ac:dyDescent="0.3">
      <c r="A349" t="s">
        <v>27</v>
      </c>
      <c r="B349" t="s">
        <v>36</v>
      </c>
      <c r="C349" s="6" t="s">
        <v>29</v>
      </c>
      <c r="D349" s="6" t="str">
        <f>CONCATENATE(financials[[#This Row],[Segment]],",",financials[[#This Row],[Country]],",",financials[[#This Row],[Product]])</f>
        <v>Small Business,USA,Velo</v>
      </c>
      <c r="E349" s="6" t="s">
        <v>33</v>
      </c>
      <c r="F349">
        <f t="shared" ca="1" si="10"/>
        <v>353</v>
      </c>
      <c r="G349" s="1">
        <f ca="1">VLOOKUP(financials[[#This Row],[ID]],Prices!D:F,2,FALSE)</f>
        <v>13</v>
      </c>
      <c r="H349" s="1">
        <f ca="1">VLOOKUP(financials[[#This Row],[ID]],Prices!D:F,3,FALSE)</f>
        <v>22</v>
      </c>
      <c r="I349" s="1">
        <f ca="1">financials[[#This Row],[Units Sold]]*financials[[#This Row],[Sale Price]]</f>
        <v>7766</v>
      </c>
      <c r="J3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388.3</v>
      </c>
      <c r="K349" s="1">
        <f ca="1">financials[[#This Row],[Gross Sales]]-financials[[#This Row],[Discounts]]</f>
        <v>7377.7</v>
      </c>
      <c r="L349" s="1">
        <f ca="1">financials[[#This Row],[Units Sold]]*financials[[#This Row],[Manufacturing Price]]</f>
        <v>4589</v>
      </c>
      <c r="M349" s="1">
        <f ca="1">financials[[#This Row],[Sales]]-financials[[#This Row],[COGS]]</f>
        <v>2788.7</v>
      </c>
      <c r="N349" s="7">
        <f t="shared" ca="1" si="11"/>
        <v>45574</v>
      </c>
      <c r="O349" s="8">
        <f ca="1">MONTH(financials[[#This Row],[Date]])</f>
        <v>10</v>
      </c>
      <c r="P349" s="6" t="str">
        <f ca="1">TEXT(financials[[#This Row],[Date]],"MMM")</f>
        <v>Oct</v>
      </c>
      <c r="Q349">
        <f ca="1">YEAR(financials[[#This Row],[Date]])</f>
        <v>2024</v>
      </c>
      <c r="S349" s="10"/>
    </row>
    <row r="350" spans="1:19" x14ac:dyDescent="0.3">
      <c r="A350" t="s">
        <v>16</v>
      </c>
      <c r="B350" t="s">
        <v>20</v>
      </c>
      <c r="C350" s="6" t="s">
        <v>29</v>
      </c>
      <c r="D350" s="6" t="str">
        <f>CONCATENATE(financials[[#This Row],[Segment]],",",financials[[#This Row],[Country]],",",financials[[#This Row],[Product]])</f>
        <v>Government,Germany,Velo</v>
      </c>
      <c r="E350" s="6" t="s">
        <v>33</v>
      </c>
      <c r="F350">
        <f t="shared" ca="1" si="10"/>
        <v>450</v>
      </c>
      <c r="G350" s="1">
        <f ca="1">VLOOKUP(financials[[#This Row],[ID]],Prices!D:F,2,FALSE)</f>
        <v>13</v>
      </c>
      <c r="H350" s="1">
        <f ca="1">VLOOKUP(financials[[#This Row],[ID]],Prices!D:F,3,FALSE)</f>
        <v>19</v>
      </c>
      <c r="I350" s="1">
        <f ca="1">financials[[#This Row],[Units Sold]]*financials[[#This Row],[Sale Price]]</f>
        <v>8550</v>
      </c>
      <c r="J3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427.5</v>
      </c>
      <c r="K350" s="1">
        <f ca="1">financials[[#This Row],[Gross Sales]]-financials[[#This Row],[Discounts]]</f>
        <v>8122.5</v>
      </c>
      <c r="L350" s="1">
        <f ca="1">financials[[#This Row],[Units Sold]]*financials[[#This Row],[Manufacturing Price]]</f>
        <v>5850</v>
      </c>
      <c r="M350" s="1">
        <f ca="1">financials[[#This Row],[Sales]]-financials[[#This Row],[COGS]]</f>
        <v>2272.5</v>
      </c>
      <c r="N350" s="7">
        <f t="shared" ca="1" si="11"/>
        <v>45645</v>
      </c>
      <c r="O350" s="8">
        <f ca="1">MONTH(financials[[#This Row],[Date]])</f>
        <v>12</v>
      </c>
      <c r="P350" s="6" t="str">
        <f ca="1">TEXT(financials[[#This Row],[Date]],"MMM")</f>
        <v>Dec</v>
      </c>
      <c r="Q350">
        <f ca="1">YEAR(financials[[#This Row],[Date]])</f>
        <v>2024</v>
      </c>
      <c r="S350" s="10"/>
    </row>
    <row r="351" spans="1:19" x14ac:dyDescent="0.3">
      <c r="A351" t="s">
        <v>25</v>
      </c>
      <c r="B351" t="s">
        <v>17</v>
      </c>
      <c r="C351" s="6" t="s">
        <v>30</v>
      </c>
      <c r="D351" s="6" t="str">
        <f>CONCATENATE(financials[[#This Row],[Segment]],",",financials[[#This Row],[Country]],",",financials[[#This Row],[Product]])</f>
        <v>Channel Partners,Canada,VTT</v>
      </c>
      <c r="E351" s="6" t="s">
        <v>33</v>
      </c>
      <c r="F351">
        <f t="shared" ca="1" si="10"/>
        <v>582</v>
      </c>
      <c r="G351" s="1">
        <f ca="1">VLOOKUP(financials[[#This Row],[ID]],Prices!D:F,2,FALSE)</f>
        <v>12</v>
      </c>
      <c r="H351" s="1">
        <f ca="1">VLOOKUP(financials[[#This Row],[ID]],Prices!D:F,3,FALSE)</f>
        <v>27</v>
      </c>
      <c r="I351" s="1">
        <f ca="1">financials[[#This Row],[Units Sold]]*financials[[#This Row],[Sale Price]]</f>
        <v>15714</v>
      </c>
      <c r="J3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785.7</v>
      </c>
      <c r="K351" s="1">
        <f ca="1">financials[[#This Row],[Gross Sales]]-financials[[#This Row],[Discounts]]</f>
        <v>14928.3</v>
      </c>
      <c r="L351" s="1">
        <f ca="1">financials[[#This Row],[Units Sold]]*financials[[#This Row],[Manufacturing Price]]</f>
        <v>6984</v>
      </c>
      <c r="M351" s="1">
        <f ca="1">financials[[#This Row],[Sales]]-financials[[#This Row],[COGS]]</f>
        <v>7944.2999999999993</v>
      </c>
      <c r="N351" s="7">
        <f t="shared" ca="1" si="11"/>
        <v>45387</v>
      </c>
      <c r="O351" s="8">
        <f ca="1">MONTH(financials[[#This Row],[Date]])</f>
        <v>4</v>
      </c>
      <c r="P351" s="6" t="str">
        <f ca="1">TEXT(financials[[#This Row],[Date]],"MMM")</f>
        <v>Apr</v>
      </c>
      <c r="Q351">
        <f ca="1">YEAR(financials[[#This Row],[Date]])</f>
        <v>2024</v>
      </c>
      <c r="S351" s="10"/>
    </row>
    <row r="352" spans="1:19" x14ac:dyDescent="0.3">
      <c r="A352" t="s">
        <v>27</v>
      </c>
      <c r="B352" t="s">
        <v>22</v>
      </c>
      <c r="C352" s="6" t="s">
        <v>30</v>
      </c>
      <c r="D352" s="6" t="str">
        <f>CONCATENATE(financials[[#This Row],[Segment]],",",financials[[#This Row],[Country]],",",financials[[#This Row],[Product]])</f>
        <v>Small Business,France,VTT</v>
      </c>
      <c r="E352" s="6" t="s">
        <v>33</v>
      </c>
      <c r="F352">
        <f t="shared" ca="1" si="10"/>
        <v>311</v>
      </c>
      <c r="G352" s="1">
        <f ca="1">VLOOKUP(financials[[#This Row],[ID]],Prices!D:F,2,FALSE)</f>
        <v>20</v>
      </c>
      <c r="H352" s="1">
        <f ca="1">VLOOKUP(financials[[#This Row],[ID]],Prices!D:F,3,FALSE)</f>
        <v>24</v>
      </c>
      <c r="I352" s="1">
        <f ca="1">financials[[#This Row],[Units Sold]]*financials[[#This Row],[Sale Price]]</f>
        <v>7464</v>
      </c>
      <c r="J3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373.20000000000005</v>
      </c>
      <c r="K352" s="1">
        <f ca="1">financials[[#This Row],[Gross Sales]]-financials[[#This Row],[Discounts]]</f>
        <v>7090.8</v>
      </c>
      <c r="L352" s="1">
        <f ca="1">financials[[#This Row],[Units Sold]]*financials[[#This Row],[Manufacturing Price]]</f>
        <v>6220</v>
      </c>
      <c r="M352" s="1">
        <f ca="1">financials[[#This Row],[Sales]]-financials[[#This Row],[COGS]]</f>
        <v>870.80000000000018</v>
      </c>
      <c r="N352" s="7">
        <f t="shared" ca="1" si="11"/>
        <v>45055</v>
      </c>
      <c r="O352" s="8">
        <f ca="1">MONTH(financials[[#This Row],[Date]])</f>
        <v>5</v>
      </c>
      <c r="P352" s="6" t="str">
        <f ca="1">TEXT(financials[[#This Row],[Date]],"MMM")</f>
        <v>May</v>
      </c>
      <c r="Q352">
        <f ca="1">YEAR(financials[[#This Row],[Date]])</f>
        <v>2023</v>
      </c>
      <c r="S352" s="10"/>
    </row>
    <row r="353" spans="1:19" x14ac:dyDescent="0.3">
      <c r="A353" t="s">
        <v>27</v>
      </c>
      <c r="B353" t="s">
        <v>23</v>
      </c>
      <c r="C353" s="6" t="s">
        <v>30</v>
      </c>
      <c r="D353" s="6" t="str">
        <f>CONCATENATE(financials[[#This Row],[Segment]],",",financials[[#This Row],[Country]],",",financials[[#This Row],[Product]])</f>
        <v>Small Business,Mexico,VTT</v>
      </c>
      <c r="E353" s="6" t="s">
        <v>33</v>
      </c>
      <c r="F353">
        <f t="shared" ca="1" si="10"/>
        <v>444</v>
      </c>
      <c r="G353" s="1">
        <f ca="1">VLOOKUP(financials[[#This Row],[ID]],Prices!D:F,2,FALSE)</f>
        <v>17</v>
      </c>
      <c r="H353" s="1">
        <f ca="1">VLOOKUP(financials[[#This Row],[ID]],Prices!D:F,3,FALSE)</f>
        <v>36</v>
      </c>
      <c r="I353" s="1">
        <f ca="1">financials[[#This Row],[Units Sold]]*financials[[#This Row],[Sale Price]]</f>
        <v>15984</v>
      </c>
      <c r="J3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799.2</v>
      </c>
      <c r="K353" s="1">
        <f ca="1">financials[[#This Row],[Gross Sales]]-financials[[#This Row],[Discounts]]</f>
        <v>15184.8</v>
      </c>
      <c r="L353" s="1">
        <f ca="1">financials[[#This Row],[Units Sold]]*financials[[#This Row],[Manufacturing Price]]</f>
        <v>7548</v>
      </c>
      <c r="M353" s="1">
        <f ca="1">financials[[#This Row],[Sales]]-financials[[#This Row],[COGS]]</f>
        <v>7636.7999999999993</v>
      </c>
      <c r="N353" s="7">
        <f t="shared" ca="1" si="11"/>
        <v>45536</v>
      </c>
      <c r="O353" s="8">
        <f ca="1">MONTH(financials[[#This Row],[Date]])</f>
        <v>9</v>
      </c>
      <c r="P353" s="6" t="str">
        <f ca="1">TEXT(financials[[#This Row],[Date]],"MMM")</f>
        <v>Sep</v>
      </c>
      <c r="Q353">
        <f ca="1">YEAR(financials[[#This Row],[Date]])</f>
        <v>2024</v>
      </c>
      <c r="S353" s="10"/>
    </row>
    <row r="354" spans="1:19" x14ac:dyDescent="0.3">
      <c r="A354" t="s">
        <v>26</v>
      </c>
      <c r="B354" t="s">
        <v>17</v>
      </c>
      <c r="C354" s="6" t="s">
        <v>31</v>
      </c>
      <c r="D354" s="6" t="str">
        <f>CONCATENATE(financials[[#This Row],[Segment]],",",financials[[#This Row],[Country]],",",financials[[#This Row],[Product]])</f>
        <v>Enterprise,Canada,Amarilla</v>
      </c>
      <c r="E354" s="6" t="s">
        <v>33</v>
      </c>
      <c r="F354">
        <f t="shared" ca="1" si="10"/>
        <v>379</v>
      </c>
      <c r="G354" s="1">
        <f ca="1">VLOOKUP(financials[[#This Row],[ID]],Prices!D:F,2,FALSE)</f>
        <v>18</v>
      </c>
      <c r="H354" s="1">
        <f ca="1">VLOOKUP(financials[[#This Row],[ID]],Prices!D:F,3,FALSE)</f>
        <v>27</v>
      </c>
      <c r="I354" s="1">
        <f ca="1">financials[[#This Row],[Units Sold]]*financials[[#This Row],[Sale Price]]</f>
        <v>10233</v>
      </c>
      <c r="J3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511.65000000000003</v>
      </c>
      <c r="K354" s="1">
        <f ca="1">financials[[#This Row],[Gross Sales]]-financials[[#This Row],[Discounts]]</f>
        <v>9721.35</v>
      </c>
      <c r="L354" s="1">
        <f ca="1">financials[[#This Row],[Units Sold]]*financials[[#This Row],[Manufacturing Price]]</f>
        <v>6822</v>
      </c>
      <c r="M354" s="1">
        <f ca="1">financials[[#This Row],[Sales]]-financials[[#This Row],[COGS]]</f>
        <v>2899.3500000000004</v>
      </c>
      <c r="N354" s="7">
        <f t="shared" ca="1" si="11"/>
        <v>45356</v>
      </c>
      <c r="O354" s="8">
        <f ca="1">MONTH(financials[[#This Row],[Date]])</f>
        <v>3</v>
      </c>
      <c r="P354" s="6" t="str">
        <f ca="1">TEXT(financials[[#This Row],[Date]],"MMM")</f>
        <v>Mar</v>
      </c>
      <c r="Q354">
        <f ca="1">YEAR(financials[[#This Row],[Date]])</f>
        <v>2024</v>
      </c>
      <c r="S354" s="10"/>
    </row>
    <row r="355" spans="1:19" x14ac:dyDescent="0.3">
      <c r="A355" t="s">
        <v>16</v>
      </c>
      <c r="B355" t="s">
        <v>22</v>
      </c>
      <c r="C355" s="6" t="s">
        <v>31</v>
      </c>
      <c r="D355" s="6" t="str">
        <f>CONCATENATE(financials[[#This Row],[Segment]],",",financials[[#This Row],[Country]],",",financials[[#This Row],[Product]])</f>
        <v>Government,France,Amarilla</v>
      </c>
      <c r="E355" s="6" t="s">
        <v>33</v>
      </c>
      <c r="F355">
        <f t="shared" ca="1" si="10"/>
        <v>826</v>
      </c>
      <c r="G355" s="1">
        <f ca="1">VLOOKUP(financials[[#This Row],[ID]],Prices!D:F,2,FALSE)</f>
        <v>10</v>
      </c>
      <c r="H355" s="1">
        <f ca="1">VLOOKUP(financials[[#This Row],[ID]],Prices!D:F,3,FALSE)</f>
        <v>25</v>
      </c>
      <c r="I355" s="1">
        <f ca="1">financials[[#This Row],[Units Sold]]*financials[[#This Row],[Sale Price]]</f>
        <v>20650</v>
      </c>
      <c r="J3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1032.5</v>
      </c>
      <c r="K355" s="1">
        <f ca="1">financials[[#This Row],[Gross Sales]]-financials[[#This Row],[Discounts]]</f>
        <v>19617.5</v>
      </c>
      <c r="L355" s="1">
        <f ca="1">financials[[#This Row],[Units Sold]]*financials[[#This Row],[Manufacturing Price]]</f>
        <v>8260</v>
      </c>
      <c r="M355" s="1">
        <f ca="1">financials[[#This Row],[Sales]]-financials[[#This Row],[COGS]]</f>
        <v>11357.5</v>
      </c>
      <c r="N355" s="7">
        <f t="shared" ca="1" si="11"/>
        <v>45640</v>
      </c>
      <c r="O355" s="8">
        <f ca="1">MONTH(financials[[#This Row],[Date]])</f>
        <v>12</v>
      </c>
      <c r="P355" s="6" t="str">
        <f ca="1">TEXT(financials[[#This Row],[Date]],"MMM")</f>
        <v>Dec</v>
      </c>
      <c r="Q355">
        <f ca="1">YEAR(financials[[#This Row],[Date]])</f>
        <v>2024</v>
      </c>
      <c r="S355" s="10"/>
    </row>
    <row r="356" spans="1:19" x14ac:dyDescent="0.3">
      <c r="A356" t="s">
        <v>26</v>
      </c>
      <c r="B356" t="s">
        <v>20</v>
      </c>
      <c r="C356" s="6" t="s">
        <v>31</v>
      </c>
      <c r="D356" s="6" t="str">
        <f>CONCATENATE(financials[[#This Row],[Segment]],",",financials[[#This Row],[Country]],",",financials[[#This Row],[Product]])</f>
        <v>Enterprise,Germany,Amarilla</v>
      </c>
      <c r="E356" s="6" t="s">
        <v>33</v>
      </c>
      <c r="F356">
        <f t="shared" ca="1" si="10"/>
        <v>265</v>
      </c>
      <c r="G356" s="1">
        <f ca="1">VLOOKUP(financials[[#This Row],[ID]],Prices!D:F,2,FALSE)</f>
        <v>13</v>
      </c>
      <c r="H356" s="1">
        <f ca="1">VLOOKUP(financials[[#This Row],[ID]],Prices!D:F,3,FALSE)</f>
        <v>21</v>
      </c>
      <c r="I356" s="1">
        <f ca="1">financials[[#This Row],[Units Sold]]*financials[[#This Row],[Sale Price]]</f>
        <v>5565</v>
      </c>
      <c r="J3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278.25</v>
      </c>
      <c r="K356" s="1">
        <f ca="1">financials[[#This Row],[Gross Sales]]-financials[[#This Row],[Discounts]]</f>
        <v>5286.75</v>
      </c>
      <c r="L356" s="1">
        <f ca="1">financials[[#This Row],[Units Sold]]*financials[[#This Row],[Manufacturing Price]]</f>
        <v>3445</v>
      </c>
      <c r="M356" s="1">
        <f ca="1">financials[[#This Row],[Sales]]-financials[[#This Row],[COGS]]</f>
        <v>1841.75</v>
      </c>
      <c r="N356" s="7">
        <f t="shared" ca="1" si="11"/>
        <v>45593</v>
      </c>
      <c r="O356" s="8">
        <f ca="1">MONTH(financials[[#This Row],[Date]])</f>
        <v>10</v>
      </c>
      <c r="P356" s="6" t="str">
        <f ca="1">TEXT(financials[[#This Row],[Date]],"MMM")</f>
        <v>Oct</v>
      </c>
      <c r="Q356">
        <f ca="1">YEAR(financials[[#This Row],[Date]])</f>
        <v>2024</v>
      </c>
      <c r="S356" s="10"/>
    </row>
    <row r="357" spans="1:19" x14ac:dyDescent="0.3">
      <c r="A357" t="s">
        <v>16</v>
      </c>
      <c r="B357" t="s">
        <v>17</v>
      </c>
      <c r="C357" s="6" t="s">
        <v>31</v>
      </c>
      <c r="D357" s="6" t="str">
        <f>CONCATENATE(financials[[#This Row],[Segment]],",",financials[[#This Row],[Country]],",",financials[[#This Row],[Product]])</f>
        <v>Government,Canada,Amarilla</v>
      </c>
      <c r="E357" s="6" t="s">
        <v>33</v>
      </c>
      <c r="F357">
        <f t="shared" ca="1" si="10"/>
        <v>472</v>
      </c>
      <c r="G357" s="1">
        <f ca="1">VLOOKUP(financials[[#This Row],[ID]],Prices!D:F,2,FALSE)</f>
        <v>11</v>
      </c>
      <c r="H357" s="1">
        <f ca="1">VLOOKUP(financials[[#This Row],[ID]],Prices!D:F,3,FALSE)</f>
        <v>29</v>
      </c>
      <c r="I357" s="1">
        <f ca="1">financials[[#This Row],[Units Sold]]*financials[[#This Row],[Sale Price]]</f>
        <v>13688</v>
      </c>
      <c r="J3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684.40000000000009</v>
      </c>
      <c r="K357" s="1">
        <f ca="1">financials[[#This Row],[Gross Sales]]-financials[[#This Row],[Discounts]]</f>
        <v>13003.6</v>
      </c>
      <c r="L357" s="1">
        <f ca="1">financials[[#This Row],[Units Sold]]*financials[[#This Row],[Manufacturing Price]]</f>
        <v>5192</v>
      </c>
      <c r="M357" s="1">
        <f ca="1">financials[[#This Row],[Sales]]-financials[[#This Row],[COGS]]</f>
        <v>7811.6</v>
      </c>
      <c r="N357" s="7">
        <f t="shared" ca="1" si="11"/>
        <v>45301</v>
      </c>
      <c r="O357" s="8">
        <f ca="1">MONTH(financials[[#This Row],[Date]])</f>
        <v>1</v>
      </c>
      <c r="P357" s="6" t="str">
        <f ca="1">TEXT(financials[[#This Row],[Date]],"MMM")</f>
        <v>Jan</v>
      </c>
      <c r="Q357">
        <f ca="1">YEAR(financials[[#This Row],[Date]])</f>
        <v>2024</v>
      </c>
      <c r="S357" s="10"/>
    </row>
    <row r="358" spans="1:19" x14ac:dyDescent="0.3">
      <c r="A358" t="s">
        <v>27</v>
      </c>
      <c r="B358" t="s">
        <v>36</v>
      </c>
      <c r="C358" s="6" t="s">
        <v>31</v>
      </c>
      <c r="D358" s="6" t="str">
        <f>CONCATENATE(financials[[#This Row],[Segment]],",",financials[[#This Row],[Country]],",",financials[[#This Row],[Product]])</f>
        <v>Small Business,USA,Amarilla</v>
      </c>
      <c r="E358" s="6" t="s">
        <v>33</v>
      </c>
      <c r="F358">
        <f t="shared" ca="1" si="10"/>
        <v>611</v>
      </c>
      <c r="G358" s="1">
        <f ca="1">VLOOKUP(financials[[#This Row],[ID]],Prices!D:F,2,FALSE)</f>
        <v>13</v>
      </c>
      <c r="H358" s="1">
        <f ca="1">VLOOKUP(financials[[#This Row],[ID]],Prices!D:F,3,FALSE)</f>
        <v>33</v>
      </c>
      <c r="I358" s="1">
        <f ca="1">financials[[#This Row],[Units Sold]]*financials[[#This Row],[Sale Price]]</f>
        <v>20163</v>
      </c>
      <c r="J3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1008.1500000000001</v>
      </c>
      <c r="K358" s="1">
        <f ca="1">financials[[#This Row],[Gross Sales]]-financials[[#This Row],[Discounts]]</f>
        <v>19154.849999999999</v>
      </c>
      <c r="L358" s="1">
        <f ca="1">financials[[#This Row],[Units Sold]]*financials[[#This Row],[Manufacturing Price]]</f>
        <v>7943</v>
      </c>
      <c r="M358" s="1">
        <f ca="1">financials[[#This Row],[Sales]]-financials[[#This Row],[COGS]]</f>
        <v>11211.849999999999</v>
      </c>
      <c r="N358" s="7">
        <f t="shared" ca="1" si="11"/>
        <v>45678</v>
      </c>
      <c r="O358" s="8">
        <f ca="1">MONTH(financials[[#This Row],[Date]])</f>
        <v>1</v>
      </c>
      <c r="P358" s="6" t="str">
        <f ca="1">TEXT(financials[[#This Row],[Date]],"MMM")</f>
        <v>Jan</v>
      </c>
      <c r="Q358">
        <f ca="1">YEAR(financials[[#This Row],[Date]])</f>
        <v>2025</v>
      </c>
      <c r="S358" s="10"/>
    </row>
    <row r="359" spans="1:19" x14ac:dyDescent="0.3">
      <c r="A359" t="s">
        <v>16</v>
      </c>
      <c r="B359" t="s">
        <v>17</v>
      </c>
      <c r="C359" s="6" t="s">
        <v>24</v>
      </c>
      <c r="D359" s="6" t="str">
        <f>CONCATENATE(financials[[#This Row],[Segment]],",",financials[[#This Row],[Country]],",",financials[[#This Row],[Product]])</f>
        <v>Government,Canada,Montana</v>
      </c>
      <c r="E359" s="6" t="s">
        <v>33</v>
      </c>
      <c r="F359">
        <f t="shared" ca="1" si="10"/>
        <v>584</v>
      </c>
      <c r="G359" s="1">
        <f ca="1">VLOOKUP(financials[[#This Row],[ID]],Prices!D:F,2,FALSE)</f>
        <v>12</v>
      </c>
      <c r="H359" s="1">
        <f ca="1">VLOOKUP(financials[[#This Row],[ID]],Prices!D:F,3,FALSE)</f>
        <v>30</v>
      </c>
      <c r="I359" s="1">
        <f ca="1">financials[[#This Row],[Units Sold]]*financials[[#This Row],[Sale Price]]</f>
        <v>17520</v>
      </c>
      <c r="J3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876</v>
      </c>
      <c r="K359" s="1">
        <f ca="1">financials[[#This Row],[Gross Sales]]-financials[[#This Row],[Discounts]]</f>
        <v>16644</v>
      </c>
      <c r="L359" s="1">
        <f ca="1">financials[[#This Row],[Units Sold]]*financials[[#This Row],[Manufacturing Price]]</f>
        <v>7008</v>
      </c>
      <c r="M359" s="1">
        <f ca="1">financials[[#This Row],[Sales]]-financials[[#This Row],[COGS]]</f>
        <v>9636</v>
      </c>
      <c r="N359" s="7">
        <f t="shared" ca="1" si="11"/>
        <v>45451</v>
      </c>
      <c r="O359" s="8">
        <f ca="1">MONTH(financials[[#This Row],[Date]])</f>
        <v>6</v>
      </c>
      <c r="P359" s="6" t="str">
        <f ca="1">TEXT(financials[[#This Row],[Date]],"MMM")</f>
        <v>Jun</v>
      </c>
      <c r="Q359">
        <f ca="1">YEAR(financials[[#This Row],[Date]])</f>
        <v>2024</v>
      </c>
      <c r="S359" s="10"/>
    </row>
    <row r="360" spans="1:19" x14ac:dyDescent="0.3">
      <c r="A360" t="s">
        <v>16</v>
      </c>
      <c r="B360" t="s">
        <v>36</v>
      </c>
      <c r="C360" s="6" t="s">
        <v>24</v>
      </c>
      <c r="D360" s="6" t="str">
        <f>CONCATENATE(financials[[#This Row],[Segment]],",",financials[[#This Row],[Country]],",",financials[[#This Row],[Product]])</f>
        <v>Government,USA,Montana</v>
      </c>
      <c r="E360" s="6" t="s">
        <v>33</v>
      </c>
      <c r="F360">
        <f t="shared" ca="1" si="10"/>
        <v>813</v>
      </c>
      <c r="G360" s="1">
        <f ca="1">VLOOKUP(financials[[#This Row],[ID]],Prices!D:F,2,FALSE)</f>
        <v>10</v>
      </c>
      <c r="H360" s="1">
        <f ca="1">VLOOKUP(financials[[#This Row],[ID]],Prices!D:F,3,FALSE)</f>
        <v>34</v>
      </c>
      <c r="I360" s="1">
        <f ca="1">financials[[#This Row],[Units Sold]]*financials[[#This Row],[Sale Price]]</f>
        <v>27642</v>
      </c>
      <c r="J3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1382.1000000000001</v>
      </c>
      <c r="K360" s="1">
        <f ca="1">financials[[#This Row],[Gross Sales]]-financials[[#This Row],[Discounts]]</f>
        <v>26259.9</v>
      </c>
      <c r="L360" s="1">
        <f ca="1">financials[[#This Row],[Units Sold]]*financials[[#This Row],[Manufacturing Price]]</f>
        <v>8130</v>
      </c>
      <c r="M360" s="1">
        <f ca="1">financials[[#This Row],[Sales]]-financials[[#This Row],[COGS]]</f>
        <v>18129.900000000001</v>
      </c>
      <c r="N360" s="7">
        <f t="shared" ca="1" si="11"/>
        <v>45292</v>
      </c>
      <c r="O360" s="8">
        <f ca="1">MONTH(financials[[#This Row],[Date]])</f>
        <v>1</v>
      </c>
      <c r="P360" s="6" t="str">
        <f ca="1">TEXT(financials[[#This Row],[Date]],"MMM")</f>
        <v>Jan</v>
      </c>
      <c r="Q360">
        <f ca="1">YEAR(financials[[#This Row],[Date]])</f>
        <v>2024</v>
      </c>
      <c r="S360" s="10"/>
    </row>
    <row r="361" spans="1:19" x14ac:dyDescent="0.3">
      <c r="A361" t="s">
        <v>16</v>
      </c>
      <c r="B361" t="s">
        <v>17</v>
      </c>
      <c r="C361" s="6" t="s">
        <v>28</v>
      </c>
      <c r="D361" s="6" t="str">
        <f>CONCATENATE(financials[[#This Row],[Segment]],",",financials[[#This Row],[Country]],",",financials[[#This Row],[Product]])</f>
        <v>Government,Canada,Paseo</v>
      </c>
      <c r="E361" s="6" t="s">
        <v>33</v>
      </c>
      <c r="F361">
        <f t="shared" ca="1" si="10"/>
        <v>41</v>
      </c>
      <c r="G361" s="1">
        <f ca="1">VLOOKUP(financials[[#This Row],[ID]],Prices!D:F,2,FALSE)</f>
        <v>10</v>
      </c>
      <c r="H361" s="1">
        <f ca="1">VLOOKUP(financials[[#This Row],[ID]],Prices!D:F,3,FALSE)</f>
        <v>23</v>
      </c>
      <c r="I361" s="1">
        <f ca="1">financials[[#This Row],[Units Sold]]*financials[[#This Row],[Sale Price]]</f>
        <v>943</v>
      </c>
      <c r="J3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9.43</v>
      </c>
      <c r="K361" s="1">
        <f ca="1">financials[[#This Row],[Gross Sales]]-financials[[#This Row],[Discounts]]</f>
        <v>933.57</v>
      </c>
      <c r="L361" s="1">
        <f ca="1">financials[[#This Row],[Units Sold]]*financials[[#This Row],[Manufacturing Price]]</f>
        <v>410</v>
      </c>
      <c r="M361" s="1">
        <f ca="1">financials[[#This Row],[Sales]]-financials[[#This Row],[COGS]]</f>
        <v>523.57000000000005</v>
      </c>
      <c r="N361" s="7">
        <f t="shared" ca="1" si="11"/>
        <v>45647</v>
      </c>
      <c r="O361" s="8">
        <f ca="1">MONTH(financials[[#This Row],[Date]])</f>
        <v>12</v>
      </c>
      <c r="P361" s="6" t="str">
        <f ca="1">TEXT(financials[[#This Row],[Date]],"MMM")</f>
        <v>Dec</v>
      </c>
      <c r="Q361">
        <f ca="1">YEAR(financials[[#This Row],[Date]])</f>
        <v>2024</v>
      </c>
      <c r="S361" s="10"/>
    </row>
    <row r="362" spans="1:19" x14ac:dyDescent="0.3">
      <c r="A362" t="s">
        <v>16</v>
      </c>
      <c r="B362" t="s">
        <v>36</v>
      </c>
      <c r="C362" s="6" t="s">
        <v>31</v>
      </c>
      <c r="D362" s="6" t="str">
        <f>CONCATENATE(financials[[#This Row],[Segment]],",",financials[[#This Row],[Country]],",",financials[[#This Row],[Product]])</f>
        <v>Government,USA,Amarilla</v>
      </c>
      <c r="E362" s="6" t="s">
        <v>33</v>
      </c>
      <c r="F362">
        <f t="shared" ca="1" si="10"/>
        <v>511</v>
      </c>
      <c r="G362" s="1">
        <f ca="1">VLOOKUP(financials[[#This Row],[ID]],Prices!D:F,2,FALSE)</f>
        <v>20</v>
      </c>
      <c r="H362" s="1">
        <f ca="1">VLOOKUP(financials[[#This Row],[ID]],Prices!D:F,3,FALSE)</f>
        <v>37</v>
      </c>
      <c r="I362" s="1">
        <f ca="1">financials[[#This Row],[Units Sold]]*financials[[#This Row],[Sale Price]]</f>
        <v>18907</v>
      </c>
      <c r="J3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945.35</v>
      </c>
      <c r="K362" s="1">
        <f ca="1">financials[[#This Row],[Gross Sales]]-financials[[#This Row],[Discounts]]</f>
        <v>17961.650000000001</v>
      </c>
      <c r="L362" s="1">
        <f ca="1">financials[[#This Row],[Units Sold]]*financials[[#This Row],[Manufacturing Price]]</f>
        <v>10220</v>
      </c>
      <c r="M362" s="1">
        <f ca="1">financials[[#This Row],[Sales]]-financials[[#This Row],[COGS]]</f>
        <v>7741.6500000000015</v>
      </c>
      <c r="N362" s="7">
        <f t="shared" ca="1" si="11"/>
        <v>45673</v>
      </c>
      <c r="O362" s="8">
        <f ca="1">MONTH(financials[[#This Row],[Date]])</f>
        <v>1</v>
      </c>
      <c r="P362" s="6" t="str">
        <f ca="1">TEXT(financials[[#This Row],[Date]],"MMM")</f>
        <v>Jan</v>
      </c>
      <c r="Q362">
        <f ca="1">YEAR(financials[[#This Row],[Date]])</f>
        <v>2025</v>
      </c>
      <c r="S362" s="10"/>
    </row>
    <row r="363" spans="1:19" x14ac:dyDescent="0.3">
      <c r="A363" t="s">
        <v>26</v>
      </c>
      <c r="B363" t="s">
        <v>23</v>
      </c>
      <c r="C363" s="6" t="s">
        <v>18</v>
      </c>
      <c r="D363" s="6" t="str">
        <f>CONCATENATE(financials[[#This Row],[Segment]],",",financials[[#This Row],[Country]],",",financials[[#This Row],[Product]])</f>
        <v>Enterprise,Mexico,Carretera</v>
      </c>
      <c r="E363" s="6" t="s">
        <v>33</v>
      </c>
      <c r="F363">
        <f t="shared" ca="1" si="10"/>
        <v>808</v>
      </c>
      <c r="G363" s="1">
        <f ca="1">VLOOKUP(financials[[#This Row],[ID]],Prices!D:F,2,FALSE)</f>
        <v>17</v>
      </c>
      <c r="H363" s="1">
        <f ca="1">VLOOKUP(financials[[#This Row],[ID]],Prices!D:F,3,FALSE)</f>
        <v>23</v>
      </c>
      <c r="I363" s="1">
        <f ca="1">financials[[#This Row],[Units Sold]]*financials[[#This Row],[Sale Price]]</f>
        <v>18584</v>
      </c>
      <c r="J3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929.2</v>
      </c>
      <c r="K363" s="1">
        <f ca="1">financials[[#This Row],[Gross Sales]]-financials[[#This Row],[Discounts]]</f>
        <v>17654.8</v>
      </c>
      <c r="L363" s="1">
        <f ca="1">financials[[#This Row],[Units Sold]]*financials[[#This Row],[Manufacturing Price]]</f>
        <v>13736</v>
      </c>
      <c r="M363" s="1">
        <f ca="1">financials[[#This Row],[Sales]]-financials[[#This Row],[COGS]]</f>
        <v>3918.7999999999993</v>
      </c>
      <c r="N363" s="7">
        <f t="shared" ca="1" si="11"/>
        <v>45250</v>
      </c>
      <c r="O363" s="8">
        <f ca="1">MONTH(financials[[#This Row],[Date]])</f>
        <v>11</v>
      </c>
      <c r="P363" s="6" t="str">
        <f ca="1">TEXT(financials[[#This Row],[Date]],"MMM")</f>
        <v>Nov</v>
      </c>
      <c r="Q363">
        <f ca="1">YEAR(financials[[#This Row],[Date]])</f>
        <v>2023</v>
      </c>
      <c r="S363" s="10"/>
    </row>
    <row r="364" spans="1:19" x14ac:dyDescent="0.3">
      <c r="A364" t="s">
        <v>21</v>
      </c>
      <c r="B364" t="s">
        <v>22</v>
      </c>
      <c r="C364" s="6" t="s">
        <v>18</v>
      </c>
      <c r="D364" s="6" t="str">
        <f>CONCATENATE(financials[[#This Row],[Segment]],",",financials[[#This Row],[Country]],",",financials[[#This Row],[Product]])</f>
        <v>Midmarket,France,Carretera</v>
      </c>
      <c r="E364" s="6" t="s">
        <v>33</v>
      </c>
      <c r="F364">
        <f t="shared" ca="1" si="10"/>
        <v>748</v>
      </c>
      <c r="G364" s="1">
        <f ca="1">VLOOKUP(financials[[#This Row],[ID]],Prices!D:F,2,FALSE)</f>
        <v>19</v>
      </c>
      <c r="H364" s="1">
        <f ca="1">VLOOKUP(financials[[#This Row],[ID]],Prices!D:F,3,FALSE)</f>
        <v>32</v>
      </c>
      <c r="I364" s="1">
        <f ca="1">financials[[#This Row],[Units Sold]]*financials[[#This Row],[Sale Price]]</f>
        <v>23936</v>
      </c>
      <c r="J3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1196.8</v>
      </c>
      <c r="K364" s="1">
        <f ca="1">financials[[#This Row],[Gross Sales]]-financials[[#This Row],[Discounts]]</f>
        <v>22739.200000000001</v>
      </c>
      <c r="L364" s="1">
        <f ca="1">financials[[#This Row],[Units Sold]]*financials[[#This Row],[Manufacturing Price]]</f>
        <v>14212</v>
      </c>
      <c r="M364" s="1">
        <f ca="1">financials[[#This Row],[Sales]]-financials[[#This Row],[COGS]]</f>
        <v>8527.2000000000007</v>
      </c>
      <c r="N364" s="7">
        <f t="shared" ca="1" si="11"/>
        <v>45188</v>
      </c>
      <c r="O364" s="8">
        <f ca="1">MONTH(financials[[#This Row],[Date]])</f>
        <v>9</v>
      </c>
      <c r="P364" s="6" t="str">
        <f ca="1">TEXT(financials[[#This Row],[Date]],"MMM")</f>
        <v>Sep</v>
      </c>
      <c r="Q364">
        <f ca="1">YEAR(financials[[#This Row],[Date]])</f>
        <v>2023</v>
      </c>
      <c r="S364" s="10"/>
    </row>
    <row r="365" spans="1:19" x14ac:dyDescent="0.3">
      <c r="A365" t="s">
        <v>16</v>
      </c>
      <c r="B365" t="s">
        <v>23</v>
      </c>
      <c r="C365" s="6" t="s">
        <v>18</v>
      </c>
      <c r="D365" s="6" t="str">
        <f>CONCATENATE(financials[[#This Row],[Segment]],",",financials[[#This Row],[Country]],",",financials[[#This Row],[Product]])</f>
        <v>Government,Mexico,Carretera</v>
      </c>
      <c r="E365" s="6" t="s">
        <v>33</v>
      </c>
      <c r="F365">
        <f t="shared" ca="1" si="10"/>
        <v>918</v>
      </c>
      <c r="G365" s="1">
        <f ca="1">VLOOKUP(financials[[#This Row],[ID]],Prices!D:F,2,FALSE)</f>
        <v>16</v>
      </c>
      <c r="H365" s="1">
        <f ca="1">VLOOKUP(financials[[#This Row],[ID]],Prices!D:F,3,FALSE)</f>
        <v>31</v>
      </c>
      <c r="I365" s="1">
        <f ca="1">financials[[#This Row],[Units Sold]]*financials[[#This Row],[Sale Price]]</f>
        <v>28458</v>
      </c>
      <c r="J3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1422.9</v>
      </c>
      <c r="K365" s="1">
        <f ca="1">financials[[#This Row],[Gross Sales]]-financials[[#This Row],[Discounts]]</f>
        <v>27035.1</v>
      </c>
      <c r="L365" s="1">
        <f ca="1">financials[[#This Row],[Units Sold]]*financials[[#This Row],[Manufacturing Price]]</f>
        <v>14688</v>
      </c>
      <c r="M365" s="1">
        <f ca="1">financials[[#This Row],[Sales]]-financials[[#This Row],[COGS]]</f>
        <v>12347.099999999999</v>
      </c>
      <c r="N365" s="7">
        <f t="shared" ca="1" si="11"/>
        <v>45144</v>
      </c>
      <c r="O365" s="8">
        <f ca="1">MONTH(financials[[#This Row],[Date]])</f>
        <v>8</v>
      </c>
      <c r="P365" s="6" t="str">
        <f ca="1">TEXT(financials[[#This Row],[Date]],"MMM")</f>
        <v>Aug</v>
      </c>
      <c r="Q365">
        <f ca="1">YEAR(financials[[#This Row],[Date]])</f>
        <v>2023</v>
      </c>
      <c r="S365" s="10"/>
    </row>
    <row r="366" spans="1:19" x14ac:dyDescent="0.3">
      <c r="A366" t="s">
        <v>21</v>
      </c>
      <c r="B366" t="s">
        <v>22</v>
      </c>
      <c r="C366" s="6" t="s">
        <v>24</v>
      </c>
      <c r="D366" s="6" t="str">
        <f>CONCATENATE(financials[[#This Row],[Segment]],",",financials[[#This Row],[Country]],",",financials[[#This Row],[Product]])</f>
        <v>Midmarket,France,Montana</v>
      </c>
      <c r="E366" s="6" t="s">
        <v>33</v>
      </c>
      <c r="F366">
        <f t="shared" ca="1" si="10"/>
        <v>947</v>
      </c>
      <c r="G366" s="1">
        <f ca="1">VLOOKUP(financials[[#This Row],[ID]],Prices!D:F,2,FALSE)</f>
        <v>13</v>
      </c>
      <c r="H366" s="1">
        <f ca="1">VLOOKUP(financials[[#This Row],[ID]],Prices!D:F,3,FALSE)</f>
        <v>37</v>
      </c>
      <c r="I366" s="1">
        <f ca="1">financials[[#This Row],[Units Sold]]*financials[[#This Row],[Sale Price]]</f>
        <v>35039</v>
      </c>
      <c r="J3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1751.95</v>
      </c>
      <c r="K366" s="1">
        <f ca="1">financials[[#This Row],[Gross Sales]]-financials[[#This Row],[Discounts]]</f>
        <v>33287.050000000003</v>
      </c>
      <c r="L366" s="1">
        <f ca="1">financials[[#This Row],[Units Sold]]*financials[[#This Row],[Manufacturing Price]]</f>
        <v>12311</v>
      </c>
      <c r="M366" s="1">
        <f ca="1">financials[[#This Row],[Sales]]-financials[[#This Row],[COGS]]</f>
        <v>20976.050000000003</v>
      </c>
      <c r="N366" s="7">
        <f t="shared" ca="1" si="11"/>
        <v>45497</v>
      </c>
      <c r="O366" s="8">
        <f ca="1">MONTH(financials[[#This Row],[Date]])</f>
        <v>7</v>
      </c>
      <c r="P366" s="6" t="str">
        <f ca="1">TEXT(financials[[#This Row],[Date]],"MMM")</f>
        <v>Jul</v>
      </c>
      <c r="Q366">
        <f ca="1">YEAR(financials[[#This Row],[Date]])</f>
        <v>2024</v>
      </c>
      <c r="S366" s="10"/>
    </row>
    <row r="367" spans="1:19" x14ac:dyDescent="0.3">
      <c r="A367" t="s">
        <v>16</v>
      </c>
      <c r="B367" t="s">
        <v>17</v>
      </c>
      <c r="C367" s="6" t="s">
        <v>24</v>
      </c>
      <c r="D367" s="6" t="str">
        <f>CONCATENATE(financials[[#This Row],[Segment]],",",financials[[#This Row],[Country]],",",financials[[#This Row],[Product]])</f>
        <v>Government,Canada,Montana</v>
      </c>
      <c r="E367" s="6" t="s">
        <v>33</v>
      </c>
      <c r="F367">
        <f t="shared" ca="1" si="10"/>
        <v>918</v>
      </c>
      <c r="G367" s="1">
        <f ca="1">VLOOKUP(financials[[#This Row],[ID]],Prices!D:F,2,FALSE)</f>
        <v>12</v>
      </c>
      <c r="H367" s="1">
        <f ca="1">VLOOKUP(financials[[#This Row],[ID]],Prices!D:F,3,FALSE)</f>
        <v>30</v>
      </c>
      <c r="I367" s="1">
        <f ca="1">financials[[#This Row],[Units Sold]]*financials[[#This Row],[Sale Price]]</f>
        <v>27540</v>
      </c>
      <c r="J3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1377</v>
      </c>
      <c r="K367" s="1">
        <f ca="1">financials[[#This Row],[Gross Sales]]-financials[[#This Row],[Discounts]]</f>
        <v>26163</v>
      </c>
      <c r="L367" s="1">
        <f ca="1">financials[[#This Row],[Units Sold]]*financials[[#This Row],[Manufacturing Price]]</f>
        <v>11016</v>
      </c>
      <c r="M367" s="1">
        <f ca="1">financials[[#This Row],[Sales]]-financials[[#This Row],[COGS]]</f>
        <v>15147</v>
      </c>
      <c r="N367" s="7">
        <f t="shared" ca="1" si="11"/>
        <v>45178</v>
      </c>
      <c r="O367" s="8">
        <f ca="1">MONTH(financials[[#This Row],[Date]])</f>
        <v>9</v>
      </c>
      <c r="P367" s="6" t="str">
        <f ca="1">TEXT(financials[[#This Row],[Date]],"MMM")</f>
        <v>Sep</v>
      </c>
      <c r="Q367">
        <f ca="1">YEAR(financials[[#This Row],[Date]])</f>
        <v>2023</v>
      </c>
      <c r="S367" s="10"/>
    </row>
    <row r="368" spans="1:19" x14ac:dyDescent="0.3">
      <c r="A368" t="s">
        <v>16</v>
      </c>
      <c r="B368" t="s">
        <v>20</v>
      </c>
      <c r="C368" s="6" t="s">
        <v>24</v>
      </c>
      <c r="D368" s="6" t="str">
        <f>CONCATENATE(financials[[#This Row],[Segment]],",",financials[[#This Row],[Country]],",",financials[[#This Row],[Product]])</f>
        <v>Government,Germany,Montana</v>
      </c>
      <c r="E368" s="6" t="s">
        <v>33</v>
      </c>
      <c r="F368">
        <f t="shared" ca="1" si="10"/>
        <v>314</v>
      </c>
      <c r="G368" s="1">
        <f ca="1">VLOOKUP(financials[[#This Row],[ID]],Prices!D:F,2,FALSE)</f>
        <v>20</v>
      </c>
      <c r="H368" s="1">
        <f ca="1">VLOOKUP(financials[[#This Row],[ID]],Prices!D:F,3,FALSE)</f>
        <v>27</v>
      </c>
      <c r="I368" s="1">
        <f ca="1">financials[[#This Row],[Units Sold]]*financials[[#This Row],[Sale Price]]</f>
        <v>8478</v>
      </c>
      <c r="J3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423.90000000000003</v>
      </c>
      <c r="K368" s="1">
        <f ca="1">financials[[#This Row],[Gross Sales]]-financials[[#This Row],[Discounts]]</f>
        <v>8054.1</v>
      </c>
      <c r="L368" s="1">
        <f ca="1">financials[[#This Row],[Units Sold]]*financials[[#This Row],[Manufacturing Price]]</f>
        <v>6280</v>
      </c>
      <c r="M368" s="1">
        <f ca="1">financials[[#This Row],[Sales]]-financials[[#This Row],[COGS]]</f>
        <v>1774.1000000000004</v>
      </c>
      <c r="N368" s="7">
        <f t="shared" ca="1" si="11"/>
        <v>45573</v>
      </c>
      <c r="O368" s="8">
        <f ca="1">MONTH(financials[[#This Row],[Date]])</f>
        <v>10</v>
      </c>
      <c r="P368" s="6" t="str">
        <f ca="1">TEXT(financials[[#This Row],[Date]],"MMM")</f>
        <v>Oct</v>
      </c>
      <c r="Q368">
        <f ca="1">YEAR(financials[[#This Row],[Date]])</f>
        <v>2024</v>
      </c>
      <c r="S368" s="10"/>
    </row>
    <row r="369" spans="1:19" x14ac:dyDescent="0.3">
      <c r="A369" t="s">
        <v>27</v>
      </c>
      <c r="B369" t="s">
        <v>22</v>
      </c>
      <c r="C369" s="6" t="s">
        <v>24</v>
      </c>
      <c r="D369" s="6" t="str">
        <f>CONCATENATE(financials[[#This Row],[Segment]],",",financials[[#This Row],[Country]],",",financials[[#This Row],[Product]])</f>
        <v>Small Business,France,Montana</v>
      </c>
      <c r="E369" s="6" t="s">
        <v>33</v>
      </c>
      <c r="F369">
        <f t="shared" ca="1" si="10"/>
        <v>407</v>
      </c>
      <c r="G369" s="1">
        <f ca="1">VLOOKUP(financials[[#This Row],[ID]],Prices!D:F,2,FALSE)</f>
        <v>14</v>
      </c>
      <c r="H369" s="1">
        <f ca="1">VLOOKUP(financials[[#This Row],[ID]],Prices!D:F,3,FALSE)</f>
        <v>35</v>
      </c>
      <c r="I369" s="1">
        <f ca="1">financials[[#This Row],[Units Sold]]*financials[[#This Row],[Sale Price]]</f>
        <v>14245</v>
      </c>
      <c r="J3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712.25</v>
      </c>
      <c r="K369" s="1">
        <f ca="1">financials[[#This Row],[Gross Sales]]-financials[[#This Row],[Discounts]]</f>
        <v>13532.75</v>
      </c>
      <c r="L369" s="1">
        <f ca="1">financials[[#This Row],[Units Sold]]*financials[[#This Row],[Manufacturing Price]]</f>
        <v>5698</v>
      </c>
      <c r="M369" s="1">
        <f ca="1">financials[[#This Row],[Sales]]-financials[[#This Row],[COGS]]</f>
        <v>7834.75</v>
      </c>
      <c r="N369" s="7">
        <f t="shared" ca="1" si="11"/>
        <v>45299</v>
      </c>
      <c r="O369" s="8">
        <f ca="1">MONTH(financials[[#This Row],[Date]])</f>
        <v>1</v>
      </c>
      <c r="P369" s="6" t="str">
        <f ca="1">TEXT(financials[[#This Row],[Date]],"MMM")</f>
        <v>Jan</v>
      </c>
      <c r="Q369">
        <f ca="1">YEAR(financials[[#This Row],[Date]])</f>
        <v>2024</v>
      </c>
      <c r="S369" s="10"/>
    </row>
    <row r="370" spans="1:19" x14ac:dyDescent="0.3">
      <c r="A370" t="s">
        <v>27</v>
      </c>
      <c r="B370" t="s">
        <v>17</v>
      </c>
      <c r="C370" s="6" t="s">
        <v>24</v>
      </c>
      <c r="D370" s="6" t="str">
        <f>CONCATENATE(financials[[#This Row],[Segment]],",",financials[[#This Row],[Country]],",",financials[[#This Row],[Product]])</f>
        <v>Small Business,Canada,Montana</v>
      </c>
      <c r="E370" s="6" t="s">
        <v>33</v>
      </c>
      <c r="F370">
        <f t="shared" ca="1" si="10"/>
        <v>745</v>
      </c>
      <c r="G370" s="1">
        <f ca="1">VLOOKUP(financials[[#This Row],[ID]],Prices!D:F,2,FALSE)</f>
        <v>17</v>
      </c>
      <c r="H370" s="1">
        <f ca="1">VLOOKUP(financials[[#This Row],[ID]],Prices!D:F,3,FALSE)</f>
        <v>21</v>
      </c>
      <c r="I370" s="1">
        <f ca="1">financials[[#This Row],[Units Sold]]*financials[[#This Row],[Sale Price]]</f>
        <v>15645</v>
      </c>
      <c r="J3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782.25</v>
      </c>
      <c r="K370" s="1">
        <f ca="1">financials[[#This Row],[Gross Sales]]-financials[[#This Row],[Discounts]]</f>
        <v>14862.75</v>
      </c>
      <c r="L370" s="1">
        <f ca="1">financials[[#This Row],[Units Sold]]*financials[[#This Row],[Manufacturing Price]]</f>
        <v>12665</v>
      </c>
      <c r="M370" s="1">
        <f ca="1">financials[[#This Row],[Sales]]-financials[[#This Row],[COGS]]</f>
        <v>2197.75</v>
      </c>
      <c r="N370" s="7">
        <f t="shared" ca="1" si="11"/>
        <v>45512</v>
      </c>
      <c r="O370" s="8">
        <f ca="1">MONTH(financials[[#This Row],[Date]])</f>
        <v>8</v>
      </c>
      <c r="P370" s="6" t="str">
        <f ca="1">TEXT(financials[[#This Row],[Date]],"MMM")</f>
        <v>Aug</v>
      </c>
      <c r="Q370">
        <f ca="1">YEAR(financials[[#This Row],[Date]])</f>
        <v>2024</v>
      </c>
      <c r="S370" s="10"/>
    </row>
    <row r="371" spans="1:19" x14ac:dyDescent="0.3">
      <c r="A371" t="s">
        <v>21</v>
      </c>
      <c r="B371" t="s">
        <v>20</v>
      </c>
      <c r="C371" s="6" t="s">
        <v>24</v>
      </c>
      <c r="D371" s="6" t="str">
        <f>CONCATENATE(financials[[#This Row],[Segment]],",",financials[[#This Row],[Country]],",",financials[[#This Row],[Product]])</f>
        <v>Midmarket,Germany,Montana</v>
      </c>
      <c r="E371" s="6" t="s">
        <v>33</v>
      </c>
      <c r="F371">
        <f t="shared" ca="1" si="10"/>
        <v>474</v>
      </c>
      <c r="G371" s="1">
        <f ca="1">VLOOKUP(financials[[#This Row],[ID]],Prices!D:F,2,FALSE)</f>
        <v>19</v>
      </c>
      <c r="H371" s="1">
        <f ca="1">VLOOKUP(financials[[#This Row],[ID]],Prices!D:F,3,FALSE)</f>
        <v>34</v>
      </c>
      <c r="I371" s="1">
        <f ca="1">financials[[#This Row],[Units Sold]]*financials[[#This Row],[Sale Price]]</f>
        <v>16116</v>
      </c>
      <c r="J3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805.80000000000007</v>
      </c>
      <c r="K371" s="1">
        <f ca="1">financials[[#This Row],[Gross Sales]]-financials[[#This Row],[Discounts]]</f>
        <v>15310.2</v>
      </c>
      <c r="L371" s="1">
        <f ca="1">financials[[#This Row],[Units Sold]]*financials[[#This Row],[Manufacturing Price]]</f>
        <v>9006</v>
      </c>
      <c r="M371" s="1">
        <f ca="1">financials[[#This Row],[Sales]]-financials[[#This Row],[COGS]]</f>
        <v>6304.2000000000007</v>
      </c>
      <c r="N371" s="7">
        <f t="shared" ca="1" si="11"/>
        <v>45127</v>
      </c>
      <c r="O371" s="8">
        <f ca="1">MONTH(financials[[#This Row],[Date]])</f>
        <v>7</v>
      </c>
      <c r="P371" s="6" t="str">
        <f ca="1">TEXT(financials[[#This Row],[Date]],"MMM")</f>
        <v>Jul</v>
      </c>
      <c r="Q371">
        <f ca="1">YEAR(financials[[#This Row],[Date]])</f>
        <v>2023</v>
      </c>
      <c r="S371" s="10"/>
    </row>
    <row r="372" spans="1:19" x14ac:dyDescent="0.3">
      <c r="A372" t="s">
        <v>26</v>
      </c>
      <c r="B372" t="s">
        <v>23</v>
      </c>
      <c r="C372" s="6" t="s">
        <v>28</v>
      </c>
      <c r="D372" s="6" t="str">
        <f>CONCATENATE(financials[[#This Row],[Segment]],",",financials[[#This Row],[Country]],",",financials[[#This Row],[Product]])</f>
        <v>Enterprise,Mexico,Paseo</v>
      </c>
      <c r="E372" s="6" t="s">
        <v>33</v>
      </c>
      <c r="F372">
        <f t="shared" ca="1" si="10"/>
        <v>210</v>
      </c>
      <c r="G372" s="1">
        <f ca="1">VLOOKUP(financials[[#This Row],[ID]],Prices!D:F,2,FALSE)</f>
        <v>17</v>
      </c>
      <c r="H372" s="1">
        <f ca="1">VLOOKUP(financials[[#This Row],[ID]],Prices!D:F,3,FALSE)</f>
        <v>27</v>
      </c>
      <c r="I372" s="1">
        <f ca="1">financials[[#This Row],[Units Sold]]*financials[[#This Row],[Sale Price]]</f>
        <v>5670</v>
      </c>
      <c r="J3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283.5</v>
      </c>
      <c r="K372" s="1">
        <f ca="1">financials[[#This Row],[Gross Sales]]-financials[[#This Row],[Discounts]]</f>
        <v>5386.5</v>
      </c>
      <c r="L372" s="1">
        <f ca="1">financials[[#This Row],[Units Sold]]*financials[[#This Row],[Manufacturing Price]]</f>
        <v>3570</v>
      </c>
      <c r="M372" s="1">
        <f ca="1">financials[[#This Row],[Sales]]-financials[[#This Row],[COGS]]</f>
        <v>1816.5</v>
      </c>
      <c r="N372" s="7">
        <f t="shared" ca="1" si="11"/>
        <v>45060</v>
      </c>
      <c r="O372" s="8">
        <f ca="1">MONTH(financials[[#This Row],[Date]])</f>
        <v>5</v>
      </c>
      <c r="P372" s="6" t="str">
        <f ca="1">TEXT(financials[[#This Row],[Date]],"MMM")</f>
        <v>May</v>
      </c>
      <c r="Q372">
        <f ca="1">YEAR(financials[[#This Row],[Date]])</f>
        <v>2023</v>
      </c>
      <c r="S372" s="10"/>
    </row>
    <row r="373" spans="1:19" x14ac:dyDescent="0.3">
      <c r="A373" t="s">
        <v>16</v>
      </c>
      <c r="B373" t="s">
        <v>20</v>
      </c>
      <c r="C373" s="6" t="s">
        <v>28</v>
      </c>
      <c r="D373" s="6" t="str">
        <f>CONCATENATE(financials[[#This Row],[Segment]],",",financials[[#This Row],[Country]],",",financials[[#This Row],[Product]])</f>
        <v>Government,Germany,Paseo</v>
      </c>
      <c r="E373" s="6" t="s">
        <v>33</v>
      </c>
      <c r="F373">
        <f t="shared" ca="1" si="10"/>
        <v>296</v>
      </c>
      <c r="G373" s="1">
        <f ca="1">VLOOKUP(financials[[#This Row],[ID]],Prices!D:F,2,FALSE)</f>
        <v>19</v>
      </c>
      <c r="H373" s="1">
        <f ca="1">VLOOKUP(financials[[#This Row],[ID]],Prices!D:F,3,FALSE)</f>
        <v>37</v>
      </c>
      <c r="I373" s="1">
        <f ca="1">financials[[#This Row],[Units Sold]]*financials[[#This Row],[Sale Price]]</f>
        <v>10952</v>
      </c>
      <c r="J3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547.6</v>
      </c>
      <c r="K373" s="1">
        <f ca="1">financials[[#This Row],[Gross Sales]]-financials[[#This Row],[Discounts]]</f>
        <v>10404.4</v>
      </c>
      <c r="L373" s="1">
        <f ca="1">financials[[#This Row],[Units Sold]]*financials[[#This Row],[Manufacturing Price]]</f>
        <v>5624</v>
      </c>
      <c r="M373" s="1">
        <f ca="1">financials[[#This Row],[Sales]]-financials[[#This Row],[COGS]]</f>
        <v>4780.3999999999996</v>
      </c>
      <c r="N373" s="7">
        <f t="shared" ca="1" si="11"/>
        <v>45660</v>
      </c>
      <c r="O373" s="8">
        <f ca="1">MONTH(financials[[#This Row],[Date]])</f>
        <v>1</v>
      </c>
      <c r="P373" s="6" t="str">
        <f ca="1">TEXT(financials[[#This Row],[Date]],"MMM")</f>
        <v>Jan</v>
      </c>
      <c r="Q373">
        <f ca="1">YEAR(financials[[#This Row],[Date]])</f>
        <v>2025</v>
      </c>
      <c r="S373" s="10"/>
    </row>
    <row r="374" spans="1:19" x14ac:dyDescent="0.3">
      <c r="A374" t="s">
        <v>16</v>
      </c>
      <c r="B374" t="s">
        <v>20</v>
      </c>
      <c r="C374" s="6" t="s">
        <v>28</v>
      </c>
      <c r="D374" s="6" t="str">
        <f>CONCATENATE(financials[[#This Row],[Segment]],",",financials[[#This Row],[Country]],",",financials[[#This Row],[Product]])</f>
        <v>Government,Germany,Paseo</v>
      </c>
      <c r="E374" s="6" t="s">
        <v>33</v>
      </c>
      <c r="F374">
        <f t="shared" ca="1" si="10"/>
        <v>318</v>
      </c>
      <c r="G374" s="1">
        <f ca="1">VLOOKUP(financials[[#This Row],[ID]],Prices!D:F,2,FALSE)</f>
        <v>19</v>
      </c>
      <c r="H374" s="1">
        <f ca="1">VLOOKUP(financials[[#This Row],[ID]],Prices!D:F,3,FALSE)</f>
        <v>37</v>
      </c>
      <c r="I374" s="1">
        <f ca="1">financials[[#This Row],[Units Sold]]*financials[[#This Row],[Sale Price]]</f>
        <v>11766</v>
      </c>
      <c r="J3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588.30000000000007</v>
      </c>
      <c r="K374" s="1">
        <f ca="1">financials[[#This Row],[Gross Sales]]-financials[[#This Row],[Discounts]]</f>
        <v>11177.7</v>
      </c>
      <c r="L374" s="1">
        <f ca="1">financials[[#This Row],[Units Sold]]*financials[[#This Row],[Manufacturing Price]]</f>
        <v>6042</v>
      </c>
      <c r="M374" s="1">
        <f ca="1">financials[[#This Row],[Sales]]-financials[[#This Row],[COGS]]</f>
        <v>5135.7000000000007</v>
      </c>
      <c r="N374" s="7">
        <f t="shared" ca="1" si="11"/>
        <v>45496</v>
      </c>
      <c r="O374" s="8">
        <f ca="1">MONTH(financials[[#This Row],[Date]])</f>
        <v>7</v>
      </c>
      <c r="P374" s="6" t="str">
        <f ca="1">TEXT(financials[[#This Row],[Date]],"MMM")</f>
        <v>Jul</v>
      </c>
      <c r="Q374">
        <f ca="1">YEAR(financials[[#This Row],[Date]])</f>
        <v>2024</v>
      </c>
      <c r="S374" s="10"/>
    </row>
    <row r="375" spans="1:19" x14ac:dyDescent="0.3">
      <c r="A375" t="s">
        <v>16</v>
      </c>
      <c r="B375" t="s">
        <v>20</v>
      </c>
      <c r="C375" s="6" t="s">
        <v>28</v>
      </c>
      <c r="D375" s="6" t="str">
        <f>CONCATENATE(financials[[#This Row],[Segment]],",",financials[[#This Row],[Country]],",",financials[[#This Row],[Product]])</f>
        <v>Government,Germany,Paseo</v>
      </c>
      <c r="E375" s="6" t="s">
        <v>33</v>
      </c>
      <c r="F375">
        <f t="shared" ca="1" si="10"/>
        <v>522</v>
      </c>
      <c r="G375" s="1">
        <f ca="1">VLOOKUP(financials[[#This Row],[ID]],Prices!D:F,2,FALSE)</f>
        <v>19</v>
      </c>
      <c r="H375" s="1">
        <f ca="1">VLOOKUP(financials[[#This Row],[ID]],Prices!D:F,3,FALSE)</f>
        <v>37</v>
      </c>
      <c r="I375" s="1">
        <f ca="1">financials[[#This Row],[Units Sold]]*financials[[#This Row],[Sale Price]]</f>
        <v>19314</v>
      </c>
      <c r="J3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965.7</v>
      </c>
      <c r="K375" s="1">
        <f ca="1">financials[[#This Row],[Gross Sales]]-financials[[#This Row],[Discounts]]</f>
        <v>18348.3</v>
      </c>
      <c r="L375" s="1">
        <f ca="1">financials[[#This Row],[Units Sold]]*financials[[#This Row],[Manufacturing Price]]</f>
        <v>9918</v>
      </c>
      <c r="M375" s="1">
        <f ca="1">financials[[#This Row],[Sales]]-financials[[#This Row],[COGS]]</f>
        <v>8430.2999999999993</v>
      </c>
      <c r="N375" s="7">
        <f t="shared" ca="1" si="11"/>
        <v>45489</v>
      </c>
      <c r="O375" s="8">
        <f ca="1">MONTH(financials[[#This Row],[Date]])</f>
        <v>7</v>
      </c>
      <c r="P375" s="6" t="str">
        <f ca="1">TEXT(financials[[#This Row],[Date]],"MMM")</f>
        <v>Jul</v>
      </c>
      <c r="Q375">
        <f ca="1">YEAR(financials[[#This Row],[Date]])</f>
        <v>2024</v>
      </c>
      <c r="S375" s="10"/>
    </row>
    <row r="376" spans="1:19" x14ac:dyDescent="0.3">
      <c r="A376" t="s">
        <v>27</v>
      </c>
      <c r="B376" t="s">
        <v>23</v>
      </c>
      <c r="C376" s="6" t="s">
        <v>28</v>
      </c>
      <c r="D376" s="6" t="str">
        <f>CONCATENATE(financials[[#This Row],[Segment]],",",financials[[#This Row],[Country]],",",financials[[#This Row],[Product]])</f>
        <v>Small Business,Mexico,Paseo</v>
      </c>
      <c r="E376" s="6" t="s">
        <v>33</v>
      </c>
      <c r="F376">
        <f t="shared" ca="1" si="10"/>
        <v>77</v>
      </c>
      <c r="G376" s="1">
        <f ca="1">VLOOKUP(financials[[#This Row],[ID]],Prices!D:F,2,FALSE)</f>
        <v>20</v>
      </c>
      <c r="H376" s="1">
        <f ca="1">VLOOKUP(financials[[#This Row],[ID]],Prices!D:F,3,FALSE)</f>
        <v>20</v>
      </c>
      <c r="I376" s="1">
        <f ca="1">financials[[#This Row],[Units Sold]]*financials[[#This Row],[Sale Price]]</f>
        <v>1540</v>
      </c>
      <c r="J3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</v>
      </c>
      <c r="K376" s="1">
        <f ca="1">financials[[#This Row],[Gross Sales]]-financials[[#This Row],[Discounts]]</f>
        <v>1463</v>
      </c>
      <c r="L376" s="1">
        <f ca="1">financials[[#This Row],[Units Sold]]*financials[[#This Row],[Manufacturing Price]]</f>
        <v>1540</v>
      </c>
      <c r="M376" s="1">
        <f ca="1">financials[[#This Row],[Sales]]-financials[[#This Row],[COGS]]</f>
        <v>-77</v>
      </c>
      <c r="N376" s="7">
        <f t="shared" ca="1" si="11"/>
        <v>45681</v>
      </c>
      <c r="O376" s="8">
        <f ca="1">MONTH(financials[[#This Row],[Date]])</f>
        <v>1</v>
      </c>
      <c r="P376" s="6" t="str">
        <f ca="1">TEXT(financials[[#This Row],[Date]],"MMM")</f>
        <v>Jan</v>
      </c>
      <c r="Q376">
        <f ca="1">YEAR(financials[[#This Row],[Date]])</f>
        <v>2025</v>
      </c>
      <c r="S376" s="10"/>
    </row>
    <row r="377" spans="1:19" x14ac:dyDescent="0.3">
      <c r="A377" t="s">
        <v>16</v>
      </c>
      <c r="B377" t="s">
        <v>36</v>
      </c>
      <c r="C377" s="6" t="s">
        <v>28</v>
      </c>
      <c r="D377" s="6" t="str">
        <f>CONCATENATE(financials[[#This Row],[Segment]],",",financials[[#This Row],[Country]],",",financials[[#This Row],[Product]])</f>
        <v>Government,USA,Paseo</v>
      </c>
      <c r="E377" s="6" t="s">
        <v>33</v>
      </c>
      <c r="F377">
        <f t="shared" ca="1" si="10"/>
        <v>500</v>
      </c>
      <c r="G377" s="1">
        <f ca="1">VLOOKUP(financials[[#This Row],[ID]],Prices!D:F,2,FALSE)</f>
        <v>17</v>
      </c>
      <c r="H377" s="1">
        <f ca="1">VLOOKUP(financials[[#This Row],[ID]],Prices!D:F,3,FALSE)</f>
        <v>36</v>
      </c>
      <c r="I377" s="1">
        <f ca="1">financials[[#This Row],[Units Sold]]*financials[[#This Row],[Sale Price]]</f>
        <v>18000</v>
      </c>
      <c r="J3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900</v>
      </c>
      <c r="K377" s="1">
        <f ca="1">financials[[#This Row],[Gross Sales]]-financials[[#This Row],[Discounts]]</f>
        <v>17100</v>
      </c>
      <c r="L377" s="1">
        <f ca="1">financials[[#This Row],[Units Sold]]*financials[[#This Row],[Manufacturing Price]]</f>
        <v>8500</v>
      </c>
      <c r="M377" s="1">
        <f ca="1">financials[[#This Row],[Sales]]-financials[[#This Row],[COGS]]</f>
        <v>8600</v>
      </c>
      <c r="N377" s="7">
        <f t="shared" ca="1" si="11"/>
        <v>45753</v>
      </c>
      <c r="O377" s="8">
        <f ca="1">MONTH(financials[[#This Row],[Date]])</f>
        <v>4</v>
      </c>
      <c r="P377" s="6" t="str">
        <f ca="1">TEXT(financials[[#This Row],[Date]],"MMM")</f>
        <v>Apr</v>
      </c>
      <c r="Q377">
        <f ca="1">YEAR(financials[[#This Row],[Date]])</f>
        <v>2025</v>
      </c>
      <c r="S377" s="10"/>
    </row>
    <row r="378" spans="1:19" x14ac:dyDescent="0.3">
      <c r="A378" t="s">
        <v>16</v>
      </c>
      <c r="B378" t="s">
        <v>20</v>
      </c>
      <c r="C378" s="6" t="s">
        <v>28</v>
      </c>
      <c r="D378" s="6" t="str">
        <f>CONCATENATE(financials[[#This Row],[Segment]],",",financials[[#This Row],[Country]],",",financials[[#This Row],[Product]])</f>
        <v>Government,Germany,Paseo</v>
      </c>
      <c r="E378" s="6" t="s">
        <v>33</v>
      </c>
      <c r="F378">
        <f t="shared" ca="1" si="10"/>
        <v>458</v>
      </c>
      <c r="G378" s="1">
        <f ca="1">VLOOKUP(financials[[#This Row],[ID]],Prices!D:F,2,FALSE)</f>
        <v>19</v>
      </c>
      <c r="H378" s="1">
        <f ca="1">VLOOKUP(financials[[#This Row],[ID]],Prices!D:F,3,FALSE)</f>
        <v>37</v>
      </c>
      <c r="I378" s="1">
        <f ca="1">financials[[#This Row],[Units Sold]]*financials[[#This Row],[Sale Price]]</f>
        <v>16946</v>
      </c>
      <c r="J3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847.30000000000007</v>
      </c>
      <c r="K378" s="1">
        <f ca="1">financials[[#This Row],[Gross Sales]]-financials[[#This Row],[Discounts]]</f>
        <v>16098.7</v>
      </c>
      <c r="L378" s="1">
        <f ca="1">financials[[#This Row],[Units Sold]]*financials[[#This Row],[Manufacturing Price]]</f>
        <v>8702</v>
      </c>
      <c r="M378" s="1">
        <f ca="1">financials[[#This Row],[Sales]]-financials[[#This Row],[COGS]]</f>
        <v>7396.7000000000007</v>
      </c>
      <c r="N378" s="7">
        <f t="shared" ca="1" si="11"/>
        <v>45065</v>
      </c>
      <c r="O378" s="8">
        <f ca="1">MONTH(financials[[#This Row],[Date]])</f>
        <v>5</v>
      </c>
      <c r="P378" s="6" t="str">
        <f ca="1">TEXT(financials[[#This Row],[Date]],"MMM")</f>
        <v>May</v>
      </c>
      <c r="Q378">
        <f ca="1">YEAR(financials[[#This Row],[Date]])</f>
        <v>2023</v>
      </c>
      <c r="S378" s="10"/>
    </row>
    <row r="379" spans="1:19" x14ac:dyDescent="0.3">
      <c r="A379" t="s">
        <v>16</v>
      </c>
      <c r="B379" t="s">
        <v>20</v>
      </c>
      <c r="C379" s="6" t="s">
        <v>28</v>
      </c>
      <c r="D379" s="6" t="str">
        <f>CONCATENATE(financials[[#This Row],[Segment]],",",financials[[#This Row],[Country]],",",financials[[#This Row],[Product]])</f>
        <v>Government,Germany,Paseo</v>
      </c>
      <c r="E379" s="6" t="s">
        <v>33</v>
      </c>
      <c r="F379">
        <f t="shared" ca="1" si="10"/>
        <v>391</v>
      </c>
      <c r="G379" s="1">
        <f ca="1">VLOOKUP(financials[[#This Row],[ID]],Prices!D:F,2,FALSE)</f>
        <v>19</v>
      </c>
      <c r="H379" s="1">
        <f ca="1">VLOOKUP(financials[[#This Row],[ID]],Prices!D:F,3,FALSE)</f>
        <v>37</v>
      </c>
      <c r="I379" s="1">
        <f ca="1">financials[[#This Row],[Units Sold]]*financials[[#This Row],[Sale Price]]</f>
        <v>14467</v>
      </c>
      <c r="J3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723.35</v>
      </c>
      <c r="K379" s="1">
        <f ca="1">financials[[#This Row],[Gross Sales]]-financials[[#This Row],[Discounts]]</f>
        <v>13743.65</v>
      </c>
      <c r="L379" s="1">
        <f ca="1">financials[[#This Row],[Units Sold]]*financials[[#This Row],[Manufacturing Price]]</f>
        <v>7429</v>
      </c>
      <c r="M379" s="1">
        <f ca="1">financials[[#This Row],[Sales]]-financials[[#This Row],[COGS]]</f>
        <v>6314.65</v>
      </c>
      <c r="N379" s="7">
        <f t="shared" ca="1" si="11"/>
        <v>45673</v>
      </c>
      <c r="O379" s="8">
        <f ca="1">MONTH(financials[[#This Row],[Date]])</f>
        <v>1</v>
      </c>
      <c r="P379" s="6" t="str">
        <f ca="1">TEXT(financials[[#This Row],[Date]],"MMM")</f>
        <v>Jan</v>
      </c>
      <c r="Q379">
        <f ca="1">YEAR(financials[[#This Row],[Date]])</f>
        <v>2025</v>
      </c>
      <c r="S379" s="10"/>
    </row>
    <row r="380" spans="1:19" x14ac:dyDescent="0.3">
      <c r="A380" t="s">
        <v>16</v>
      </c>
      <c r="B380" t="s">
        <v>20</v>
      </c>
      <c r="C380" s="6" t="s">
        <v>28</v>
      </c>
      <c r="D380" s="6" t="str">
        <f>CONCATENATE(financials[[#This Row],[Segment]],",",financials[[#This Row],[Country]],",",financials[[#This Row],[Product]])</f>
        <v>Government,Germany,Paseo</v>
      </c>
      <c r="E380" s="6" t="s">
        <v>33</v>
      </c>
      <c r="F380">
        <f t="shared" ca="1" si="10"/>
        <v>319</v>
      </c>
      <c r="G380" s="1">
        <f ca="1">VLOOKUP(financials[[#This Row],[ID]],Prices!D:F,2,FALSE)</f>
        <v>19</v>
      </c>
      <c r="H380" s="1">
        <f ca="1">VLOOKUP(financials[[#This Row],[ID]],Prices!D:F,3,FALSE)</f>
        <v>37</v>
      </c>
      <c r="I380" s="1">
        <f ca="1">financials[[#This Row],[Units Sold]]*financials[[#This Row],[Sale Price]]</f>
        <v>11803</v>
      </c>
      <c r="J3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590.15</v>
      </c>
      <c r="K380" s="1">
        <f ca="1">financials[[#This Row],[Gross Sales]]-financials[[#This Row],[Discounts]]</f>
        <v>11212.85</v>
      </c>
      <c r="L380" s="1">
        <f ca="1">financials[[#This Row],[Units Sold]]*financials[[#This Row],[Manufacturing Price]]</f>
        <v>6061</v>
      </c>
      <c r="M380" s="1">
        <f ca="1">financials[[#This Row],[Sales]]-financials[[#This Row],[COGS]]</f>
        <v>5151.8500000000004</v>
      </c>
      <c r="N380" s="7">
        <f t="shared" ca="1" si="11"/>
        <v>45138</v>
      </c>
      <c r="O380" s="8">
        <f ca="1">MONTH(financials[[#This Row],[Date]])</f>
        <v>7</v>
      </c>
      <c r="P380" s="6" t="str">
        <f ca="1">TEXT(financials[[#This Row],[Date]],"MMM")</f>
        <v>Jul</v>
      </c>
      <c r="Q380">
        <f ca="1">YEAR(financials[[#This Row],[Date]])</f>
        <v>2023</v>
      </c>
      <c r="S380" s="10"/>
    </row>
    <row r="381" spans="1:19" x14ac:dyDescent="0.3">
      <c r="A381" t="s">
        <v>16</v>
      </c>
      <c r="B381" t="s">
        <v>23</v>
      </c>
      <c r="C381" s="6" t="s">
        <v>28</v>
      </c>
      <c r="D381" s="6" t="str">
        <f>CONCATENATE(financials[[#This Row],[Segment]],",",financials[[#This Row],[Country]],",",financials[[#This Row],[Product]])</f>
        <v>Government,Mexico,Paseo</v>
      </c>
      <c r="E381" s="6" t="s">
        <v>33</v>
      </c>
      <c r="F381">
        <f t="shared" ca="1" si="10"/>
        <v>981</v>
      </c>
      <c r="G381" s="1">
        <f ca="1">VLOOKUP(financials[[#This Row],[ID]],Prices!D:F,2,FALSE)</f>
        <v>18</v>
      </c>
      <c r="H381" s="1">
        <f ca="1">VLOOKUP(financials[[#This Row],[ID]],Prices!D:F,3,FALSE)</f>
        <v>19</v>
      </c>
      <c r="I381" s="1">
        <f ca="1">financials[[#This Row],[Units Sold]]*financials[[#This Row],[Sale Price]]</f>
        <v>18639</v>
      </c>
      <c r="J3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931.95</v>
      </c>
      <c r="K381" s="1">
        <f ca="1">financials[[#This Row],[Gross Sales]]-financials[[#This Row],[Discounts]]</f>
        <v>17707.05</v>
      </c>
      <c r="L381" s="1">
        <f ca="1">financials[[#This Row],[Units Sold]]*financials[[#This Row],[Manufacturing Price]]</f>
        <v>17658</v>
      </c>
      <c r="M381" s="1">
        <f ca="1">financials[[#This Row],[Sales]]-financials[[#This Row],[COGS]]</f>
        <v>49.049999999999272</v>
      </c>
      <c r="N381" s="7">
        <f t="shared" ca="1" si="11"/>
        <v>45749</v>
      </c>
      <c r="O381" s="8">
        <f ca="1">MONTH(financials[[#This Row],[Date]])</f>
        <v>4</v>
      </c>
      <c r="P381" s="6" t="str">
        <f ca="1">TEXT(financials[[#This Row],[Date]],"MMM")</f>
        <v>Apr</v>
      </c>
      <c r="Q381">
        <f ca="1">YEAR(financials[[#This Row],[Date]])</f>
        <v>2025</v>
      </c>
      <c r="S381" s="10"/>
    </row>
    <row r="382" spans="1:19" x14ac:dyDescent="0.3">
      <c r="A382" t="s">
        <v>16</v>
      </c>
      <c r="B382" t="s">
        <v>20</v>
      </c>
      <c r="C382" s="6" t="s">
        <v>28</v>
      </c>
      <c r="D382" s="6" t="str">
        <f>CONCATENATE(financials[[#This Row],[Segment]],",",financials[[#This Row],[Country]],",",financials[[#This Row],[Product]])</f>
        <v>Government,Germany,Paseo</v>
      </c>
      <c r="E382" s="6" t="s">
        <v>33</v>
      </c>
      <c r="F382">
        <f t="shared" ca="1" si="10"/>
        <v>450</v>
      </c>
      <c r="G382" s="1">
        <f ca="1">VLOOKUP(financials[[#This Row],[ID]],Prices!D:F,2,FALSE)</f>
        <v>19</v>
      </c>
      <c r="H382" s="1">
        <f ca="1">VLOOKUP(financials[[#This Row],[ID]],Prices!D:F,3,FALSE)</f>
        <v>37</v>
      </c>
      <c r="I382" s="1">
        <f ca="1">financials[[#This Row],[Units Sold]]*financials[[#This Row],[Sale Price]]</f>
        <v>16650</v>
      </c>
      <c r="J3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832.5</v>
      </c>
      <c r="K382" s="1">
        <f ca="1">financials[[#This Row],[Gross Sales]]-financials[[#This Row],[Discounts]]</f>
        <v>15817.5</v>
      </c>
      <c r="L382" s="1">
        <f ca="1">financials[[#This Row],[Units Sold]]*financials[[#This Row],[Manufacturing Price]]</f>
        <v>8550</v>
      </c>
      <c r="M382" s="1">
        <f ca="1">financials[[#This Row],[Sales]]-financials[[#This Row],[COGS]]</f>
        <v>7267.5</v>
      </c>
      <c r="N382" s="7">
        <f t="shared" ca="1" si="11"/>
        <v>45495</v>
      </c>
      <c r="O382" s="8">
        <f ca="1">MONTH(financials[[#This Row],[Date]])</f>
        <v>7</v>
      </c>
      <c r="P382" s="6" t="str">
        <f ca="1">TEXT(financials[[#This Row],[Date]],"MMM")</f>
        <v>Jul</v>
      </c>
      <c r="Q382">
        <f ca="1">YEAR(financials[[#This Row],[Date]])</f>
        <v>2024</v>
      </c>
      <c r="S382" s="10"/>
    </row>
    <row r="383" spans="1:19" x14ac:dyDescent="0.3">
      <c r="A383" t="s">
        <v>16</v>
      </c>
      <c r="B383" t="s">
        <v>23</v>
      </c>
      <c r="C383" s="6" t="s">
        <v>28</v>
      </c>
      <c r="D383" s="6" t="str">
        <f>CONCATENATE(financials[[#This Row],[Segment]],",",financials[[#This Row],[Country]],",",financials[[#This Row],[Product]])</f>
        <v>Government,Mexico,Paseo</v>
      </c>
      <c r="E383" s="6" t="s">
        <v>33</v>
      </c>
      <c r="F383">
        <f t="shared" ca="1" si="10"/>
        <v>170</v>
      </c>
      <c r="G383" s="1">
        <f ca="1">VLOOKUP(financials[[#This Row],[ID]],Prices!D:F,2,FALSE)</f>
        <v>18</v>
      </c>
      <c r="H383" s="1">
        <f ca="1">VLOOKUP(financials[[#This Row],[ID]],Prices!D:F,3,FALSE)</f>
        <v>19</v>
      </c>
      <c r="I383" s="1">
        <f ca="1">financials[[#This Row],[Units Sold]]*financials[[#This Row],[Sale Price]]</f>
        <v>3230</v>
      </c>
      <c r="J3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161.5</v>
      </c>
      <c r="K383" s="1">
        <f ca="1">financials[[#This Row],[Gross Sales]]-financials[[#This Row],[Discounts]]</f>
        <v>3068.5</v>
      </c>
      <c r="L383" s="1">
        <f ca="1">financials[[#This Row],[Units Sold]]*financials[[#This Row],[Manufacturing Price]]</f>
        <v>3060</v>
      </c>
      <c r="M383" s="1">
        <f ca="1">financials[[#This Row],[Sales]]-financials[[#This Row],[COGS]]</f>
        <v>8.5</v>
      </c>
      <c r="N383" s="7">
        <f t="shared" ca="1" si="11"/>
        <v>45369</v>
      </c>
      <c r="O383" s="8">
        <f ca="1">MONTH(financials[[#This Row],[Date]])</f>
        <v>3</v>
      </c>
      <c r="P383" s="6" t="str">
        <f ca="1">TEXT(financials[[#This Row],[Date]],"MMM")</f>
        <v>Mar</v>
      </c>
      <c r="Q383">
        <f ca="1">YEAR(financials[[#This Row],[Date]])</f>
        <v>2024</v>
      </c>
      <c r="S383" s="10"/>
    </row>
    <row r="384" spans="1:19" x14ac:dyDescent="0.3">
      <c r="A384" t="s">
        <v>16</v>
      </c>
      <c r="B384" t="s">
        <v>23</v>
      </c>
      <c r="C384" s="6" t="s">
        <v>28</v>
      </c>
      <c r="D384" s="6" t="str">
        <f>CONCATENATE(financials[[#This Row],[Segment]],",",financials[[#This Row],[Country]],",",financials[[#This Row],[Product]])</f>
        <v>Government,Mexico,Paseo</v>
      </c>
      <c r="E384" s="6" t="s">
        <v>33</v>
      </c>
      <c r="F384">
        <f t="shared" ca="1" si="10"/>
        <v>497</v>
      </c>
      <c r="G384" s="1">
        <f ca="1">VLOOKUP(financials[[#This Row],[ID]],Prices!D:F,2,FALSE)</f>
        <v>18</v>
      </c>
      <c r="H384" s="1">
        <f ca="1">VLOOKUP(financials[[#This Row],[ID]],Prices!D:F,3,FALSE)</f>
        <v>19</v>
      </c>
      <c r="I384" s="1">
        <f ca="1">financials[[#This Row],[Units Sold]]*financials[[#This Row],[Sale Price]]</f>
        <v>9443</v>
      </c>
      <c r="J3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472.15000000000003</v>
      </c>
      <c r="K384" s="1">
        <f ca="1">financials[[#This Row],[Gross Sales]]-financials[[#This Row],[Discounts]]</f>
        <v>8970.85</v>
      </c>
      <c r="L384" s="1">
        <f ca="1">financials[[#This Row],[Units Sold]]*financials[[#This Row],[Manufacturing Price]]</f>
        <v>8946</v>
      </c>
      <c r="M384" s="1">
        <f ca="1">financials[[#This Row],[Sales]]-financials[[#This Row],[COGS]]</f>
        <v>24.850000000000364</v>
      </c>
      <c r="N384" s="7">
        <f t="shared" ca="1" si="11"/>
        <v>45443</v>
      </c>
      <c r="O384" s="8">
        <f ca="1">MONTH(financials[[#This Row],[Date]])</f>
        <v>5</v>
      </c>
      <c r="P384" s="6" t="str">
        <f ca="1">TEXT(financials[[#This Row],[Date]],"MMM")</f>
        <v>May</v>
      </c>
      <c r="Q384">
        <f ca="1">YEAR(financials[[#This Row],[Date]])</f>
        <v>2024</v>
      </c>
      <c r="S384" s="10"/>
    </row>
    <row r="385" spans="1:19" x14ac:dyDescent="0.3">
      <c r="A385" t="s">
        <v>25</v>
      </c>
      <c r="B385" t="s">
        <v>17</v>
      </c>
      <c r="C385" s="6" t="s">
        <v>29</v>
      </c>
      <c r="D385" s="6" t="str">
        <f>CONCATENATE(financials[[#This Row],[Segment]],",",financials[[#This Row],[Country]],",",financials[[#This Row],[Product]])</f>
        <v>Channel Partners,Canada,Velo</v>
      </c>
      <c r="E385" s="6" t="s">
        <v>33</v>
      </c>
      <c r="F385">
        <f t="shared" ca="1" si="10"/>
        <v>95</v>
      </c>
      <c r="G385" s="1">
        <f ca="1">VLOOKUP(financials[[#This Row],[ID]],Prices!D:F,2,FALSE)</f>
        <v>15</v>
      </c>
      <c r="H385" s="1">
        <f ca="1">VLOOKUP(financials[[#This Row],[ID]],Prices!D:F,3,FALSE)</f>
        <v>33</v>
      </c>
      <c r="I385" s="1">
        <f ca="1">financials[[#This Row],[Units Sold]]*financials[[#This Row],[Sale Price]]</f>
        <v>3135</v>
      </c>
      <c r="J3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156.75</v>
      </c>
      <c r="K385" s="1">
        <f ca="1">financials[[#This Row],[Gross Sales]]-financials[[#This Row],[Discounts]]</f>
        <v>2978.25</v>
      </c>
      <c r="L385" s="1">
        <f ca="1">financials[[#This Row],[Units Sold]]*financials[[#This Row],[Manufacturing Price]]</f>
        <v>1425</v>
      </c>
      <c r="M385" s="1">
        <f ca="1">financials[[#This Row],[Sales]]-financials[[#This Row],[COGS]]</f>
        <v>1553.25</v>
      </c>
      <c r="N385" s="7">
        <f t="shared" ca="1" si="11"/>
        <v>45633</v>
      </c>
      <c r="O385" s="8">
        <f ca="1">MONTH(financials[[#This Row],[Date]])</f>
        <v>12</v>
      </c>
      <c r="P385" s="6" t="str">
        <f ca="1">TEXT(financials[[#This Row],[Date]],"MMM")</f>
        <v>Dec</v>
      </c>
      <c r="Q385">
        <f ca="1">YEAR(financials[[#This Row],[Date]])</f>
        <v>2024</v>
      </c>
      <c r="S385" s="10"/>
    </row>
    <row r="386" spans="1:19" x14ac:dyDescent="0.3">
      <c r="A386" t="s">
        <v>16</v>
      </c>
      <c r="B386" t="s">
        <v>36</v>
      </c>
      <c r="C386" s="6" t="s">
        <v>29</v>
      </c>
      <c r="D386" s="6" t="str">
        <f>CONCATENATE(financials[[#This Row],[Segment]],",",financials[[#This Row],[Country]],",",financials[[#This Row],[Product]])</f>
        <v>Government,USA,Velo</v>
      </c>
      <c r="E386" s="6" t="s">
        <v>33</v>
      </c>
      <c r="F386">
        <f t="shared" ca="1" si="10"/>
        <v>99</v>
      </c>
      <c r="G386" s="1">
        <f ca="1">VLOOKUP(financials[[#This Row],[ID]],Prices!D:F,2,FALSE)</f>
        <v>18</v>
      </c>
      <c r="H386" s="1">
        <f ca="1">VLOOKUP(financials[[#This Row],[ID]],Prices!D:F,3,FALSE)</f>
        <v>38</v>
      </c>
      <c r="I386" s="1">
        <f ca="1">financials[[#This Row],[Units Sold]]*financials[[#This Row],[Sale Price]]</f>
        <v>3762</v>
      </c>
      <c r="J3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188.10000000000002</v>
      </c>
      <c r="K386" s="1">
        <f ca="1">financials[[#This Row],[Gross Sales]]-financials[[#This Row],[Discounts]]</f>
        <v>3573.9</v>
      </c>
      <c r="L386" s="1">
        <f ca="1">financials[[#This Row],[Units Sold]]*financials[[#This Row],[Manufacturing Price]]</f>
        <v>1782</v>
      </c>
      <c r="M386" s="1">
        <f ca="1">financials[[#This Row],[Sales]]-financials[[#This Row],[COGS]]</f>
        <v>1791.9</v>
      </c>
      <c r="N386" s="7">
        <f t="shared" ca="1" si="11"/>
        <v>45633</v>
      </c>
      <c r="O386" s="8">
        <f ca="1">MONTH(financials[[#This Row],[Date]])</f>
        <v>12</v>
      </c>
      <c r="P386" s="6" t="str">
        <f ca="1">TEXT(financials[[#This Row],[Date]],"MMM")</f>
        <v>Dec</v>
      </c>
      <c r="Q386">
        <f ca="1">YEAR(financials[[#This Row],[Date]])</f>
        <v>2024</v>
      </c>
      <c r="S386" s="10"/>
    </row>
    <row r="387" spans="1:19" x14ac:dyDescent="0.3">
      <c r="A387" t="s">
        <v>16</v>
      </c>
      <c r="B387" t="s">
        <v>20</v>
      </c>
      <c r="C387" s="6" t="s">
        <v>29</v>
      </c>
      <c r="D387" s="6" t="str">
        <f>CONCATENATE(financials[[#This Row],[Segment]],",",financials[[#This Row],[Country]],",",financials[[#This Row],[Product]])</f>
        <v>Government,Germany,Velo</v>
      </c>
      <c r="E387" s="6" t="s">
        <v>33</v>
      </c>
      <c r="F387">
        <f t="shared" ref="F387:F450" ca="1" si="12">RANDBETWEEN(10,1000)</f>
        <v>839</v>
      </c>
      <c r="G387" s="1">
        <f ca="1">VLOOKUP(financials[[#This Row],[ID]],Prices!D:F,2,FALSE)</f>
        <v>13</v>
      </c>
      <c r="H387" s="1">
        <f ca="1">VLOOKUP(financials[[#This Row],[ID]],Prices!D:F,3,FALSE)</f>
        <v>19</v>
      </c>
      <c r="I387" s="1">
        <f ca="1">financials[[#This Row],[Units Sold]]*financials[[#This Row],[Sale Price]]</f>
        <v>15941</v>
      </c>
      <c r="J3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797.05000000000007</v>
      </c>
      <c r="K387" s="1">
        <f ca="1">financials[[#This Row],[Gross Sales]]-financials[[#This Row],[Discounts]]</f>
        <v>15143.95</v>
      </c>
      <c r="L387" s="1">
        <f ca="1">financials[[#This Row],[Units Sold]]*financials[[#This Row],[Manufacturing Price]]</f>
        <v>10907</v>
      </c>
      <c r="M387" s="1">
        <f ca="1">financials[[#This Row],[Sales]]-financials[[#This Row],[COGS]]</f>
        <v>4236.9500000000007</v>
      </c>
      <c r="N387" s="7">
        <f t="shared" ref="N387:N450" ca="1" si="13">TODAY()-RANDBETWEEN(1,732)</f>
        <v>45289</v>
      </c>
      <c r="O387" s="8">
        <f ca="1">MONTH(financials[[#This Row],[Date]])</f>
        <v>12</v>
      </c>
      <c r="P387" s="6" t="str">
        <f ca="1">TEXT(financials[[#This Row],[Date]],"MMM")</f>
        <v>Dec</v>
      </c>
      <c r="Q387">
        <f ca="1">YEAR(financials[[#This Row],[Date]])</f>
        <v>2023</v>
      </c>
      <c r="S387" s="10"/>
    </row>
    <row r="388" spans="1:19" x14ac:dyDescent="0.3">
      <c r="A388" t="s">
        <v>27</v>
      </c>
      <c r="B388" t="s">
        <v>22</v>
      </c>
      <c r="C388" s="6" t="s">
        <v>29</v>
      </c>
      <c r="D388" s="6" t="str">
        <f>CONCATENATE(financials[[#This Row],[Segment]],",",financials[[#This Row],[Country]],",",financials[[#This Row],[Product]])</f>
        <v>Small Business,France,Velo</v>
      </c>
      <c r="E388" s="6" t="s">
        <v>33</v>
      </c>
      <c r="F388">
        <f t="shared" ca="1" si="12"/>
        <v>839</v>
      </c>
      <c r="G388" s="1">
        <f ca="1">VLOOKUP(financials[[#This Row],[ID]],Prices!D:F,2,FALSE)</f>
        <v>17</v>
      </c>
      <c r="H388" s="1">
        <f ca="1">VLOOKUP(financials[[#This Row],[ID]],Prices!D:F,3,FALSE)</f>
        <v>22</v>
      </c>
      <c r="I388" s="1">
        <f ca="1">financials[[#This Row],[Units Sold]]*financials[[#This Row],[Sale Price]]</f>
        <v>18458</v>
      </c>
      <c r="J3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922.90000000000009</v>
      </c>
      <c r="K388" s="1">
        <f ca="1">financials[[#This Row],[Gross Sales]]-financials[[#This Row],[Discounts]]</f>
        <v>17535.099999999999</v>
      </c>
      <c r="L388" s="1">
        <f ca="1">financials[[#This Row],[Units Sold]]*financials[[#This Row],[Manufacturing Price]]</f>
        <v>14263</v>
      </c>
      <c r="M388" s="1">
        <f ca="1">financials[[#This Row],[Sales]]-financials[[#This Row],[COGS]]</f>
        <v>3272.0999999999985</v>
      </c>
      <c r="N388" s="7">
        <f t="shared" ca="1" si="13"/>
        <v>45194</v>
      </c>
      <c r="O388" s="8">
        <f ca="1">MONTH(financials[[#This Row],[Date]])</f>
        <v>9</v>
      </c>
      <c r="P388" s="6" t="str">
        <f ca="1">TEXT(financials[[#This Row],[Date]],"MMM")</f>
        <v>Sep</v>
      </c>
      <c r="Q388">
        <f ca="1">YEAR(financials[[#This Row],[Date]])</f>
        <v>2023</v>
      </c>
      <c r="S388" s="10"/>
    </row>
    <row r="389" spans="1:19" x14ac:dyDescent="0.3">
      <c r="A389" t="s">
        <v>27</v>
      </c>
      <c r="B389" t="s">
        <v>23</v>
      </c>
      <c r="C389" s="6" t="s">
        <v>29</v>
      </c>
      <c r="D389" s="6" t="str">
        <f>CONCATENATE(financials[[#This Row],[Segment]],",",financials[[#This Row],[Country]],",",financials[[#This Row],[Product]])</f>
        <v>Small Business,Mexico,Velo</v>
      </c>
      <c r="E389" s="6" t="s">
        <v>33</v>
      </c>
      <c r="F389">
        <f t="shared" ca="1" si="12"/>
        <v>281</v>
      </c>
      <c r="G389" s="1">
        <f ca="1">VLOOKUP(financials[[#This Row],[ID]],Prices!D:F,2,FALSE)</f>
        <v>19</v>
      </c>
      <c r="H389" s="1">
        <f ca="1">VLOOKUP(financials[[#This Row],[ID]],Prices!D:F,3,FALSE)</f>
        <v>32</v>
      </c>
      <c r="I389" s="1">
        <f ca="1">financials[[#This Row],[Units Sold]]*financials[[#This Row],[Sale Price]]</f>
        <v>8992</v>
      </c>
      <c r="J3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449.6</v>
      </c>
      <c r="K389" s="1">
        <f ca="1">financials[[#This Row],[Gross Sales]]-financials[[#This Row],[Discounts]]</f>
        <v>8542.4</v>
      </c>
      <c r="L389" s="1">
        <f ca="1">financials[[#This Row],[Units Sold]]*financials[[#This Row],[Manufacturing Price]]</f>
        <v>5339</v>
      </c>
      <c r="M389" s="1">
        <f ca="1">financials[[#This Row],[Sales]]-financials[[#This Row],[COGS]]</f>
        <v>3203.3999999999996</v>
      </c>
      <c r="N389" s="7">
        <f t="shared" ca="1" si="13"/>
        <v>45610</v>
      </c>
      <c r="O389" s="8">
        <f ca="1">MONTH(financials[[#This Row],[Date]])</f>
        <v>11</v>
      </c>
      <c r="P389" s="6" t="str">
        <f ca="1">TEXT(financials[[#This Row],[Date]],"MMM")</f>
        <v>Nov</v>
      </c>
      <c r="Q389">
        <f ca="1">YEAR(financials[[#This Row],[Date]])</f>
        <v>2024</v>
      </c>
      <c r="S389" s="10"/>
    </row>
    <row r="390" spans="1:19" x14ac:dyDescent="0.3">
      <c r="A390" t="s">
        <v>16</v>
      </c>
      <c r="B390" t="s">
        <v>22</v>
      </c>
      <c r="C390" s="6" t="s">
        <v>30</v>
      </c>
      <c r="D390" s="6" t="str">
        <f>CONCATENATE(financials[[#This Row],[Segment]],",",financials[[#This Row],[Country]],",",financials[[#This Row],[Product]])</f>
        <v>Government,France,VTT</v>
      </c>
      <c r="E390" s="6" t="s">
        <v>33</v>
      </c>
      <c r="F390">
        <f t="shared" ca="1" si="12"/>
        <v>366</v>
      </c>
      <c r="G390" s="1">
        <f ca="1">VLOOKUP(financials[[#This Row],[ID]],Prices!D:F,2,FALSE)</f>
        <v>18</v>
      </c>
      <c r="H390" s="1">
        <f ca="1">VLOOKUP(financials[[#This Row],[ID]],Prices!D:F,3,FALSE)</f>
        <v>32</v>
      </c>
      <c r="I390" s="1">
        <f ca="1">financials[[#This Row],[Units Sold]]*financials[[#This Row],[Sale Price]]</f>
        <v>11712</v>
      </c>
      <c r="J3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585.6</v>
      </c>
      <c r="K390" s="1">
        <f ca="1">financials[[#This Row],[Gross Sales]]-financials[[#This Row],[Discounts]]</f>
        <v>11126.4</v>
      </c>
      <c r="L390" s="1">
        <f ca="1">financials[[#This Row],[Units Sold]]*financials[[#This Row],[Manufacturing Price]]</f>
        <v>6588</v>
      </c>
      <c r="M390" s="1">
        <f ca="1">financials[[#This Row],[Sales]]-financials[[#This Row],[COGS]]</f>
        <v>4538.3999999999996</v>
      </c>
      <c r="N390" s="7">
        <f t="shared" ca="1" si="13"/>
        <v>45689</v>
      </c>
      <c r="O390" s="8">
        <f ca="1">MONTH(financials[[#This Row],[Date]])</f>
        <v>2</v>
      </c>
      <c r="P390" s="6" t="str">
        <f ca="1">TEXT(financials[[#This Row],[Date]],"MMM")</f>
        <v>Feb</v>
      </c>
      <c r="Q390">
        <f ca="1">YEAR(financials[[#This Row],[Date]])</f>
        <v>2025</v>
      </c>
      <c r="S390" s="10"/>
    </row>
    <row r="391" spans="1:19" x14ac:dyDescent="0.3">
      <c r="A391" t="s">
        <v>16</v>
      </c>
      <c r="B391" t="s">
        <v>20</v>
      </c>
      <c r="C391" s="6" t="s">
        <v>30</v>
      </c>
      <c r="D391" s="6" t="str">
        <f>CONCATENATE(financials[[#This Row],[Segment]],",",financials[[#This Row],[Country]],",",financials[[#This Row],[Product]])</f>
        <v>Government,Germany,VTT</v>
      </c>
      <c r="E391" s="6" t="s">
        <v>33</v>
      </c>
      <c r="F391">
        <f t="shared" ca="1" si="12"/>
        <v>320</v>
      </c>
      <c r="G391" s="1">
        <f ca="1">VLOOKUP(financials[[#This Row],[ID]],Prices!D:F,2,FALSE)</f>
        <v>16</v>
      </c>
      <c r="H391" s="1">
        <f ca="1">VLOOKUP(financials[[#This Row],[ID]],Prices!D:F,3,FALSE)</f>
        <v>20</v>
      </c>
      <c r="I391" s="1">
        <f ca="1">financials[[#This Row],[Units Sold]]*financials[[#This Row],[Sale Price]]</f>
        <v>6400</v>
      </c>
      <c r="J3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320</v>
      </c>
      <c r="K391" s="1">
        <f ca="1">financials[[#This Row],[Gross Sales]]-financials[[#This Row],[Discounts]]</f>
        <v>6080</v>
      </c>
      <c r="L391" s="1">
        <f ca="1">financials[[#This Row],[Units Sold]]*financials[[#This Row],[Manufacturing Price]]</f>
        <v>5120</v>
      </c>
      <c r="M391" s="1">
        <f ca="1">financials[[#This Row],[Sales]]-financials[[#This Row],[COGS]]</f>
        <v>960</v>
      </c>
      <c r="N391" s="7">
        <f t="shared" ca="1" si="13"/>
        <v>45031</v>
      </c>
      <c r="O391" s="8">
        <f ca="1">MONTH(financials[[#This Row],[Date]])</f>
        <v>4</v>
      </c>
      <c r="P391" s="6" t="str">
        <f ca="1">TEXT(financials[[#This Row],[Date]],"MMM")</f>
        <v>Apr</v>
      </c>
      <c r="Q391">
        <f ca="1">YEAR(financials[[#This Row],[Date]])</f>
        <v>2023</v>
      </c>
      <c r="S391" s="10"/>
    </row>
    <row r="392" spans="1:19" x14ac:dyDescent="0.3">
      <c r="A392" t="s">
        <v>16</v>
      </c>
      <c r="B392" t="s">
        <v>22</v>
      </c>
      <c r="C392" s="6" t="s">
        <v>30</v>
      </c>
      <c r="D392" s="6" t="str">
        <f>CONCATENATE(financials[[#This Row],[Segment]],",",financials[[#This Row],[Country]],",",financials[[#This Row],[Product]])</f>
        <v>Government,France,VTT</v>
      </c>
      <c r="E392" s="6" t="s">
        <v>33</v>
      </c>
      <c r="F392">
        <f t="shared" ca="1" si="12"/>
        <v>762</v>
      </c>
      <c r="G392" s="1">
        <f ca="1">VLOOKUP(financials[[#This Row],[ID]],Prices!D:F,2,FALSE)</f>
        <v>18</v>
      </c>
      <c r="H392" s="1">
        <f ca="1">VLOOKUP(financials[[#This Row],[ID]],Prices!D:F,3,FALSE)</f>
        <v>32</v>
      </c>
      <c r="I392" s="1">
        <f ca="1">financials[[#This Row],[Units Sold]]*financials[[#This Row],[Sale Price]]</f>
        <v>24384</v>
      </c>
      <c r="J3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1219.2</v>
      </c>
      <c r="K392" s="1">
        <f ca="1">financials[[#This Row],[Gross Sales]]-financials[[#This Row],[Discounts]]</f>
        <v>23164.799999999999</v>
      </c>
      <c r="L392" s="1">
        <f ca="1">financials[[#This Row],[Units Sold]]*financials[[#This Row],[Manufacturing Price]]</f>
        <v>13716</v>
      </c>
      <c r="M392" s="1">
        <f ca="1">financials[[#This Row],[Sales]]-financials[[#This Row],[COGS]]</f>
        <v>9448.7999999999993</v>
      </c>
      <c r="N392" s="7">
        <f t="shared" ca="1" si="13"/>
        <v>45153</v>
      </c>
      <c r="O392" s="8">
        <f ca="1">MONTH(financials[[#This Row],[Date]])</f>
        <v>8</v>
      </c>
      <c r="P392" s="6" t="str">
        <f ca="1">TEXT(financials[[#This Row],[Date]],"MMM")</f>
        <v>Aug</v>
      </c>
      <c r="Q392">
        <f ca="1">YEAR(financials[[#This Row],[Date]])</f>
        <v>2023</v>
      </c>
      <c r="S392" s="10"/>
    </row>
    <row r="393" spans="1:19" x14ac:dyDescent="0.3">
      <c r="A393" t="s">
        <v>16</v>
      </c>
      <c r="B393" t="s">
        <v>20</v>
      </c>
      <c r="C393" s="6" t="s">
        <v>30</v>
      </c>
      <c r="D393" s="6" t="str">
        <f>CONCATENATE(financials[[#This Row],[Segment]],",",financials[[#This Row],[Country]],",",financials[[#This Row],[Product]])</f>
        <v>Government,Germany,VTT</v>
      </c>
      <c r="E393" s="6" t="s">
        <v>33</v>
      </c>
      <c r="F393">
        <f t="shared" ca="1" si="12"/>
        <v>314</v>
      </c>
      <c r="G393" s="1">
        <f ca="1">VLOOKUP(financials[[#This Row],[ID]],Prices!D:F,2,FALSE)</f>
        <v>16</v>
      </c>
      <c r="H393" s="1">
        <f ca="1">VLOOKUP(financials[[#This Row],[ID]],Prices!D:F,3,FALSE)</f>
        <v>20</v>
      </c>
      <c r="I393" s="1">
        <f ca="1">financials[[#This Row],[Units Sold]]*financials[[#This Row],[Sale Price]]</f>
        <v>6280</v>
      </c>
      <c r="J3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314</v>
      </c>
      <c r="K393" s="1">
        <f ca="1">financials[[#This Row],[Gross Sales]]-financials[[#This Row],[Discounts]]</f>
        <v>5966</v>
      </c>
      <c r="L393" s="1">
        <f ca="1">financials[[#This Row],[Units Sold]]*financials[[#This Row],[Manufacturing Price]]</f>
        <v>5024</v>
      </c>
      <c r="M393" s="1">
        <f ca="1">financials[[#This Row],[Sales]]-financials[[#This Row],[COGS]]</f>
        <v>942</v>
      </c>
      <c r="N393" s="7">
        <f t="shared" ca="1" si="13"/>
        <v>45449</v>
      </c>
      <c r="O393" s="8">
        <f ca="1">MONTH(financials[[#This Row],[Date]])</f>
        <v>6</v>
      </c>
      <c r="P393" s="6" t="str">
        <f ca="1">TEXT(financials[[#This Row],[Date]],"MMM")</f>
        <v>Jun</v>
      </c>
      <c r="Q393">
        <f ca="1">YEAR(financials[[#This Row],[Date]])</f>
        <v>2024</v>
      </c>
      <c r="S393" s="10"/>
    </row>
    <row r="394" spans="1:19" x14ac:dyDescent="0.3">
      <c r="A394" t="s">
        <v>27</v>
      </c>
      <c r="B394" t="s">
        <v>17</v>
      </c>
      <c r="C394" s="6" t="s">
        <v>30</v>
      </c>
      <c r="D394" s="6" t="str">
        <f>CONCATENATE(financials[[#This Row],[Segment]],",",financials[[#This Row],[Country]],",",financials[[#This Row],[Product]])</f>
        <v>Small Business,Canada,VTT</v>
      </c>
      <c r="E394" s="6" t="s">
        <v>33</v>
      </c>
      <c r="F394">
        <f t="shared" ca="1" si="12"/>
        <v>832</v>
      </c>
      <c r="G394" s="1">
        <f ca="1">VLOOKUP(financials[[#This Row],[ID]],Prices!D:F,2,FALSE)</f>
        <v>10</v>
      </c>
      <c r="H394" s="1">
        <f ca="1">VLOOKUP(financials[[#This Row],[ID]],Prices!D:F,3,FALSE)</f>
        <v>21</v>
      </c>
      <c r="I394" s="1">
        <f ca="1">financials[[#This Row],[Units Sold]]*financials[[#This Row],[Sale Price]]</f>
        <v>17472</v>
      </c>
      <c r="J3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873.6</v>
      </c>
      <c r="K394" s="1">
        <f ca="1">financials[[#This Row],[Gross Sales]]-financials[[#This Row],[Discounts]]</f>
        <v>16598.400000000001</v>
      </c>
      <c r="L394" s="1">
        <f ca="1">financials[[#This Row],[Units Sold]]*financials[[#This Row],[Manufacturing Price]]</f>
        <v>8320</v>
      </c>
      <c r="M394" s="1">
        <f ca="1">financials[[#This Row],[Sales]]-financials[[#This Row],[COGS]]</f>
        <v>8278.4000000000015</v>
      </c>
      <c r="N394" s="7">
        <f t="shared" ca="1" si="13"/>
        <v>45749</v>
      </c>
      <c r="O394" s="8">
        <f ca="1">MONTH(financials[[#This Row],[Date]])</f>
        <v>4</v>
      </c>
      <c r="P394" s="6" t="str">
        <f ca="1">TEXT(financials[[#This Row],[Date]],"MMM")</f>
        <v>Apr</v>
      </c>
      <c r="Q394">
        <f ca="1">YEAR(financials[[#This Row],[Date]])</f>
        <v>2025</v>
      </c>
      <c r="S394" s="10"/>
    </row>
    <row r="395" spans="1:19" x14ac:dyDescent="0.3">
      <c r="A395" t="s">
        <v>27</v>
      </c>
      <c r="B395" t="s">
        <v>36</v>
      </c>
      <c r="C395" s="6" t="s">
        <v>30</v>
      </c>
      <c r="D395" s="6" t="str">
        <f>CONCATENATE(financials[[#This Row],[Segment]],",",financials[[#This Row],[Country]],",",financials[[#This Row],[Product]])</f>
        <v>Small Business,USA,VTT</v>
      </c>
      <c r="E395" s="6" t="s">
        <v>33</v>
      </c>
      <c r="F395">
        <f t="shared" ca="1" si="12"/>
        <v>905</v>
      </c>
      <c r="G395" s="1">
        <f ca="1">VLOOKUP(financials[[#This Row],[ID]],Prices!D:F,2,FALSE)</f>
        <v>13</v>
      </c>
      <c r="H395" s="1">
        <f ca="1">VLOOKUP(financials[[#This Row],[ID]],Prices!D:F,3,FALSE)</f>
        <v>19</v>
      </c>
      <c r="I395" s="1">
        <f ca="1">financials[[#This Row],[Units Sold]]*financials[[#This Row],[Sale Price]]</f>
        <v>17195</v>
      </c>
      <c r="J3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859.75</v>
      </c>
      <c r="K395" s="1">
        <f ca="1">financials[[#This Row],[Gross Sales]]-financials[[#This Row],[Discounts]]</f>
        <v>16335.25</v>
      </c>
      <c r="L395" s="1">
        <f ca="1">financials[[#This Row],[Units Sold]]*financials[[#This Row],[Manufacturing Price]]</f>
        <v>11765</v>
      </c>
      <c r="M395" s="1">
        <f ca="1">financials[[#This Row],[Sales]]-financials[[#This Row],[COGS]]</f>
        <v>4570.25</v>
      </c>
      <c r="N395" s="7">
        <f t="shared" ca="1" si="13"/>
        <v>45043</v>
      </c>
      <c r="O395" s="8">
        <f ca="1">MONTH(financials[[#This Row],[Date]])</f>
        <v>4</v>
      </c>
      <c r="P395" s="6" t="str">
        <f ca="1">TEXT(financials[[#This Row],[Date]],"MMM")</f>
        <v>Apr</v>
      </c>
      <c r="Q395">
        <f ca="1">YEAR(financials[[#This Row],[Date]])</f>
        <v>2023</v>
      </c>
      <c r="S395" s="10"/>
    </row>
    <row r="396" spans="1:19" x14ac:dyDescent="0.3">
      <c r="A396" t="s">
        <v>16</v>
      </c>
      <c r="B396" t="s">
        <v>17</v>
      </c>
      <c r="C396" s="6" t="s">
        <v>31</v>
      </c>
      <c r="D396" s="6" t="str">
        <f>CONCATENATE(financials[[#This Row],[Segment]],",",financials[[#This Row],[Country]],",",financials[[#This Row],[Product]])</f>
        <v>Government,Canada,Amarilla</v>
      </c>
      <c r="E396" s="6" t="s">
        <v>33</v>
      </c>
      <c r="F396">
        <f t="shared" ca="1" si="12"/>
        <v>990</v>
      </c>
      <c r="G396" s="1">
        <f ca="1">VLOOKUP(financials[[#This Row],[ID]],Prices!D:F,2,FALSE)</f>
        <v>11</v>
      </c>
      <c r="H396" s="1">
        <f ca="1">VLOOKUP(financials[[#This Row],[ID]],Prices!D:F,3,FALSE)</f>
        <v>29</v>
      </c>
      <c r="I396" s="1">
        <f ca="1">financials[[#This Row],[Units Sold]]*financials[[#This Row],[Sale Price]]</f>
        <v>28710</v>
      </c>
      <c r="J3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1435.5</v>
      </c>
      <c r="K396" s="1">
        <f ca="1">financials[[#This Row],[Gross Sales]]-financials[[#This Row],[Discounts]]</f>
        <v>27274.5</v>
      </c>
      <c r="L396" s="1">
        <f ca="1">financials[[#This Row],[Units Sold]]*financials[[#This Row],[Manufacturing Price]]</f>
        <v>10890</v>
      </c>
      <c r="M396" s="1">
        <f ca="1">financials[[#This Row],[Sales]]-financials[[#This Row],[COGS]]</f>
        <v>16384.5</v>
      </c>
      <c r="N396" s="7">
        <f t="shared" ca="1" si="13"/>
        <v>45426</v>
      </c>
      <c r="O396" s="8">
        <f ca="1">MONTH(financials[[#This Row],[Date]])</f>
        <v>5</v>
      </c>
      <c r="P396" s="6" t="str">
        <f ca="1">TEXT(financials[[#This Row],[Date]],"MMM")</f>
        <v>May</v>
      </c>
      <c r="Q396">
        <f ca="1">YEAR(financials[[#This Row],[Date]])</f>
        <v>2024</v>
      </c>
      <c r="S396" s="10"/>
    </row>
    <row r="397" spans="1:19" x14ac:dyDescent="0.3">
      <c r="A397" t="s">
        <v>16</v>
      </c>
      <c r="B397" t="s">
        <v>36</v>
      </c>
      <c r="C397" s="6" t="s">
        <v>31</v>
      </c>
      <c r="D397" s="6" t="str">
        <f>CONCATENATE(financials[[#This Row],[Segment]],",",financials[[#This Row],[Country]],",",financials[[#This Row],[Product]])</f>
        <v>Government,USA,Amarilla</v>
      </c>
      <c r="E397" s="6" t="s">
        <v>33</v>
      </c>
      <c r="F397">
        <f t="shared" ca="1" si="12"/>
        <v>777</v>
      </c>
      <c r="G397" s="1">
        <f ca="1">VLOOKUP(financials[[#This Row],[ID]],Prices!D:F,2,FALSE)</f>
        <v>20</v>
      </c>
      <c r="H397" s="1">
        <f ca="1">VLOOKUP(financials[[#This Row],[ID]],Prices!D:F,3,FALSE)</f>
        <v>37</v>
      </c>
      <c r="I397" s="1">
        <f ca="1">financials[[#This Row],[Units Sold]]*financials[[#This Row],[Sale Price]]</f>
        <v>28749</v>
      </c>
      <c r="J3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1437.45</v>
      </c>
      <c r="K397" s="1">
        <f ca="1">financials[[#This Row],[Gross Sales]]-financials[[#This Row],[Discounts]]</f>
        <v>27311.55</v>
      </c>
      <c r="L397" s="1">
        <f ca="1">financials[[#This Row],[Units Sold]]*financials[[#This Row],[Manufacturing Price]]</f>
        <v>15540</v>
      </c>
      <c r="M397" s="1">
        <f ca="1">financials[[#This Row],[Sales]]-financials[[#This Row],[COGS]]</f>
        <v>11771.55</v>
      </c>
      <c r="N397" s="7">
        <f t="shared" ca="1" si="13"/>
        <v>45112</v>
      </c>
      <c r="O397" s="8">
        <f ca="1">MONTH(financials[[#This Row],[Date]])</f>
        <v>7</v>
      </c>
      <c r="P397" s="6" t="str">
        <f ca="1">TEXT(financials[[#This Row],[Date]],"MMM")</f>
        <v>Jul</v>
      </c>
      <c r="Q397">
        <f ca="1">YEAR(financials[[#This Row],[Date]])</f>
        <v>2023</v>
      </c>
      <c r="S397" s="10"/>
    </row>
    <row r="398" spans="1:19" x14ac:dyDescent="0.3">
      <c r="A398" t="s">
        <v>16</v>
      </c>
      <c r="B398" t="s">
        <v>20</v>
      </c>
      <c r="C398" s="6" t="s">
        <v>31</v>
      </c>
      <c r="D398" s="6" t="str">
        <f>CONCATENATE(financials[[#This Row],[Segment]],",",financials[[#This Row],[Country]],",",financials[[#This Row],[Product]])</f>
        <v>Government,Germany,Amarilla</v>
      </c>
      <c r="E398" s="6" t="s">
        <v>33</v>
      </c>
      <c r="F398">
        <f t="shared" ca="1" si="12"/>
        <v>745</v>
      </c>
      <c r="G398" s="1">
        <f ca="1">VLOOKUP(financials[[#This Row],[ID]],Prices!D:F,2,FALSE)</f>
        <v>10</v>
      </c>
      <c r="H398" s="1">
        <f ca="1">VLOOKUP(financials[[#This Row],[ID]],Prices!D:F,3,FALSE)</f>
        <v>20</v>
      </c>
      <c r="I398" s="1">
        <f ca="1">financials[[#This Row],[Units Sold]]*financials[[#This Row],[Sale Price]]</f>
        <v>14900</v>
      </c>
      <c r="J3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745</v>
      </c>
      <c r="K398" s="1">
        <f ca="1">financials[[#This Row],[Gross Sales]]-financials[[#This Row],[Discounts]]</f>
        <v>14155</v>
      </c>
      <c r="L398" s="1">
        <f ca="1">financials[[#This Row],[Units Sold]]*financials[[#This Row],[Manufacturing Price]]</f>
        <v>7450</v>
      </c>
      <c r="M398" s="1">
        <f ca="1">financials[[#This Row],[Sales]]-financials[[#This Row],[COGS]]</f>
        <v>6705</v>
      </c>
      <c r="N398" s="7">
        <f t="shared" ca="1" si="13"/>
        <v>45478</v>
      </c>
      <c r="O398" s="8">
        <f ca="1">MONTH(financials[[#This Row],[Date]])</f>
        <v>7</v>
      </c>
      <c r="P398" s="6" t="str">
        <f ca="1">TEXT(financials[[#This Row],[Date]],"MMM")</f>
        <v>Jul</v>
      </c>
      <c r="Q398">
        <f ca="1">YEAR(financials[[#This Row],[Date]])</f>
        <v>2024</v>
      </c>
      <c r="S398" s="10"/>
    </row>
    <row r="399" spans="1:19" x14ac:dyDescent="0.3">
      <c r="A399" t="s">
        <v>27</v>
      </c>
      <c r="B399" t="s">
        <v>23</v>
      </c>
      <c r="C399" s="6" t="s">
        <v>31</v>
      </c>
      <c r="D399" s="6" t="str">
        <f>CONCATENATE(financials[[#This Row],[Segment]],",",financials[[#This Row],[Country]],",",financials[[#This Row],[Product]])</f>
        <v>Small Business,Mexico,Amarilla</v>
      </c>
      <c r="E399" s="6" t="s">
        <v>33</v>
      </c>
      <c r="F399">
        <f t="shared" ca="1" si="12"/>
        <v>744</v>
      </c>
      <c r="G399" s="1">
        <f ca="1">VLOOKUP(financials[[#This Row],[ID]],Prices!D:F,2,FALSE)</f>
        <v>14</v>
      </c>
      <c r="H399" s="1">
        <f ca="1">VLOOKUP(financials[[#This Row],[ID]],Prices!D:F,3,FALSE)</f>
        <v>33</v>
      </c>
      <c r="I399" s="1">
        <f ca="1">financials[[#This Row],[Units Sold]]*financials[[#This Row],[Sale Price]]</f>
        <v>24552</v>
      </c>
      <c r="J3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1227.6000000000001</v>
      </c>
      <c r="K399" s="1">
        <f ca="1">financials[[#This Row],[Gross Sales]]-financials[[#This Row],[Discounts]]</f>
        <v>23324.400000000001</v>
      </c>
      <c r="L399" s="1">
        <f ca="1">financials[[#This Row],[Units Sold]]*financials[[#This Row],[Manufacturing Price]]</f>
        <v>10416</v>
      </c>
      <c r="M399" s="1">
        <f ca="1">financials[[#This Row],[Sales]]-financials[[#This Row],[COGS]]</f>
        <v>12908.400000000001</v>
      </c>
      <c r="N399" s="7">
        <f t="shared" ca="1" si="13"/>
        <v>45685</v>
      </c>
      <c r="O399" s="8">
        <f ca="1">MONTH(financials[[#This Row],[Date]])</f>
        <v>1</v>
      </c>
      <c r="P399" s="6" t="str">
        <f ca="1">TEXT(financials[[#This Row],[Date]],"MMM")</f>
        <v>Jan</v>
      </c>
      <c r="Q399">
        <f ca="1">YEAR(financials[[#This Row],[Date]])</f>
        <v>2025</v>
      </c>
      <c r="S399" s="10"/>
    </row>
    <row r="400" spans="1:19" x14ac:dyDescent="0.3">
      <c r="A400" t="s">
        <v>16</v>
      </c>
      <c r="B400" t="s">
        <v>20</v>
      </c>
      <c r="C400" s="6" t="s">
        <v>31</v>
      </c>
      <c r="D400" s="6" t="str">
        <f>CONCATENATE(financials[[#This Row],[Segment]],",",financials[[#This Row],[Country]],",",financials[[#This Row],[Product]])</f>
        <v>Government,Germany,Amarilla</v>
      </c>
      <c r="E400" s="6" t="s">
        <v>33</v>
      </c>
      <c r="F400">
        <f t="shared" ca="1" si="12"/>
        <v>375</v>
      </c>
      <c r="G400" s="1">
        <f ca="1">VLOOKUP(financials[[#This Row],[ID]],Prices!D:F,2,FALSE)</f>
        <v>10</v>
      </c>
      <c r="H400" s="1">
        <f ca="1">VLOOKUP(financials[[#This Row],[ID]],Prices!D:F,3,FALSE)</f>
        <v>20</v>
      </c>
      <c r="I400" s="1">
        <f ca="1">financials[[#This Row],[Units Sold]]*financials[[#This Row],[Sale Price]]</f>
        <v>7500</v>
      </c>
      <c r="J4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375</v>
      </c>
      <c r="K400" s="1">
        <f ca="1">financials[[#This Row],[Gross Sales]]-financials[[#This Row],[Discounts]]</f>
        <v>7125</v>
      </c>
      <c r="L400" s="1">
        <f ca="1">financials[[#This Row],[Units Sold]]*financials[[#This Row],[Manufacturing Price]]</f>
        <v>3750</v>
      </c>
      <c r="M400" s="1">
        <f ca="1">financials[[#This Row],[Sales]]-financials[[#This Row],[COGS]]</f>
        <v>3375</v>
      </c>
      <c r="N400" s="7">
        <f t="shared" ca="1" si="13"/>
        <v>45658</v>
      </c>
      <c r="O400" s="8">
        <f ca="1">MONTH(financials[[#This Row],[Date]])</f>
        <v>1</v>
      </c>
      <c r="P400" s="6" t="str">
        <f ca="1">TEXT(financials[[#This Row],[Date]],"MMM")</f>
        <v>Jan</v>
      </c>
      <c r="Q400">
        <f ca="1">YEAR(financials[[#This Row],[Date]])</f>
        <v>2025</v>
      </c>
      <c r="S400" s="10"/>
    </row>
    <row r="401" spans="1:19" x14ac:dyDescent="0.3">
      <c r="A401" t="s">
        <v>21</v>
      </c>
      <c r="B401" t="s">
        <v>20</v>
      </c>
      <c r="C401" s="6" t="s">
        <v>31</v>
      </c>
      <c r="D401" s="6" t="str">
        <f>CONCATENATE(financials[[#This Row],[Segment]],",",financials[[#This Row],[Country]],",",financials[[#This Row],[Product]])</f>
        <v>Midmarket,Germany,Amarilla</v>
      </c>
      <c r="E401" s="6" t="s">
        <v>33</v>
      </c>
      <c r="F401">
        <f t="shared" ca="1" si="12"/>
        <v>530</v>
      </c>
      <c r="G401" s="1">
        <f ca="1">VLOOKUP(financials[[#This Row],[ID]],Prices!D:F,2,FALSE)</f>
        <v>18</v>
      </c>
      <c r="H401" s="1">
        <f ca="1">VLOOKUP(financials[[#This Row],[ID]],Prices!D:F,3,FALSE)</f>
        <v>28</v>
      </c>
      <c r="I401" s="1">
        <f ca="1">financials[[#This Row],[Units Sold]]*financials[[#This Row],[Sale Price]]</f>
        <v>14840</v>
      </c>
      <c r="J4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742</v>
      </c>
      <c r="K401" s="1">
        <f ca="1">financials[[#This Row],[Gross Sales]]-financials[[#This Row],[Discounts]]</f>
        <v>14098</v>
      </c>
      <c r="L401" s="1">
        <f ca="1">financials[[#This Row],[Units Sold]]*financials[[#This Row],[Manufacturing Price]]</f>
        <v>9540</v>
      </c>
      <c r="M401" s="1">
        <f ca="1">financials[[#This Row],[Sales]]-financials[[#This Row],[COGS]]</f>
        <v>4558</v>
      </c>
      <c r="N401" s="7">
        <f t="shared" ca="1" si="13"/>
        <v>45627</v>
      </c>
      <c r="O401" s="8">
        <f ca="1">MONTH(financials[[#This Row],[Date]])</f>
        <v>12</v>
      </c>
      <c r="P401" s="6" t="str">
        <f ca="1">TEXT(financials[[#This Row],[Date]],"MMM")</f>
        <v>Dec</v>
      </c>
      <c r="Q401">
        <f ca="1">YEAR(financials[[#This Row],[Date]])</f>
        <v>2024</v>
      </c>
      <c r="S401" s="10"/>
    </row>
    <row r="402" spans="1:19" x14ac:dyDescent="0.3">
      <c r="A402" t="s">
        <v>25</v>
      </c>
      <c r="B402" t="s">
        <v>23</v>
      </c>
      <c r="C402" s="6" t="s">
        <v>31</v>
      </c>
      <c r="D402" s="6" t="str">
        <f>CONCATENATE(financials[[#This Row],[Segment]],",",financials[[#This Row],[Country]],",",financials[[#This Row],[Product]])</f>
        <v>Channel Partners,Mexico,Amarilla</v>
      </c>
      <c r="E402" s="6" t="s">
        <v>33</v>
      </c>
      <c r="F402">
        <f t="shared" ca="1" si="12"/>
        <v>968</v>
      </c>
      <c r="G402" s="1">
        <f ca="1">VLOOKUP(financials[[#This Row],[ID]],Prices!D:F,2,FALSE)</f>
        <v>11</v>
      </c>
      <c r="H402" s="1">
        <f ca="1">VLOOKUP(financials[[#This Row],[ID]],Prices!D:F,3,FALSE)</f>
        <v>20</v>
      </c>
      <c r="I402" s="1">
        <f ca="1">financials[[#This Row],[Units Sold]]*financials[[#This Row],[Sale Price]]</f>
        <v>19360</v>
      </c>
      <c r="J4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968</v>
      </c>
      <c r="K402" s="1">
        <f ca="1">financials[[#This Row],[Gross Sales]]-financials[[#This Row],[Discounts]]</f>
        <v>18392</v>
      </c>
      <c r="L402" s="1">
        <f ca="1">financials[[#This Row],[Units Sold]]*financials[[#This Row],[Manufacturing Price]]</f>
        <v>10648</v>
      </c>
      <c r="M402" s="1">
        <f ca="1">financials[[#This Row],[Sales]]-financials[[#This Row],[COGS]]</f>
        <v>7744</v>
      </c>
      <c r="N402" s="7">
        <f t="shared" ca="1" si="13"/>
        <v>45686</v>
      </c>
      <c r="O402" s="8">
        <f ca="1">MONTH(financials[[#This Row],[Date]])</f>
        <v>1</v>
      </c>
      <c r="P402" s="6" t="str">
        <f ca="1">TEXT(financials[[#This Row],[Date]],"MMM")</f>
        <v>Jan</v>
      </c>
      <c r="Q402">
        <f ca="1">YEAR(financials[[#This Row],[Date]])</f>
        <v>2025</v>
      </c>
      <c r="S402" s="10"/>
    </row>
    <row r="403" spans="1:19" x14ac:dyDescent="0.3">
      <c r="A403" t="s">
        <v>27</v>
      </c>
      <c r="B403" t="s">
        <v>23</v>
      </c>
      <c r="C403" s="6" t="s">
        <v>31</v>
      </c>
      <c r="D403" s="6" t="str">
        <f>CONCATENATE(financials[[#This Row],[Segment]],",",financials[[#This Row],[Country]],",",financials[[#This Row],[Product]])</f>
        <v>Small Business,Mexico,Amarilla</v>
      </c>
      <c r="E403" s="6" t="s">
        <v>33</v>
      </c>
      <c r="F403">
        <f t="shared" ca="1" si="12"/>
        <v>783</v>
      </c>
      <c r="G403" s="1">
        <f ca="1">VLOOKUP(financials[[#This Row],[ID]],Prices!D:F,2,FALSE)</f>
        <v>14</v>
      </c>
      <c r="H403" s="1">
        <f ca="1">VLOOKUP(financials[[#This Row],[ID]],Prices!D:F,3,FALSE)</f>
        <v>33</v>
      </c>
      <c r="I403" s="1">
        <f ca="1">financials[[#This Row],[Units Sold]]*financials[[#This Row],[Sale Price]]</f>
        <v>25839</v>
      </c>
      <c r="J4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1291.95</v>
      </c>
      <c r="K403" s="1">
        <f ca="1">financials[[#This Row],[Gross Sales]]-financials[[#This Row],[Discounts]]</f>
        <v>24547.05</v>
      </c>
      <c r="L403" s="1">
        <f ca="1">financials[[#This Row],[Units Sold]]*financials[[#This Row],[Manufacturing Price]]</f>
        <v>10962</v>
      </c>
      <c r="M403" s="1">
        <f ca="1">financials[[#This Row],[Sales]]-financials[[#This Row],[COGS]]</f>
        <v>13585.05</v>
      </c>
      <c r="N403" s="7">
        <f t="shared" ca="1" si="13"/>
        <v>45183</v>
      </c>
      <c r="O403" s="8">
        <f ca="1">MONTH(financials[[#This Row],[Date]])</f>
        <v>9</v>
      </c>
      <c r="P403" s="6" t="str">
        <f ca="1">TEXT(financials[[#This Row],[Date]],"MMM")</f>
        <v>Sep</v>
      </c>
      <c r="Q403">
        <f ca="1">YEAR(financials[[#This Row],[Date]])</f>
        <v>2023</v>
      </c>
      <c r="S403" s="10"/>
    </row>
    <row r="404" spans="1:19" x14ac:dyDescent="0.3">
      <c r="A404" t="s">
        <v>16</v>
      </c>
      <c r="B404" t="s">
        <v>36</v>
      </c>
      <c r="C404" s="6" t="s">
        <v>30</v>
      </c>
      <c r="D404" s="6" t="str">
        <f>CONCATENATE(financials[[#This Row],[Segment]],",",financials[[#This Row],[Country]],",",financials[[#This Row],[Product]])</f>
        <v>Government,USA,VTT</v>
      </c>
      <c r="E404" s="6" t="s">
        <v>33</v>
      </c>
      <c r="F404">
        <f t="shared" ca="1" si="12"/>
        <v>412</v>
      </c>
      <c r="G404" s="1">
        <f ca="1">VLOOKUP(financials[[#This Row],[ID]],Prices!D:F,2,FALSE)</f>
        <v>13</v>
      </c>
      <c r="H404" s="1">
        <f ca="1">VLOOKUP(financials[[#This Row],[ID]],Prices!D:F,3,FALSE)</f>
        <v>31</v>
      </c>
      <c r="I404" s="1">
        <f ca="1">financials[[#This Row],[Units Sold]]*financials[[#This Row],[Sale Price]]</f>
        <v>12772</v>
      </c>
      <c r="J4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638.6</v>
      </c>
      <c r="K404" s="1">
        <f ca="1">financials[[#This Row],[Gross Sales]]-financials[[#This Row],[Discounts]]</f>
        <v>12133.4</v>
      </c>
      <c r="L404" s="1">
        <f ca="1">financials[[#This Row],[Units Sold]]*financials[[#This Row],[Manufacturing Price]]</f>
        <v>5356</v>
      </c>
      <c r="M404" s="1">
        <f ca="1">financials[[#This Row],[Sales]]-financials[[#This Row],[COGS]]</f>
        <v>6777.4</v>
      </c>
      <c r="N404" s="7">
        <f t="shared" ca="1" si="13"/>
        <v>45721</v>
      </c>
      <c r="O404" s="8">
        <f ca="1">MONTH(financials[[#This Row],[Date]])</f>
        <v>3</v>
      </c>
      <c r="P404" s="6" t="str">
        <f ca="1">TEXT(financials[[#This Row],[Date]],"MMM")</f>
        <v>Mar</v>
      </c>
      <c r="Q404">
        <f ca="1">YEAR(financials[[#This Row],[Date]])</f>
        <v>2025</v>
      </c>
      <c r="S404" s="10"/>
    </row>
    <row r="405" spans="1:19" x14ac:dyDescent="0.3">
      <c r="A405" t="s">
        <v>27</v>
      </c>
      <c r="B405" t="s">
        <v>17</v>
      </c>
      <c r="C405" s="6" t="s">
        <v>18</v>
      </c>
      <c r="D405" s="6" t="str">
        <f>CONCATENATE(financials[[#This Row],[Segment]],",",financials[[#This Row],[Country]],",",financials[[#This Row],[Product]])</f>
        <v>Small Business,Canada,Carretera</v>
      </c>
      <c r="E405" s="6" t="s">
        <v>33</v>
      </c>
      <c r="F405">
        <f t="shared" ca="1" si="12"/>
        <v>577</v>
      </c>
      <c r="G405" s="1">
        <f ca="1">VLOOKUP(financials[[#This Row],[ID]],Prices!D:F,2,FALSE)</f>
        <v>16</v>
      </c>
      <c r="H405" s="1">
        <f ca="1">VLOOKUP(financials[[#This Row],[ID]],Prices!D:F,3,FALSE)</f>
        <v>20</v>
      </c>
      <c r="I405" s="1">
        <f ca="1">financials[[#This Row],[Units Sold]]*financials[[#This Row],[Sale Price]]</f>
        <v>11540</v>
      </c>
      <c r="J4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577</v>
      </c>
      <c r="K405" s="1">
        <f ca="1">financials[[#This Row],[Gross Sales]]-financials[[#This Row],[Discounts]]</f>
        <v>10963</v>
      </c>
      <c r="L405" s="1">
        <f ca="1">financials[[#This Row],[Units Sold]]*financials[[#This Row],[Manufacturing Price]]</f>
        <v>9232</v>
      </c>
      <c r="M405" s="1">
        <f ca="1">financials[[#This Row],[Sales]]-financials[[#This Row],[COGS]]</f>
        <v>1731</v>
      </c>
      <c r="N405" s="7">
        <f t="shared" ca="1" si="13"/>
        <v>45417</v>
      </c>
      <c r="O405" s="8">
        <f ca="1">MONTH(financials[[#This Row],[Date]])</f>
        <v>5</v>
      </c>
      <c r="P405" s="6" t="str">
        <f ca="1">TEXT(financials[[#This Row],[Date]],"MMM")</f>
        <v>May</v>
      </c>
      <c r="Q405">
        <f ca="1">YEAR(financials[[#This Row],[Date]])</f>
        <v>2024</v>
      </c>
      <c r="S405" s="10"/>
    </row>
    <row r="406" spans="1:19" x14ac:dyDescent="0.3">
      <c r="A406" t="s">
        <v>25</v>
      </c>
      <c r="B406" t="s">
        <v>23</v>
      </c>
      <c r="C406" s="6" t="s">
        <v>18</v>
      </c>
      <c r="D406" s="6" t="str">
        <f>CONCATENATE(financials[[#This Row],[Segment]],",",financials[[#This Row],[Country]],",",financials[[#This Row],[Product]])</f>
        <v>Channel Partners,Mexico,Carretera</v>
      </c>
      <c r="E406" s="6" t="s">
        <v>33</v>
      </c>
      <c r="F406">
        <f t="shared" ca="1" si="12"/>
        <v>517</v>
      </c>
      <c r="G406" s="1">
        <f ca="1">VLOOKUP(financials[[#This Row],[ID]],Prices!D:F,2,FALSE)</f>
        <v>14</v>
      </c>
      <c r="H406" s="1">
        <f ca="1">VLOOKUP(financials[[#This Row],[ID]],Prices!D:F,3,FALSE)</f>
        <v>18</v>
      </c>
      <c r="I406" s="1">
        <f ca="1">financials[[#This Row],[Units Sold]]*financials[[#This Row],[Sale Price]]</f>
        <v>9306</v>
      </c>
      <c r="J4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465.3</v>
      </c>
      <c r="K406" s="1">
        <f ca="1">financials[[#This Row],[Gross Sales]]-financials[[#This Row],[Discounts]]</f>
        <v>8840.7000000000007</v>
      </c>
      <c r="L406" s="1">
        <f ca="1">financials[[#This Row],[Units Sold]]*financials[[#This Row],[Manufacturing Price]]</f>
        <v>7238</v>
      </c>
      <c r="M406" s="1">
        <f ca="1">financials[[#This Row],[Sales]]-financials[[#This Row],[COGS]]</f>
        <v>1602.7000000000007</v>
      </c>
      <c r="N406" s="7">
        <f t="shared" ca="1" si="13"/>
        <v>45613</v>
      </c>
      <c r="O406" s="8">
        <f ca="1">MONTH(financials[[#This Row],[Date]])</f>
        <v>11</v>
      </c>
      <c r="P406" s="6" t="str">
        <f ca="1">TEXT(financials[[#This Row],[Date]],"MMM")</f>
        <v>Nov</v>
      </c>
      <c r="Q406">
        <f ca="1">YEAR(financials[[#This Row],[Date]])</f>
        <v>2024</v>
      </c>
      <c r="S406" s="10"/>
    </row>
    <row r="407" spans="1:19" x14ac:dyDescent="0.3">
      <c r="A407" t="s">
        <v>27</v>
      </c>
      <c r="B407" t="s">
        <v>17</v>
      </c>
      <c r="C407" s="6" t="s">
        <v>24</v>
      </c>
      <c r="D407" s="6" t="str">
        <f>CONCATENATE(financials[[#This Row],[Segment]],",",financials[[#This Row],[Country]],",",financials[[#This Row],[Product]])</f>
        <v>Small Business,Canada,Montana</v>
      </c>
      <c r="E407" s="6" t="s">
        <v>33</v>
      </c>
      <c r="F407">
        <f t="shared" ca="1" si="12"/>
        <v>591</v>
      </c>
      <c r="G407" s="1">
        <f ca="1">VLOOKUP(financials[[#This Row],[ID]],Prices!D:F,2,FALSE)</f>
        <v>17</v>
      </c>
      <c r="H407" s="1">
        <f ca="1">VLOOKUP(financials[[#This Row],[ID]],Prices!D:F,3,FALSE)</f>
        <v>21</v>
      </c>
      <c r="I407" s="1">
        <f ca="1">financials[[#This Row],[Units Sold]]*financials[[#This Row],[Sale Price]]</f>
        <v>12411</v>
      </c>
      <c r="J4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620.55000000000007</v>
      </c>
      <c r="K407" s="1">
        <f ca="1">financials[[#This Row],[Gross Sales]]-financials[[#This Row],[Discounts]]</f>
        <v>11790.45</v>
      </c>
      <c r="L407" s="1">
        <f ca="1">financials[[#This Row],[Units Sold]]*financials[[#This Row],[Manufacturing Price]]</f>
        <v>10047</v>
      </c>
      <c r="M407" s="1">
        <f ca="1">financials[[#This Row],[Sales]]-financials[[#This Row],[COGS]]</f>
        <v>1743.4500000000007</v>
      </c>
      <c r="N407" s="7">
        <f t="shared" ca="1" si="13"/>
        <v>45033</v>
      </c>
      <c r="O407" s="8">
        <f ca="1">MONTH(financials[[#This Row],[Date]])</f>
        <v>4</v>
      </c>
      <c r="P407" s="6" t="str">
        <f ca="1">TEXT(financials[[#This Row],[Date]],"MMM")</f>
        <v>Apr</v>
      </c>
      <c r="Q407">
        <f ca="1">YEAR(financials[[#This Row],[Date]])</f>
        <v>2023</v>
      </c>
      <c r="S407" s="10"/>
    </row>
    <row r="408" spans="1:19" x14ac:dyDescent="0.3">
      <c r="A408" t="s">
        <v>16</v>
      </c>
      <c r="B408" t="s">
        <v>22</v>
      </c>
      <c r="C408" s="6" t="s">
        <v>24</v>
      </c>
      <c r="D408" s="6" t="str">
        <f>CONCATENATE(financials[[#This Row],[Segment]],",",financials[[#This Row],[Country]],",",financials[[#This Row],[Product]])</f>
        <v>Government,France,Montana</v>
      </c>
      <c r="E408" s="6" t="s">
        <v>33</v>
      </c>
      <c r="F408">
        <f t="shared" ca="1" si="12"/>
        <v>692</v>
      </c>
      <c r="G408" s="1">
        <f ca="1">VLOOKUP(financials[[#This Row],[ID]],Prices!D:F,2,FALSE)</f>
        <v>19</v>
      </c>
      <c r="H408" s="1">
        <f ca="1">VLOOKUP(financials[[#This Row],[ID]],Prices!D:F,3,FALSE)</f>
        <v>22</v>
      </c>
      <c r="I408" s="1">
        <f ca="1">financials[[#This Row],[Units Sold]]*financials[[#This Row],[Sale Price]]</f>
        <v>15224</v>
      </c>
      <c r="J4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761.2</v>
      </c>
      <c r="K408" s="1">
        <f ca="1">financials[[#This Row],[Gross Sales]]-financials[[#This Row],[Discounts]]</f>
        <v>14462.8</v>
      </c>
      <c r="L408" s="1">
        <f ca="1">financials[[#This Row],[Units Sold]]*financials[[#This Row],[Manufacturing Price]]</f>
        <v>13148</v>
      </c>
      <c r="M408" s="1">
        <f ca="1">financials[[#This Row],[Sales]]-financials[[#This Row],[COGS]]</f>
        <v>1314.7999999999993</v>
      </c>
      <c r="N408" s="7">
        <f t="shared" ca="1" si="13"/>
        <v>45197</v>
      </c>
      <c r="O408" s="8">
        <f ca="1">MONTH(financials[[#This Row],[Date]])</f>
        <v>9</v>
      </c>
      <c r="P408" s="6" t="str">
        <f ca="1">TEXT(financials[[#This Row],[Date]],"MMM")</f>
        <v>Sep</v>
      </c>
      <c r="Q408">
        <f ca="1">YEAR(financials[[#This Row],[Date]])</f>
        <v>2023</v>
      </c>
      <c r="S408" s="10"/>
    </row>
    <row r="409" spans="1:19" x14ac:dyDescent="0.3">
      <c r="A409" t="s">
        <v>27</v>
      </c>
      <c r="B409" t="s">
        <v>22</v>
      </c>
      <c r="C409" s="6" t="s">
        <v>24</v>
      </c>
      <c r="D409" s="6" t="str">
        <f>CONCATENATE(financials[[#This Row],[Segment]],",",financials[[#This Row],[Country]],",",financials[[#This Row],[Product]])</f>
        <v>Small Business,France,Montana</v>
      </c>
      <c r="E409" s="6" t="s">
        <v>33</v>
      </c>
      <c r="F409">
        <f t="shared" ca="1" si="12"/>
        <v>373</v>
      </c>
      <c r="G409" s="1">
        <f ca="1">VLOOKUP(financials[[#This Row],[ID]],Prices!D:F,2,FALSE)</f>
        <v>14</v>
      </c>
      <c r="H409" s="1">
        <f ca="1">VLOOKUP(financials[[#This Row],[ID]],Prices!D:F,3,FALSE)</f>
        <v>35</v>
      </c>
      <c r="I409" s="1">
        <f ca="1">financials[[#This Row],[Units Sold]]*financials[[#This Row],[Sale Price]]</f>
        <v>13055</v>
      </c>
      <c r="J4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652.75</v>
      </c>
      <c r="K409" s="1">
        <f ca="1">financials[[#This Row],[Gross Sales]]-financials[[#This Row],[Discounts]]</f>
        <v>12402.25</v>
      </c>
      <c r="L409" s="1">
        <f ca="1">financials[[#This Row],[Units Sold]]*financials[[#This Row],[Manufacturing Price]]</f>
        <v>5222</v>
      </c>
      <c r="M409" s="1">
        <f ca="1">financials[[#This Row],[Sales]]-financials[[#This Row],[COGS]]</f>
        <v>7180.25</v>
      </c>
      <c r="N409" s="7">
        <f t="shared" ca="1" si="13"/>
        <v>45399</v>
      </c>
      <c r="O409" s="8">
        <f ca="1">MONTH(financials[[#This Row],[Date]])</f>
        <v>4</v>
      </c>
      <c r="P409" s="6" t="str">
        <f ca="1">TEXT(financials[[#This Row],[Date]],"MMM")</f>
        <v>Apr</v>
      </c>
      <c r="Q409">
        <f ca="1">YEAR(financials[[#This Row],[Date]])</f>
        <v>2024</v>
      </c>
      <c r="S409" s="10"/>
    </row>
    <row r="410" spans="1:19" x14ac:dyDescent="0.3">
      <c r="A410" t="s">
        <v>25</v>
      </c>
      <c r="B410" t="s">
        <v>17</v>
      </c>
      <c r="C410" s="6" t="s">
        <v>24</v>
      </c>
      <c r="D410" s="6" t="str">
        <f>CONCATENATE(financials[[#This Row],[Segment]],",",financials[[#This Row],[Country]],",",financials[[#This Row],[Product]])</f>
        <v>Channel Partners,Canada,Montana</v>
      </c>
      <c r="E410" s="6" t="s">
        <v>33</v>
      </c>
      <c r="F410">
        <f t="shared" ca="1" si="12"/>
        <v>276</v>
      </c>
      <c r="G410" s="1">
        <f ca="1">VLOOKUP(financials[[#This Row],[ID]],Prices!D:F,2,FALSE)</f>
        <v>17</v>
      </c>
      <c r="H410" s="1">
        <f ca="1">VLOOKUP(financials[[#This Row],[ID]],Prices!D:F,3,FALSE)</f>
        <v>26</v>
      </c>
      <c r="I410" s="1">
        <f ca="1">financials[[#This Row],[Units Sold]]*financials[[#This Row],[Sale Price]]</f>
        <v>7176</v>
      </c>
      <c r="J4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358.8</v>
      </c>
      <c r="K410" s="1">
        <f ca="1">financials[[#This Row],[Gross Sales]]-financials[[#This Row],[Discounts]]</f>
        <v>6817.2</v>
      </c>
      <c r="L410" s="1">
        <f ca="1">financials[[#This Row],[Units Sold]]*financials[[#This Row],[Manufacturing Price]]</f>
        <v>4692</v>
      </c>
      <c r="M410" s="1">
        <f ca="1">financials[[#This Row],[Sales]]-financials[[#This Row],[COGS]]</f>
        <v>2125.1999999999998</v>
      </c>
      <c r="N410" s="7">
        <f t="shared" ca="1" si="13"/>
        <v>45028</v>
      </c>
      <c r="O410" s="8">
        <f ca="1">MONTH(financials[[#This Row],[Date]])</f>
        <v>4</v>
      </c>
      <c r="P410" s="6" t="str">
        <f ca="1">TEXT(financials[[#This Row],[Date]],"MMM")</f>
        <v>Apr</v>
      </c>
      <c r="Q410">
        <f ca="1">YEAR(financials[[#This Row],[Date]])</f>
        <v>2023</v>
      </c>
      <c r="S410" s="10"/>
    </row>
    <row r="411" spans="1:19" x14ac:dyDescent="0.3">
      <c r="A411" t="s">
        <v>26</v>
      </c>
      <c r="B411" t="s">
        <v>22</v>
      </c>
      <c r="C411" s="6" t="s">
        <v>24</v>
      </c>
      <c r="D411" s="6" t="str">
        <f>CONCATENATE(financials[[#This Row],[Segment]],",",financials[[#This Row],[Country]],",",financials[[#This Row],[Product]])</f>
        <v>Enterprise,France,Montana</v>
      </c>
      <c r="E411" s="6" t="s">
        <v>33</v>
      </c>
      <c r="F411">
        <f t="shared" ca="1" si="12"/>
        <v>195</v>
      </c>
      <c r="G411" s="1">
        <f ca="1">VLOOKUP(financials[[#This Row],[ID]],Prices!D:F,2,FALSE)</f>
        <v>11</v>
      </c>
      <c r="H411" s="1">
        <f ca="1">VLOOKUP(financials[[#This Row],[ID]],Prices!D:F,3,FALSE)</f>
        <v>29</v>
      </c>
      <c r="I411" s="1">
        <f ca="1">financials[[#This Row],[Units Sold]]*financials[[#This Row],[Sale Price]]</f>
        <v>5655</v>
      </c>
      <c r="J4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282.75</v>
      </c>
      <c r="K411" s="1">
        <f ca="1">financials[[#This Row],[Gross Sales]]-financials[[#This Row],[Discounts]]</f>
        <v>5372.25</v>
      </c>
      <c r="L411" s="1">
        <f ca="1">financials[[#This Row],[Units Sold]]*financials[[#This Row],[Manufacturing Price]]</f>
        <v>2145</v>
      </c>
      <c r="M411" s="1">
        <f ca="1">financials[[#This Row],[Sales]]-financials[[#This Row],[COGS]]</f>
        <v>3227.25</v>
      </c>
      <c r="N411" s="7">
        <f t="shared" ca="1" si="13"/>
        <v>45467</v>
      </c>
      <c r="O411" s="8">
        <f ca="1">MONTH(financials[[#This Row],[Date]])</f>
        <v>6</v>
      </c>
      <c r="P411" s="6" t="str">
        <f ca="1">TEXT(financials[[#This Row],[Date]],"MMM")</f>
        <v>Jun</v>
      </c>
      <c r="Q411">
        <f ca="1">YEAR(financials[[#This Row],[Date]])</f>
        <v>2024</v>
      </c>
      <c r="S411" s="10"/>
    </row>
    <row r="412" spans="1:19" x14ac:dyDescent="0.3">
      <c r="A412" t="s">
        <v>16</v>
      </c>
      <c r="B412" t="s">
        <v>17</v>
      </c>
      <c r="C412" s="6" t="s">
        <v>24</v>
      </c>
      <c r="D412" s="6" t="str">
        <f>CONCATENATE(financials[[#This Row],[Segment]],",",financials[[#This Row],[Country]],",",financials[[#This Row],[Product]])</f>
        <v>Government,Canada,Montana</v>
      </c>
      <c r="E412" s="6" t="s">
        <v>33</v>
      </c>
      <c r="F412">
        <f t="shared" ca="1" si="12"/>
        <v>50</v>
      </c>
      <c r="G412" s="1">
        <f ca="1">VLOOKUP(financials[[#This Row],[ID]],Prices!D:F,2,FALSE)</f>
        <v>12</v>
      </c>
      <c r="H412" s="1">
        <f ca="1">VLOOKUP(financials[[#This Row],[ID]],Prices!D:F,3,FALSE)</f>
        <v>30</v>
      </c>
      <c r="I412" s="1">
        <f ca="1">financials[[#This Row],[Units Sold]]*financials[[#This Row],[Sale Price]]</f>
        <v>1500</v>
      </c>
      <c r="J4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</v>
      </c>
      <c r="K412" s="1">
        <f ca="1">financials[[#This Row],[Gross Sales]]-financials[[#This Row],[Discounts]]</f>
        <v>1425</v>
      </c>
      <c r="L412" s="1">
        <f ca="1">financials[[#This Row],[Units Sold]]*financials[[#This Row],[Manufacturing Price]]</f>
        <v>600</v>
      </c>
      <c r="M412" s="1">
        <f ca="1">financials[[#This Row],[Sales]]-financials[[#This Row],[COGS]]</f>
        <v>825</v>
      </c>
      <c r="N412" s="7">
        <f t="shared" ca="1" si="13"/>
        <v>45613</v>
      </c>
      <c r="O412" s="8">
        <f ca="1">MONTH(financials[[#This Row],[Date]])</f>
        <v>11</v>
      </c>
      <c r="P412" s="6" t="str">
        <f ca="1">TEXT(financials[[#This Row],[Date]],"MMM")</f>
        <v>Nov</v>
      </c>
      <c r="Q412">
        <f ca="1">YEAR(financials[[#This Row],[Date]])</f>
        <v>2024</v>
      </c>
      <c r="S412" s="10"/>
    </row>
    <row r="413" spans="1:19" x14ac:dyDescent="0.3">
      <c r="A413" t="s">
        <v>26</v>
      </c>
      <c r="B413" t="s">
        <v>36</v>
      </c>
      <c r="C413" s="6" t="s">
        <v>24</v>
      </c>
      <c r="D413" s="6" t="str">
        <f>CONCATENATE(financials[[#This Row],[Segment]],",",financials[[#This Row],[Country]],",",financials[[#This Row],[Product]])</f>
        <v>Enterprise,USA,Montana</v>
      </c>
      <c r="E413" s="6" t="s">
        <v>33</v>
      </c>
      <c r="F413">
        <f t="shared" ca="1" si="12"/>
        <v>182</v>
      </c>
      <c r="G413" s="1">
        <f ca="1">VLOOKUP(financials[[#This Row],[ID]],Prices!D:F,2,FALSE)</f>
        <v>14</v>
      </c>
      <c r="H413" s="1">
        <f ca="1">VLOOKUP(financials[[#This Row],[ID]],Prices!D:F,3,FALSE)</f>
        <v>29</v>
      </c>
      <c r="I413" s="1">
        <f ca="1">financials[[#This Row],[Units Sold]]*financials[[#This Row],[Sale Price]]</f>
        <v>5278</v>
      </c>
      <c r="J4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263.90000000000003</v>
      </c>
      <c r="K413" s="1">
        <f ca="1">financials[[#This Row],[Gross Sales]]-financials[[#This Row],[Discounts]]</f>
        <v>5014.1000000000004</v>
      </c>
      <c r="L413" s="1">
        <f ca="1">financials[[#This Row],[Units Sold]]*financials[[#This Row],[Manufacturing Price]]</f>
        <v>2548</v>
      </c>
      <c r="M413" s="1">
        <f ca="1">financials[[#This Row],[Sales]]-financials[[#This Row],[COGS]]</f>
        <v>2466.1000000000004</v>
      </c>
      <c r="N413" s="7">
        <f t="shared" ca="1" si="13"/>
        <v>45623</v>
      </c>
      <c r="O413" s="8">
        <f ca="1">MONTH(financials[[#This Row],[Date]])</f>
        <v>11</v>
      </c>
      <c r="P413" s="6" t="str">
        <f ca="1">TEXT(financials[[#This Row],[Date]],"MMM")</f>
        <v>Nov</v>
      </c>
      <c r="Q413">
        <f ca="1">YEAR(financials[[#This Row],[Date]])</f>
        <v>2024</v>
      </c>
      <c r="S413" s="10"/>
    </row>
    <row r="414" spans="1:19" x14ac:dyDescent="0.3">
      <c r="A414" t="s">
        <v>27</v>
      </c>
      <c r="B414" t="s">
        <v>20</v>
      </c>
      <c r="C414" s="6" t="s">
        <v>24</v>
      </c>
      <c r="D414" s="6" t="str">
        <f>CONCATENATE(financials[[#This Row],[Segment]],",",financials[[#This Row],[Country]],",",financials[[#This Row],[Product]])</f>
        <v>Small Business,Germany,Montana</v>
      </c>
      <c r="E414" s="6" t="s">
        <v>33</v>
      </c>
      <c r="F414">
        <f t="shared" ca="1" si="12"/>
        <v>814</v>
      </c>
      <c r="G414" s="1">
        <f ca="1">VLOOKUP(financials[[#This Row],[ID]],Prices!D:F,2,FALSE)</f>
        <v>18</v>
      </c>
      <c r="H414" s="1">
        <f ca="1">VLOOKUP(financials[[#This Row],[ID]],Prices!D:F,3,FALSE)</f>
        <v>35</v>
      </c>
      <c r="I414" s="1">
        <f ca="1">financials[[#This Row],[Units Sold]]*financials[[#This Row],[Sale Price]]</f>
        <v>28490</v>
      </c>
      <c r="J4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1424.5</v>
      </c>
      <c r="K414" s="1">
        <f ca="1">financials[[#This Row],[Gross Sales]]-financials[[#This Row],[Discounts]]</f>
        <v>27065.5</v>
      </c>
      <c r="L414" s="1">
        <f ca="1">financials[[#This Row],[Units Sold]]*financials[[#This Row],[Manufacturing Price]]</f>
        <v>14652</v>
      </c>
      <c r="M414" s="1">
        <f ca="1">financials[[#This Row],[Sales]]-financials[[#This Row],[COGS]]</f>
        <v>12413.5</v>
      </c>
      <c r="N414" s="7">
        <f t="shared" ca="1" si="13"/>
        <v>45042</v>
      </c>
      <c r="O414" s="8">
        <f ca="1">MONTH(financials[[#This Row],[Date]])</f>
        <v>4</v>
      </c>
      <c r="P414" s="6" t="str">
        <f ca="1">TEXT(financials[[#This Row],[Date]],"MMM")</f>
        <v>Apr</v>
      </c>
      <c r="Q414">
        <f ca="1">YEAR(financials[[#This Row],[Date]])</f>
        <v>2023</v>
      </c>
      <c r="S414" s="10"/>
    </row>
    <row r="415" spans="1:19" x14ac:dyDescent="0.3">
      <c r="A415" t="s">
        <v>27</v>
      </c>
      <c r="B415" t="s">
        <v>23</v>
      </c>
      <c r="C415" s="6" t="s">
        <v>28</v>
      </c>
      <c r="D415" s="6" t="str">
        <f>CONCATENATE(financials[[#This Row],[Segment]],",",financials[[#This Row],[Country]],",",financials[[#This Row],[Product]])</f>
        <v>Small Business,Mexico,Paseo</v>
      </c>
      <c r="E415" s="6" t="s">
        <v>33</v>
      </c>
      <c r="F415">
        <f t="shared" ca="1" si="12"/>
        <v>373</v>
      </c>
      <c r="G415" s="1">
        <f ca="1">VLOOKUP(financials[[#This Row],[ID]],Prices!D:F,2,FALSE)</f>
        <v>20</v>
      </c>
      <c r="H415" s="1">
        <f ca="1">VLOOKUP(financials[[#This Row],[ID]],Prices!D:F,3,FALSE)</f>
        <v>20</v>
      </c>
      <c r="I415" s="1">
        <f ca="1">financials[[#This Row],[Units Sold]]*financials[[#This Row],[Sale Price]]</f>
        <v>7460</v>
      </c>
      <c r="J4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373</v>
      </c>
      <c r="K415" s="1">
        <f ca="1">financials[[#This Row],[Gross Sales]]-financials[[#This Row],[Discounts]]</f>
        <v>7087</v>
      </c>
      <c r="L415" s="1">
        <f ca="1">financials[[#This Row],[Units Sold]]*financials[[#This Row],[Manufacturing Price]]</f>
        <v>7460</v>
      </c>
      <c r="M415" s="1">
        <f ca="1">financials[[#This Row],[Sales]]-financials[[#This Row],[COGS]]</f>
        <v>-373</v>
      </c>
      <c r="N415" s="7">
        <f t="shared" ca="1" si="13"/>
        <v>45659</v>
      </c>
      <c r="O415" s="8">
        <f ca="1">MONTH(financials[[#This Row],[Date]])</f>
        <v>1</v>
      </c>
      <c r="P415" s="6" t="str">
        <f ca="1">TEXT(financials[[#This Row],[Date]],"MMM")</f>
        <v>Jan</v>
      </c>
      <c r="Q415">
        <f ca="1">YEAR(financials[[#This Row],[Date]])</f>
        <v>2025</v>
      </c>
      <c r="S415" s="10"/>
    </row>
    <row r="416" spans="1:19" x14ac:dyDescent="0.3">
      <c r="A416" t="s">
        <v>16</v>
      </c>
      <c r="B416" t="s">
        <v>23</v>
      </c>
      <c r="C416" s="6" t="s">
        <v>28</v>
      </c>
      <c r="D416" s="6" t="str">
        <f>CONCATENATE(financials[[#This Row],[Segment]],",",financials[[#This Row],[Country]],",",financials[[#This Row],[Product]])</f>
        <v>Government,Mexico,Paseo</v>
      </c>
      <c r="E416" s="6" t="s">
        <v>33</v>
      </c>
      <c r="F416">
        <f t="shared" ca="1" si="12"/>
        <v>30</v>
      </c>
      <c r="G416" s="1">
        <f ca="1">VLOOKUP(financials[[#This Row],[ID]],Prices!D:F,2,FALSE)</f>
        <v>18</v>
      </c>
      <c r="H416" s="1">
        <f ca="1">VLOOKUP(financials[[#This Row],[ID]],Prices!D:F,3,FALSE)</f>
        <v>19</v>
      </c>
      <c r="I416" s="1">
        <f ca="1">financials[[#This Row],[Units Sold]]*financials[[#This Row],[Sale Price]]</f>
        <v>570</v>
      </c>
      <c r="J4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5.7</v>
      </c>
      <c r="K416" s="1">
        <f ca="1">financials[[#This Row],[Gross Sales]]-financials[[#This Row],[Discounts]]</f>
        <v>564.29999999999995</v>
      </c>
      <c r="L416" s="1">
        <f ca="1">financials[[#This Row],[Units Sold]]*financials[[#This Row],[Manufacturing Price]]</f>
        <v>540</v>
      </c>
      <c r="M416" s="1">
        <f ca="1">financials[[#This Row],[Sales]]-financials[[#This Row],[COGS]]</f>
        <v>24.299999999999955</v>
      </c>
      <c r="N416" s="7">
        <f t="shared" ca="1" si="13"/>
        <v>45511</v>
      </c>
      <c r="O416" s="8">
        <f ca="1">MONTH(financials[[#This Row],[Date]])</f>
        <v>8</v>
      </c>
      <c r="P416" s="6" t="str">
        <f ca="1">TEXT(financials[[#This Row],[Date]],"MMM")</f>
        <v>Aug</v>
      </c>
      <c r="Q416">
        <f ca="1">YEAR(financials[[#This Row],[Date]])</f>
        <v>2024</v>
      </c>
      <c r="S416" s="10"/>
    </row>
    <row r="417" spans="1:19" x14ac:dyDescent="0.3">
      <c r="A417" t="s">
        <v>21</v>
      </c>
      <c r="B417" t="s">
        <v>36</v>
      </c>
      <c r="C417" s="6" t="s">
        <v>28</v>
      </c>
      <c r="D417" s="6" t="str">
        <f>CONCATENATE(financials[[#This Row],[Segment]],",",financials[[#This Row],[Country]],",",financials[[#This Row],[Product]])</f>
        <v>Midmarket,USA,Paseo</v>
      </c>
      <c r="E417" s="6" t="s">
        <v>33</v>
      </c>
      <c r="F417">
        <f t="shared" ca="1" si="12"/>
        <v>966</v>
      </c>
      <c r="G417" s="1">
        <f ca="1">VLOOKUP(financials[[#This Row],[ID]],Prices!D:F,2,FALSE)</f>
        <v>13</v>
      </c>
      <c r="H417" s="1">
        <f ca="1">VLOOKUP(financials[[#This Row],[ID]],Prices!D:F,3,FALSE)</f>
        <v>25</v>
      </c>
      <c r="I417" s="1">
        <f ca="1">financials[[#This Row],[Units Sold]]*financials[[#This Row],[Sale Price]]</f>
        <v>24150</v>
      </c>
      <c r="J4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1207.5</v>
      </c>
      <c r="K417" s="1">
        <f ca="1">financials[[#This Row],[Gross Sales]]-financials[[#This Row],[Discounts]]</f>
        <v>22942.5</v>
      </c>
      <c r="L417" s="1">
        <f ca="1">financials[[#This Row],[Units Sold]]*financials[[#This Row],[Manufacturing Price]]</f>
        <v>12558</v>
      </c>
      <c r="M417" s="1">
        <f ca="1">financials[[#This Row],[Sales]]-financials[[#This Row],[COGS]]</f>
        <v>10384.5</v>
      </c>
      <c r="N417" s="7">
        <f t="shared" ca="1" si="13"/>
        <v>45508</v>
      </c>
      <c r="O417" s="8">
        <f ca="1">MONTH(financials[[#This Row],[Date]])</f>
        <v>8</v>
      </c>
      <c r="P417" s="6" t="str">
        <f ca="1">TEXT(financials[[#This Row],[Date]],"MMM")</f>
        <v>Aug</v>
      </c>
      <c r="Q417">
        <f ca="1">YEAR(financials[[#This Row],[Date]])</f>
        <v>2024</v>
      </c>
      <c r="S417" s="10"/>
    </row>
    <row r="418" spans="1:19" x14ac:dyDescent="0.3">
      <c r="A418" t="s">
        <v>27</v>
      </c>
      <c r="B418" t="s">
        <v>17</v>
      </c>
      <c r="C418" s="6" t="s">
        <v>28</v>
      </c>
      <c r="D418" s="6" t="str">
        <f>CONCATENATE(financials[[#This Row],[Segment]],",",financials[[#This Row],[Country]],",",financials[[#This Row],[Product]])</f>
        <v>Small Business,Canada,Paseo</v>
      </c>
      <c r="E418" s="6" t="s">
        <v>33</v>
      </c>
      <c r="F418">
        <f t="shared" ca="1" si="12"/>
        <v>495</v>
      </c>
      <c r="G418" s="1">
        <f ca="1">VLOOKUP(financials[[#This Row],[ID]],Prices!D:F,2,FALSE)</f>
        <v>20</v>
      </c>
      <c r="H418" s="1">
        <f ca="1">VLOOKUP(financials[[#This Row],[ID]],Prices!D:F,3,FALSE)</f>
        <v>31</v>
      </c>
      <c r="I418" s="1">
        <f ca="1">financials[[#This Row],[Units Sold]]*financials[[#This Row],[Sale Price]]</f>
        <v>15345</v>
      </c>
      <c r="J4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767.25</v>
      </c>
      <c r="K418" s="1">
        <f ca="1">financials[[#This Row],[Gross Sales]]-financials[[#This Row],[Discounts]]</f>
        <v>14577.75</v>
      </c>
      <c r="L418" s="1">
        <f ca="1">financials[[#This Row],[Units Sold]]*financials[[#This Row],[Manufacturing Price]]</f>
        <v>9900</v>
      </c>
      <c r="M418" s="1">
        <f ca="1">financials[[#This Row],[Sales]]-financials[[#This Row],[COGS]]</f>
        <v>4677.75</v>
      </c>
      <c r="N418" s="7">
        <f t="shared" ca="1" si="13"/>
        <v>45598</v>
      </c>
      <c r="O418" s="8">
        <f ca="1">MONTH(financials[[#This Row],[Date]])</f>
        <v>11</v>
      </c>
      <c r="P418" s="6" t="str">
        <f ca="1">TEXT(financials[[#This Row],[Date]],"MMM")</f>
        <v>Nov</v>
      </c>
      <c r="Q418">
        <f ca="1">YEAR(financials[[#This Row],[Date]])</f>
        <v>2024</v>
      </c>
      <c r="S418" s="10"/>
    </row>
    <row r="419" spans="1:19" x14ac:dyDescent="0.3">
      <c r="A419" t="s">
        <v>21</v>
      </c>
      <c r="B419" t="s">
        <v>22</v>
      </c>
      <c r="C419" s="6" t="s">
        <v>28</v>
      </c>
      <c r="D419" s="6" t="str">
        <f>CONCATENATE(financials[[#This Row],[Segment]],",",financials[[#This Row],[Country]],",",financials[[#This Row],[Product]])</f>
        <v>Midmarket,France,Paseo</v>
      </c>
      <c r="E419" s="6" t="s">
        <v>33</v>
      </c>
      <c r="F419">
        <f t="shared" ca="1" si="12"/>
        <v>307</v>
      </c>
      <c r="G419" s="1">
        <f ca="1">VLOOKUP(financials[[#This Row],[ID]],Prices!D:F,2,FALSE)</f>
        <v>20</v>
      </c>
      <c r="H419" s="1">
        <f ca="1">VLOOKUP(financials[[#This Row],[ID]],Prices!D:F,3,FALSE)</f>
        <v>38</v>
      </c>
      <c r="I419" s="1">
        <f ca="1">financials[[#This Row],[Units Sold]]*financials[[#This Row],[Sale Price]]</f>
        <v>11666</v>
      </c>
      <c r="J4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583.30000000000007</v>
      </c>
      <c r="K419" s="1">
        <f ca="1">financials[[#This Row],[Gross Sales]]-financials[[#This Row],[Discounts]]</f>
        <v>11082.7</v>
      </c>
      <c r="L419" s="1">
        <f ca="1">financials[[#This Row],[Units Sold]]*financials[[#This Row],[Manufacturing Price]]</f>
        <v>6140</v>
      </c>
      <c r="M419" s="1">
        <f ca="1">financials[[#This Row],[Sales]]-financials[[#This Row],[COGS]]</f>
        <v>4942.7000000000007</v>
      </c>
      <c r="N419" s="7">
        <f t="shared" ca="1" si="13"/>
        <v>45745</v>
      </c>
      <c r="O419" s="8">
        <f ca="1">MONTH(financials[[#This Row],[Date]])</f>
        <v>3</v>
      </c>
      <c r="P419" s="6" t="str">
        <f ca="1">TEXT(financials[[#This Row],[Date]],"MMM")</f>
        <v>Mar</v>
      </c>
      <c r="Q419">
        <f ca="1">YEAR(financials[[#This Row],[Date]])</f>
        <v>2025</v>
      </c>
      <c r="S419" s="10"/>
    </row>
    <row r="420" spans="1:19" x14ac:dyDescent="0.3">
      <c r="A420" t="s">
        <v>25</v>
      </c>
      <c r="B420" t="s">
        <v>23</v>
      </c>
      <c r="C420" s="6" t="s">
        <v>28</v>
      </c>
      <c r="D420" s="6" t="str">
        <f>CONCATENATE(financials[[#This Row],[Segment]],",",financials[[#This Row],[Country]],",",financials[[#This Row],[Product]])</f>
        <v>Channel Partners,Mexico,Paseo</v>
      </c>
      <c r="E420" s="6" t="s">
        <v>33</v>
      </c>
      <c r="F420">
        <f t="shared" ca="1" si="12"/>
        <v>77</v>
      </c>
      <c r="G420" s="1">
        <f ca="1">VLOOKUP(financials[[#This Row],[ID]],Prices!D:F,2,FALSE)</f>
        <v>13</v>
      </c>
      <c r="H420" s="1">
        <f ca="1">VLOOKUP(financials[[#This Row],[ID]],Prices!D:F,3,FALSE)</f>
        <v>21</v>
      </c>
      <c r="I420" s="1">
        <f ca="1">financials[[#This Row],[Units Sold]]*financials[[#This Row],[Sale Price]]</f>
        <v>1617</v>
      </c>
      <c r="J4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80.850000000000009</v>
      </c>
      <c r="K420" s="1">
        <f ca="1">financials[[#This Row],[Gross Sales]]-financials[[#This Row],[Discounts]]</f>
        <v>1536.15</v>
      </c>
      <c r="L420" s="1">
        <f ca="1">financials[[#This Row],[Units Sold]]*financials[[#This Row],[Manufacturing Price]]</f>
        <v>1001</v>
      </c>
      <c r="M420" s="1">
        <f ca="1">financials[[#This Row],[Sales]]-financials[[#This Row],[COGS]]</f>
        <v>535.15000000000009</v>
      </c>
      <c r="N420" s="7">
        <f t="shared" ca="1" si="13"/>
        <v>45052</v>
      </c>
      <c r="O420" s="8">
        <f ca="1">MONTH(financials[[#This Row],[Date]])</f>
        <v>5</v>
      </c>
      <c r="P420" s="6" t="str">
        <f ca="1">TEXT(financials[[#This Row],[Date]],"MMM")</f>
        <v>May</v>
      </c>
      <c r="Q420">
        <f ca="1">YEAR(financials[[#This Row],[Date]])</f>
        <v>2023</v>
      </c>
      <c r="S420" s="10"/>
    </row>
    <row r="421" spans="1:19" x14ac:dyDescent="0.3">
      <c r="A421" t="s">
        <v>27</v>
      </c>
      <c r="B421" t="s">
        <v>22</v>
      </c>
      <c r="C421" s="6" t="s">
        <v>28</v>
      </c>
      <c r="D421" s="6" t="str">
        <f>CONCATENATE(financials[[#This Row],[Segment]],",",financials[[#This Row],[Country]],",",financials[[#This Row],[Product]])</f>
        <v>Small Business,France,Paseo</v>
      </c>
      <c r="E421" s="6" t="s">
        <v>33</v>
      </c>
      <c r="F421">
        <f t="shared" ca="1" si="12"/>
        <v>427</v>
      </c>
      <c r="G421" s="1">
        <f ca="1">VLOOKUP(financials[[#This Row],[ID]],Prices!D:F,2,FALSE)</f>
        <v>16</v>
      </c>
      <c r="H421" s="1">
        <f ca="1">VLOOKUP(financials[[#This Row],[ID]],Prices!D:F,3,FALSE)</f>
        <v>29</v>
      </c>
      <c r="I421" s="1">
        <f ca="1">financials[[#This Row],[Units Sold]]*financials[[#This Row],[Sale Price]]</f>
        <v>12383</v>
      </c>
      <c r="J4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619.15000000000009</v>
      </c>
      <c r="K421" s="1">
        <f ca="1">financials[[#This Row],[Gross Sales]]-financials[[#This Row],[Discounts]]</f>
        <v>11763.85</v>
      </c>
      <c r="L421" s="1">
        <f ca="1">financials[[#This Row],[Units Sold]]*financials[[#This Row],[Manufacturing Price]]</f>
        <v>6832</v>
      </c>
      <c r="M421" s="1">
        <f ca="1">financials[[#This Row],[Sales]]-financials[[#This Row],[COGS]]</f>
        <v>4931.8500000000004</v>
      </c>
      <c r="N421" s="7">
        <f t="shared" ca="1" si="13"/>
        <v>45085</v>
      </c>
      <c r="O421" s="8">
        <f ca="1">MONTH(financials[[#This Row],[Date]])</f>
        <v>6</v>
      </c>
      <c r="P421" s="6" t="str">
        <f ca="1">TEXT(financials[[#This Row],[Date]],"MMM")</f>
        <v>Jun</v>
      </c>
      <c r="Q421">
        <f ca="1">YEAR(financials[[#This Row],[Date]])</f>
        <v>2023</v>
      </c>
      <c r="S421" s="10"/>
    </row>
    <row r="422" spans="1:19" x14ac:dyDescent="0.3">
      <c r="A422" t="s">
        <v>25</v>
      </c>
      <c r="B422" t="s">
        <v>20</v>
      </c>
      <c r="C422" s="6" t="s">
        <v>28</v>
      </c>
      <c r="D422" s="6" t="str">
        <f>CONCATENATE(financials[[#This Row],[Segment]],",",financials[[#This Row],[Country]],",",financials[[#This Row],[Product]])</f>
        <v>Channel Partners,Germany,Paseo</v>
      </c>
      <c r="E422" s="6" t="s">
        <v>33</v>
      </c>
      <c r="F422">
        <f t="shared" ca="1" si="12"/>
        <v>232</v>
      </c>
      <c r="G422" s="1">
        <f ca="1">VLOOKUP(financials[[#This Row],[ID]],Prices!D:F,2,FALSE)</f>
        <v>13</v>
      </c>
      <c r="H422" s="1">
        <f ca="1">VLOOKUP(financials[[#This Row],[ID]],Prices!D:F,3,FALSE)</f>
        <v>25</v>
      </c>
      <c r="I422" s="1">
        <f ca="1">financials[[#This Row],[Units Sold]]*financials[[#This Row],[Sale Price]]</f>
        <v>5800</v>
      </c>
      <c r="J4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290</v>
      </c>
      <c r="K422" s="1">
        <f ca="1">financials[[#This Row],[Gross Sales]]-financials[[#This Row],[Discounts]]</f>
        <v>5510</v>
      </c>
      <c r="L422" s="1">
        <f ca="1">financials[[#This Row],[Units Sold]]*financials[[#This Row],[Manufacturing Price]]</f>
        <v>3016</v>
      </c>
      <c r="M422" s="1">
        <f ca="1">financials[[#This Row],[Sales]]-financials[[#This Row],[COGS]]</f>
        <v>2494</v>
      </c>
      <c r="N422" s="7">
        <f t="shared" ca="1" si="13"/>
        <v>45208</v>
      </c>
      <c r="O422" s="8">
        <f ca="1">MONTH(financials[[#This Row],[Date]])</f>
        <v>10</v>
      </c>
      <c r="P422" s="6" t="str">
        <f ca="1">TEXT(financials[[#This Row],[Date]],"MMM")</f>
        <v>Oct</v>
      </c>
      <c r="Q422">
        <f ca="1">YEAR(financials[[#This Row],[Date]])</f>
        <v>2023</v>
      </c>
      <c r="S422" s="10"/>
    </row>
    <row r="423" spans="1:19" x14ac:dyDescent="0.3">
      <c r="A423" t="s">
        <v>26</v>
      </c>
      <c r="B423" t="s">
        <v>36</v>
      </c>
      <c r="C423" s="6" t="s">
        <v>28</v>
      </c>
      <c r="D423" s="6" t="str">
        <f>CONCATENATE(financials[[#This Row],[Segment]],",",financials[[#This Row],[Country]],",",financials[[#This Row],[Product]])</f>
        <v>Enterprise,USA,Paseo</v>
      </c>
      <c r="E423" s="6" t="s">
        <v>33</v>
      </c>
      <c r="F423">
        <f t="shared" ca="1" si="12"/>
        <v>21</v>
      </c>
      <c r="G423" s="1">
        <f ca="1">VLOOKUP(financials[[#This Row],[ID]],Prices!D:F,2,FALSE)</f>
        <v>17</v>
      </c>
      <c r="H423" s="1">
        <f ca="1">VLOOKUP(financials[[#This Row],[ID]],Prices!D:F,3,FALSE)</f>
        <v>30</v>
      </c>
      <c r="I423" s="1">
        <f ca="1">financials[[#This Row],[Units Sold]]*financials[[#This Row],[Sale Price]]</f>
        <v>630</v>
      </c>
      <c r="J4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6.3</v>
      </c>
      <c r="K423" s="1">
        <f ca="1">financials[[#This Row],[Gross Sales]]-financials[[#This Row],[Discounts]]</f>
        <v>623.70000000000005</v>
      </c>
      <c r="L423" s="1">
        <f ca="1">financials[[#This Row],[Units Sold]]*financials[[#This Row],[Manufacturing Price]]</f>
        <v>357</v>
      </c>
      <c r="M423" s="1">
        <f ca="1">financials[[#This Row],[Sales]]-financials[[#This Row],[COGS]]</f>
        <v>266.70000000000005</v>
      </c>
      <c r="N423" s="7">
        <f t="shared" ca="1" si="13"/>
        <v>45708</v>
      </c>
      <c r="O423" s="8">
        <f ca="1">MONTH(financials[[#This Row],[Date]])</f>
        <v>2</v>
      </c>
      <c r="P423" s="6" t="str">
        <f ca="1">TEXT(financials[[#This Row],[Date]],"MMM")</f>
        <v>Feb</v>
      </c>
      <c r="Q423">
        <f ca="1">YEAR(financials[[#This Row],[Date]])</f>
        <v>2025</v>
      </c>
      <c r="S423" s="10"/>
    </row>
    <row r="424" spans="1:19" x14ac:dyDescent="0.3">
      <c r="A424" t="s">
        <v>21</v>
      </c>
      <c r="B424" t="s">
        <v>23</v>
      </c>
      <c r="C424" s="6" t="s">
        <v>29</v>
      </c>
      <c r="D424" s="6" t="str">
        <f>CONCATENATE(financials[[#This Row],[Segment]],",",financials[[#This Row],[Country]],",",financials[[#This Row],[Product]])</f>
        <v>Midmarket,Mexico,Velo</v>
      </c>
      <c r="E424" s="6" t="s">
        <v>33</v>
      </c>
      <c r="F424">
        <f t="shared" ca="1" si="12"/>
        <v>440</v>
      </c>
      <c r="G424" s="1">
        <f ca="1">VLOOKUP(financials[[#This Row],[ID]],Prices!D:F,2,FALSE)</f>
        <v>20</v>
      </c>
      <c r="H424" s="1">
        <f ca="1">VLOOKUP(financials[[#This Row],[ID]],Prices!D:F,3,FALSE)</f>
        <v>35</v>
      </c>
      <c r="I424" s="1">
        <f ca="1">financials[[#This Row],[Units Sold]]*financials[[#This Row],[Sale Price]]</f>
        <v>15400</v>
      </c>
      <c r="J4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770</v>
      </c>
      <c r="K424" s="1">
        <f ca="1">financials[[#This Row],[Gross Sales]]-financials[[#This Row],[Discounts]]</f>
        <v>14630</v>
      </c>
      <c r="L424" s="1">
        <f ca="1">financials[[#This Row],[Units Sold]]*financials[[#This Row],[Manufacturing Price]]</f>
        <v>8800</v>
      </c>
      <c r="M424" s="1">
        <f ca="1">financials[[#This Row],[Sales]]-financials[[#This Row],[COGS]]</f>
        <v>5830</v>
      </c>
      <c r="N424" s="7">
        <f t="shared" ca="1" si="13"/>
        <v>45291</v>
      </c>
      <c r="O424" s="8">
        <f ca="1">MONTH(financials[[#This Row],[Date]])</f>
        <v>12</v>
      </c>
      <c r="P424" s="6" t="str">
        <f ca="1">TEXT(financials[[#This Row],[Date]],"MMM")</f>
        <v>Dec</v>
      </c>
      <c r="Q424">
        <f ca="1">YEAR(financials[[#This Row],[Date]])</f>
        <v>2023</v>
      </c>
      <c r="S424" s="10"/>
    </row>
    <row r="425" spans="1:19" x14ac:dyDescent="0.3">
      <c r="A425" t="s">
        <v>27</v>
      </c>
      <c r="B425" t="s">
        <v>17</v>
      </c>
      <c r="C425" s="6" t="s">
        <v>29</v>
      </c>
      <c r="D425" s="6" t="str">
        <f>CONCATENATE(financials[[#This Row],[Segment]],",",financials[[#This Row],[Country]],",",financials[[#This Row],[Product]])</f>
        <v>Small Business,Canada,Velo</v>
      </c>
      <c r="E425" s="6" t="s">
        <v>33</v>
      </c>
      <c r="F425">
        <f t="shared" ca="1" si="12"/>
        <v>11</v>
      </c>
      <c r="G425" s="1">
        <f ca="1">VLOOKUP(financials[[#This Row],[ID]],Prices!D:F,2,FALSE)</f>
        <v>14</v>
      </c>
      <c r="H425" s="1">
        <f ca="1">VLOOKUP(financials[[#This Row],[ID]],Prices!D:F,3,FALSE)</f>
        <v>30</v>
      </c>
      <c r="I425" s="1">
        <f ca="1">financials[[#This Row],[Units Sold]]*financials[[#This Row],[Sale Price]]</f>
        <v>330</v>
      </c>
      <c r="J4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3.3000000000000003</v>
      </c>
      <c r="K425" s="1">
        <f ca="1">financials[[#This Row],[Gross Sales]]-financials[[#This Row],[Discounts]]</f>
        <v>326.7</v>
      </c>
      <c r="L425" s="1">
        <f ca="1">financials[[#This Row],[Units Sold]]*financials[[#This Row],[Manufacturing Price]]</f>
        <v>154</v>
      </c>
      <c r="M425" s="1">
        <f ca="1">financials[[#This Row],[Sales]]-financials[[#This Row],[COGS]]</f>
        <v>172.7</v>
      </c>
      <c r="N425" s="7">
        <f t="shared" ca="1" si="13"/>
        <v>45689</v>
      </c>
      <c r="O425" s="8">
        <f ca="1">MONTH(financials[[#This Row],[Date]])</f>
        <v>2</v>
      </c>
      <c r="P425" s="6" t="str">
        <f ca="1">TEXT(financials[[#This Row],[Date]],"MMM")</f>
        <v>Feb</v>
      </c>
      <c r="Q425">
        <f ca="1">YEAR(financials[[#This Row],[Date]])</f>
        <v>2025</v>
      </c>
      <c r="S425" s="10"/>
    </row>
    <row r="426" spans="1:19" x14ac:dyDescent="0.3">
      <c r="A426" t="s">
        <v>16</v>
      </c>
      <c r="B426" t="s">
        <v>20</v>
      </c>
      <c r="C426" s="6" t="s">
        <v>29</v>
      </c>
      <c r="D426" s="6" t="str">
        <f>CONCATENATE(financials[[#This Row],[Segment]],",",financials[[#This Row],[Country]],",",financials[[#This Row],[Product]])</f>
        <v>Government,Germany,Velo</v>
      </c>
      <c r="E426" s="6" t="s">
        <v>33</v>
      </c>
      <c r="F426">
        <f t="shared" ca="1" si="12"/>
        <v>348</v>
      </c>
      <c r="G426" s="1">
        <f ca="1">VLOOKUP(financials[[#This Row],[ID]],Prices!D:F,2,FALSE)</f>
        <v>13</v>
      </c>
      <c r="H426" s="1">
        <f ca="1">VLOOKUP(financials[[#This Row],[ID]],Prices!D:F,3,FALSE)</f>
        <v>19</v>
      </c>
      <c r="I426" s="1">
        <f ca="1">financials[[#This Row],[Units Sold]]*financials[[#This Row],[Sale Price]]</f>
        <v>6612</v>
      </c>
      <c r="J4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330.6</v>
      </c>
      <c r="K426" s="1">
        <f ca="1">financials[[#This Row],[Gross Sales]]-financials[[#This Row],[Discounts]]</f>
        <v>6281.4</v>
      </c>
      <c r="L426" s="1">
        <f ca="1">financials[[#This Row],[Units Sold]]*financials[[#This Row],[Manufacturing Price]]</f>
        <v>4524</v>
      </c>
      <c r="M426" s="1">
        <f ca="1">financials[[#This Row],[Sales]]-financials[[#This Row],[COGS]]</f>
        <v>1757.3999999999996</v>
      </c>
      <c r="N426" s="7">
        <f t="shared" ca="1" si="13"/>
        <v>45205</v>
      </c>
      <c r="O426" s="8">
        <f ca="1">MONTH(financials[[#This Row],[Date]])</f>
        <v>10</v>
      </c>
      <c r="P426" s="6" t="str">
        <f ca="1">TEXT(financials[[#This Row],[Date]],"MMM")</f>
        <v>Oct</v>
      </c>
      <c r="Q426">
        <f ca="1">YEAR(financials[[#This Row],[Date]])</f>
        <v>2023</v>
      </c>
      <c r="S426" s="10"/>
    </row>
    <row r="427" spans="1:19" x14ac:dyDescent="0.3">
      <c r="A427" t="s">
        <v>26</v>
      </c>
      <c r="B427" t="s">
        <v>17</v>
      </c>
      <c r="C427" s="6" t="s">
        <v>29</v>
      </c>
      <c r="D427" s="6" t="str">
        <f>CONCATENATE(financials[[#This Row],[Segment]],",",financials[[#This Row],[Country]],",",financials[[#This Row],[Product]])</f>
        <v>Enterprise,Canada,Velo</v>
      </c>
      <c r="E427" s="6" t="s">
        <v>33</v>
      </c>
      <c r="F427">
        <f t="shared" ca="1" si="12"/>
        <v>461</v>
      </c>
      <c r="G427" s="1">
        <f ca="1">VLOOKUP(financials[[#This Row],[ID]],Prices!D:F,2,FALSE)</f>
        <v>11</v>
      </c>
      <c r="H427" s="1">
        <f ca="1">VLOOKUP(financials[[#This Row],[ID]],Prices!D:F,3,FALSE)</f>
        <v>34</v>
      </c>
      <c r="I427" s="1">
        <f ca="1">financials[[#This Row],[Units Sold]]*financials[[#This Row],[Sale Price]]</f>
        <v>15674</v>
      </c>
      <c r="J4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783.7</v>
      </c>
      <c r="K427" s="1">
        <f ca="1">financials[[#This Row],[Gross Sales]]-financials[[#This Row],[Discounts]]</f>
        <v>14890.3</v>
      </c>
      <c r="L427" s="1">
        <f ca="1">financials[[#This Row],[Units Sold]]*financials[[#This Row],[Manufacturing Price]]</f>
        <v>5071</v>
      </c>
      <c r="M427" s="1">
        <f ca="1">financials[[#This Row],[Sales]]-financials[[#This Row],[COGS]]</f>
        <v>9819.2999999999993</v>
      </c>
      <c r="N427" s="7">
        <f t="shared" ca="1" si="13"/>
        <v>45421</v>
      </c>
      <c r="O427" s="8">
        <f ca="1">MONTH(financials[[#This Row],[Date]])</f>
        <v>5</v>
      </c>
      <c r="P427" s="6" t="str">
        <f ca="1">TEXT(financials[[#This Row],[Date]],"MMM")</f>
        <v>May</v>
      </c>
      <c r="Q427">
        <f ca="1">YEAR(financials[[#This Row],[Date]])</f>
        <v>2024</v>
      </c>
      <c r="S427" s="10"/>
    </row>
    <row r="428" spans="1:19" x14ac:dyDescent="0.3">
      <c r="A428" t="s">
        <v>26</v>
      </c>
      <c r="B428" t="s">
        <v>23</v>
      </c>
      <c r="C428" s="6" t="s">
        <v>29</v>
      </c>
      <c r="D428" s="6" t="str">
        <f>CONCATENATE(financials[[#This Row],[Segment]],",",financials[[#This Row],[Country]],",",financials[[#This Row],[Product]])</f>
        <v>Enterprise,Mexico,Velo</v>
      </c>
      <c r="E428" s="6" t="s">
        <v>33</v>
      </c>
      <c r="F428">
        <f t="shared" ca="1" si="12"/>
        <v>391</v>
      </c>
      <c r="G428" s="1">
        <f ca="1">VLOOKUP(financials[[#This Row],[ID]],Prices!D:F,2,FALSE)</f>
        <v>19</v>
      </c>
      <c r="H428" s="1">
        <f ca="1">VLOOKUP(financials[[#This Row],[ID]],Prices!D:F,3,FALSE)</f>
        <v>23</v>
      </c>
      <c r="I428" s="1">
        <f ca="1">financials[[#This Row],[Units Sold]]*financials[[#This Row],[Sale Price]]</f>
        <v>8993</v>
      </c>
      <c r="J4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449.65000000000003</v>
      </c>
      <c r="K428" s="1">
        <f ca="1">financials[[#This Row],[Gross Sales]]-financials[[#This Row],[Discounts]]</f>
        <v>8543.35</v>
      </c>
      <c r="L428" s="1">
        <f ca="1">financials[[#This Row],[Units Sold]]*financials[[#This Row],[Manufacturing Price]]</f>
        <v>7429</v>
      </c>
      <c r="M428" s="1">
        <f ca="1">financials[[#This Row],[Sales]]-financials[[#This Row],[COGS]]</f>
        <v>1114.3500000000004</v>
      </c>
      <c r="N428" s="7">
        <f t="shared" ca="1" si="13"/>
        <v>45117</v>
      </c>
      <c r="O428" s="8">
        <f ca="1">MONTH(financials[[#This Row],[Date]])</f>
        <v>7</v>
      </c>
      <c r="P428" s="6" t="str">
        <f ca="1">TEXT(financials[[#This Row],[Date]],"MMM")</f>
        <v>Jul</v>
      </c>
      <c r="Q428">
        <f ca="1">YEAR(financials[[#This Row],[Date]])</f>
        <v>2023</v>
      </c>
      <c r="S428" s="10"/>
    </row>
    <row r="429" spans="1:19" x14ac:dyDescent="0.3">
      <c r="A429" t="s">
        <v>16</v>
      </c>
      <c r="B429" t="s">
        <v>17</v>
      </c>
      <c r="C429" s="6" t="s">
        <v>29</v>
      </c>
      <c r="D429" s="6" t="str">
        <f>CONCATENATE(financials[[#This Row],[Segment]],",",financials[[#This Row],[Country]],",",financials[[#This Row],[Product]])</f>
        <v>Government,Canada,Velo</v>
      </c>
      <c r="E429" s="6" t="s">
        <v>33</v>
      </c>
      <c r="F429">
        <f t="shared" ca="1" si="12"/>
        <v>865</v>
      </c>
      <c r="G429" s="1">
        <f ca="1">VLOOKUP(financials[[#This Row],[ID]],Prices!D:F,2,FALSE)</f>
        <v>19</v>
      </c>
      <c r="H429" s="1">
        <f ca="1">VLOOKUP(financials[[#This Row],[ID]],Prices!D:F,3,FALSE)</f>
        <v>37</v>
      </c>
      <c r="I429" s="1">
        <f ca="1">financials[[#This Row],[Units Sold]]*financials[[#This Row],[Sale Price]]</f>
        <v>32005</v>
      </c>
      <c r="J4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1600.25</v>
      </c>
      <c r="K429" s="1">
        <f ca="1">financials[[#This Row],[Gross Sales]]-financials[[#This Row],[Discounts]]</f>
        <v>30404.75</v>
      </c>
      <c r="L429" s="1">
        <f ca="1">financials[[#This Row],[Units Sold]]*financials[[#This Row],[Manufacturing Price]]</f>
        <v>16435</v>
      </c>
      <c r="M429" s="1">
        <f ca="1">financials[[#This Row],[Sales]]-financials[[#This Row],[COGS]]</f>
        <v>13969.75</v>
      </c>
      <c r="N429" s="7">
        <f t="shared" ca="1" si="13"/>
        <v>45055</v>
      </c>
      <c r="O429" s="8">
        <f ca="1">MONTH(financials[[#This Row],[Date]])</f>
        <v>5</v>
      </c>
      <c r="P429" s="6" t="str">
        <f ca="1">TEXT(financials[[#This Row],[Date]],"MMM")</f>
        <v>May</v>
      </c>
      <c r="Q429">
        <f ca="1">YEAR(financials[[#This Row],[Date]])</f>
        <v>2023</v>
      </c>
      <c r="S429" s="10"/>
    </row>
    <row r="430" spans="1:19" x14ac:dyDescent="0.3">
      <c r="A430" t="s">
        <v>25</v>
      </c>
      <c r="B430" t="s">
        <v>36</v>
      </c>
      <c r="C430" s="6" t="s">
        <v>30</v>
      </c>
      <c r="D430" s="6" t="str">
        <f>CONCATENATE(financials[[#This Row],[Segment]],",",financials[[#This Row],[Country]],",",financials[[#This Row],[Product]])</f>
        <v>Channel Partners,USA,VTT</v>
      </c>
      <c r="E430" s="6" t="s">
        <v>33</v>
      </c>
      <c r="F430">
        <f t="shared" ca="1" si="12"/>
        <v>73</v>
      </c>
      <c r="G430" s="1">
        <f ca="1">VLOOKUP(financials[[#This Row],[ID]],Prices!D:F,2,FALSE)</f>
        <v>20</v>
      </c>
      <c r="H430" s="1">
        <f ca="1">VLOOKUP(financials[[#This Row],[ID]],Prices!D:F,3,FALSE)</f>
        <v>38</v>
      </c>
      <c r="I430" s="1">
        <f ca="1">financials[[#This Row],[Units Sold]]*financials[[#This Row],[Sale Price]]</f>
        <v>2774</v>
      </c>
      <c r="J4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138.70000000000002</v>
      </c>
      <c r="K430" s="1">
        <f ca="1">financials[[#This Row],[Gross Sales]]-financials[[#This Row],[Discounts]]</f>
        <v>2635.3</v>
      </c>
      <c r="L430" s="1">
        <f ca="1">financials[[#This Row],[Units Sold]]*financials[[#This Row],[Manufacturing Price]]</f>
        <v>1460</v>
      </c>
      <c r="M430" s="1">
        <f ca="1">financials[[#This Row],[Sales]]-financials[[#This Row],[COGS]]</f>
        <v>1175.3000000000002</v>
      </c>
      <c r="N430" s="7">
        <f t="shared" ca="1" si="13"/>
        <v>45664</v>
      </c>
      <c r="O430" s="8">
        <f ca="1">MONTH(financials[[#This Row],[Date]])</f>
        <v>1</v>
      </c>
      <c r="P430" s="6" t="str">
        <f ca="1">TEXT(financials[[#This Row],[Date]],"MMM")</f>
        <v>Jan</v>
      </c>
      <c r="Q430">
        <f ca="1">YEAR(financials[[#This Row],[Date]])</f>
        <v>2025</v>
      </c>
      <c r="S430" s="10"/>
    </row>
    <row r="431" spans="1:19" x14ac:dyDescent="0.3">
      <c r="A431" t="s">
        <v>27</v>
      </c>
      <c r="B431" t="s">
        <v>20</v>
      </c>
      <c r="C431" s="6" t="s">
        <v>30</v>
      </c>
      <c r="D431" s="6" t="str">
        <f>CONCATENATE(financials[[#This Row],[Segment]],",",financials[[#This Row],[Country]],",",financials[[#This Row],[Product]])</f>
        <v>Small Business,Germany,VTT</v>
      </c>
      <c r="E431" s="6" t="s">
        <v>33</v>
      </c>
      <c r="F431">
        <f t="shared" ca="1" si="12"/>
        <v>838</v>
      </c>
      <c r="G431" s="1">
        <f ca="1">VLOOKUP(financials[[#This Row],[ID]],Prices!D:F,2,FALSE)</f>
        <v>18</v>
      </c>
      <c r="H431" s="1">
        <f ca="1">VLOOKUP(financials[[#This Row],[ID]],Prices!D:F,3,FALSE)</f>
        <v>38</v>
      </c>
      <c r="I431" s="1">
        <f ca="1">financials[[#This Row],[Units Sold]]*financials[[#This Row],[Sale Price]]</f>
        <v>31844</v>
      </c>
      <c r="J4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1592.2</v>
      </c>
      <c r="K431" s="1">
        <f ca="1">financials[[#This Row],[Gross Sales]]-financials[[#This Row],[Discounts]]</f>
        <v>30251.8</v>
      </c>
      <c r="L431" s="1">
        <f ca="1">financials[[#This Row],[Units Sold]]*financials[[#This Row],[Manufacturing Price]]</f>
        <v>15084</v>
      </c>
      <c r="M431" s="1">
        <f ca="1">financials[[#This Row],[Sales]]-financials[[#This Row],[COGS]]</f>
        <v>15167.8</v>
      </c>
      <c r="N431" s="7">
        <f t="shared" ca="1" si="13"/>
        <v>45661</v>
      </c>
      <c r="O431" s="8">
        <f ca="1">MONTH(financials[[#This Row],[Date]])</f>
        <v>1</v>
      </c>
      <c r="P431" s="6" t="str">
        <f ca="1">TEXT(financials[[#This Row],[Date]],"MMM")</f>
        <v>Jan</v>
      </c>
      <c r="Q431">
        <f ca="1">YEAR(financials[[#This Row],[Date]])</f>
        <v>2025</v>
      </c>
      <c r="S431" s="10"/>
    </row>
    <row r="432" spans="1:19" x14ac:dyDescent="0.3">
      <c r="A432" t="s">
        <v>16</v>
      </c>
      <c r="B432" t="s">
        <v>36</v>
      </c>
      <c r="C432" s="6" t="s">
        <v>30</v>
      </c>
      <c r="D432" s="6" t="str">
        <f>CONCATENATE(financials[[#This Row],[Segment]],",",financials[[#This Row],[Country]],",",financials[[#This Row],[Product]])</f>
        <v>Government,USA,VTT</v>
      </c>
      <c r="E432" s="6" t="s">
        <v>33</v>
      </c>
      <c r="F432">
        <f t="shared" ca="1" si="12"/>
        <v>170</v>
      </c>
      <c r="G432" s="1">
        <f ca="1">VLOOKUP(financials[[#This Row],[ID]],Prices!D:F,2,FALSE)</f>
        <v>13</v>
      </c>
      <c r="H432" s="1">
        <f ca="1">VLOOKUP(financials[[#This Row],[ID]],Prices!D:F,3,FALSE)</f>
        <v>31</v>
      </c>
      <c r="I432" s="1">
        <f ca="1">financials[[#This Row],[Units Sold]]*financials[[#This Row],[Sale Price]]</f>
        <v>5270</v>
      </c>
      <c r="J4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263.5</v>
      </c>
      <c r="K432" s="1">
        <f ca="1">financials[[#This Row],[Gross Sales]]-financials[[#This Row],[Discounts]]</f>
        <v>5006.5</v>
      </c>
      <c r="L432" s="1">
        <f ca="1">financials[[#This Row],[Units Sold]]*financials[[#This Row],[Manufacturing Price]]</f>
        <v>2210</v>
      </c>
      <c r="M432" s="1">
        <f ca="1">financials[[#This Row],[Sales]]-financials[[#This Row],[COGS]]</f>
        <v>2796.5</v>
      </c>
      <c r="N432" s="7">
        <f t="shared" ca="1" si="13"/>
        <v>45320</v>
      </c>
      <c r="O432" s="8">
        <f ca="1">MONTH(financials[[#This Row],[Date]])</f>
        <v>1</v>
      </c>
      <c r="P432" s="6" t="str">
        <f ca="1">TEXT(financials[[#This Row],[Date]],"MMM")</f>
        <v>Jan</v>
      </c>
      <c r="Q432">
        <f ca="1">YEAR(financials[[#This Row],[Date]])</f>
        <v>2024</v>
      </c>
      <c r="S432" s="10"/>
    </row>
    <row r="433" spans="1:19" x14ac:dyDescent="0.3">
      <c r="A433" t="s">
        <v>25</v>
      </c>
      <c r="B433" t="s">
        <v>20</v>
      </c>
      <c r="C433" s="6" t="s">
        <v>30</v>
      </c>
      <c r="D433" s="6" t="str">
        <f>CONCATENATE(financials[[#This Row],[Segment]],",",financials[[#This Row],[Country]],",",financials[[#This Row],[Product]])</f>
        <v>Channel Partners,Germany,VTT</v>
      </c>
      <c r="E433" s="6" t="s">
        <v>33</v>
      </c>
      <c r="F433">
        <f t="shared" ca="1" si="12"/>
        <v>961</v>
      </c>
      <c r="G433" s="1">
        <f ca="1">VLOOKUP(financials[[#This Row],[ID]],Prices!D:F,2,FALSE)</f>
        <v>20</v>
      </c>
      <c r="H433" s="1">
        <f ca="1">VLOOKUP(financials[[#This Row],[ID]],Prices!D:F,3,FALSE)</f>
        <v>32</v>
      </c>
      <c r="I433" s="1">
        <f ca="1">financials[[#This Row],[Units Sold]]*financials[[#This Row],[Sale Price]]</f>
        <v>30752</v>
      </c>
      <c r="J4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1537.6000000000001</v>
      </c>
      <c r="K433" s="1">
        <f ca="1">financials[[#This Row],[Gross Sales]]-financials[[#This Row],[Discounts]]</f>
        <v>29214.400000000001</v>
      </c>
      <c r="L433" s="1">
        <f ca="1">financials[[#This Row],[Units Sold]]*financials[[#This Row],[Manufacturing Price]]</f>
        <v>19220</v>
      </c>
      <c r="M433" s="1">
        <f ca="1">financials[[#This Row],[Sales]]-financials[[#This Row],[COGS]]</f>
        <v>9994.4000000000015</v>
      </c>
      <c r="N433" s="7">
        <f t="shared" ca="1" si="13"/>
        <v>45225</v>
      </c>
      <c r="O433" s="8">
        <f ca="1">MONTH(financials[[#This Row],[Date]])</f>
        <v>10</v>
      </c>
      <c r="P433" s="6" t="str">
        <f ca="1">TEXT(financials[[#This Row],[Date]],"MMM")</f>
        <v>Oct</v>
      </c>
      <c r="Q433">
        <f ca="1">YEAR(financials[[#This Row],[Date]])</f>
        <v>2023</v>
      </c>
      <c r="S433" s="10"/>
    </row>
    <row r="434" spans="1:19" x14ac:dyDescent="0.3">
      <c r="A434" t="s">
        <v>27</v>
      </c>
      <c r="B434" t="s">
        <v>36</v>
      </c>
      <c r="C434" s="6" t="s">
        <v>30</v>
      </c>
      <c r="D434" s="6" t="str">
        <f>CONCATENATE(financials[[#This Row],[Segment]],",",financials[[#This Row],[Country]],",",financials[[#This Row],[Product]])</f>
        <v>Small Business,USA,VTT</v>
      </c>
      <c r="E434" s="6" t="s">
        <v>33</v>
      </c>
      <c r="F434">
        <f t="shared" ca="1" si="12"/>
        <v>244</v>
      </c>
      <c r="G434" s="1">
        <f ca="1">VLOOKUP(financials[[#This Row],[ID]],Prices!D:F,2,FALSE)</f>
        <v>13</v>
      </c>
      <c r="H434" s="1">
        <f ca="1">VLOOKUP(financials[[#This Row],[ID]],Prices!D:F,3,FALSE)</f>
        <v>19</v>
      </c>
      <c r="I434" s="1">
        <f ca="1">financials[[#This Row],[Units Sold]]*financials[[#This Row],[Sale Price]]</f>
        <v>4636</v>
      </c>
      <c r="J4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231.8</v>
      </c>
      <c r="K434" s="1">
        <f ca="1">financials[[#This Row],[Gross Sales]]-financials[[#This Row],[Discounts]]</f>
        <v>4404.2</v>
      </c>
      <c r="L434" s="1">
        <f ca="1">financials[[#This Row],[Units Sold]]*financials[[#This Row],[Manufacturing Price]]</f>
        <v>3172</v>
      </c>
      <c r="M434" s="1">
        <f ca="1">financials[[#This Row],[Sales]]-financials[[#This Row],[COGS]]</f>
        <v>1232.1999999999998</v>
      </c>
      <c r="N434" s="7">
        <f t="shared" ca="1" si="13"/>
        <v>45748</v>
      </c>
      <c r="O434" s="8">
        <f ca="1">MONTH(financials[[#This Row],[Date]])</f>
        <v>4</v>
      </c>
      <c r="P434" s="6" t="str">
        <f ca="1">TEXT(financials[[#This Row],[Date]],"MMM")</f>
        <v>Apr</v>
      </c>
      <c r="Q434">
        <f ca="1">YEAR(financials[[#This Row],[Date]])</f>
        <v>2025</v>
      </c>
      <c r="S434" s="10"/>
    </row>
    <row r="435" spans="1:19" x14ac:dyDescent="0.3">
      <c r="A435" t="s">
        <v>25</v>
      </c>
      <c r="B435" t="s">
        <v>22</v>
      </c>
      <c r="C435" s="6" t="s">
        <v>30</v>
      </c>
      <c r="D435" s="6" t="str">
        <f>CONCATENATE(financials[[#This Row],[Segment]],",",financials[[#This Row],[Country]],",",financials[[#This Row],[Product]])</f>
        <v>Channel Partners,France,VTT</v>
      </c>
      <c r="E435" s="6" t="s">
        <v>33</v>
      </c>
      <c r="F435">
        <f t="shared" ca="1" si="12"/>
        <v>93</v>
      </c>
      <c r="G435" s="1">
        <f ca="1">VLOOKUP(financials[[#This Row],[ID]],Prices!D:F,2,FALSE)</f>
        <v>11</v>
      </c>
      <c r="H435" s="1">
        <f ca="1">VLOOKUP(financials[[#This Row],[ID]],Prices!D:F,3,FALSE)</f>
        <v>38</v>
      </c>
      <c r="I435" s="1">
        <f ca="1">financials[[#This Row],[Units Sold]]*financials[[#This Row],[Sale Price]]</f>
        <v>3534</v>
      </c>
      <c r="J4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176.70000000000002</v>
      </c>
      <c r="K435" s="1">
        <f ca="1">financials[[#This Row],[Gross Sales]]-financials[[#This Row],[Discounts]]</f>
        <v>3357.3</v>
      </c>
      <c r="L435" s="1">
        <f ca="1">financials[[#This Row],[Units Sold]]*financials[[#This Row],[Manufacturing Price]]</f>
        <v>1023</v>
      </c>
      <c r="M435" s="1">
        <f ca="1">financials[[#This Row],[Sales]]-financials[[#This Row],[COGS]]</f>
        <v>2334.3000000000002</v>
      </c>
      <c r="N435" s="7">
        <f t="shared" ca="1" si="13"/>
        <v>45219</v>
      </c>
      <c r="O435" s="8">
        <f ca="1">MONTH(financials[[#This Row],[Date]])</f>
        <v>10</v>
      </c>
      <c r="P435" s="6" t="str">
        <f ca="1">TEXT(financials[[#This Row],[Date]],"MMM")</f>
        <v>Oct</v>
      </c>
      <c r="Q435">
        <f ca="1">YEAR(financials[[#This Row],[Date]])</f>
        <v>2023</v>
      </c>
      <c r="S435" s="10"/>
    </row>
    <row r="436" spans="1:19" x14ac:dyDescent="0.3">
      <c r="A436" t="s">
        <v>21</v>
      </c>
      <c r="B436" t="s">
        <v>22</v>
      </c>
      <c r="C436" s="6" t="s">
        <v>30</v>
      </c>
      <c r="D436" s="6" t="str">
        <f>CONCATENATE(financials[[#This Row],[Segment]],",",financials[[#This Row],[Country]],",",financials[[#This Row],[Product]])</f>
        <v>Midmarket,France,VTT</v>
      </c>
      <c r="E436" s="6" t="s">
        <v>33</v>
      </c>
      <c r="F436">
        <f t="shared" ca="1" si="12"/>
        <v>619</v>
      </c>
      <c r="G436" s="1">
        <f ca="1">VLOOKUP(financials[[#This Row],[ID]],Prices!D:F,2,FALSE)</f>
        <v>11</v>
      </c>
      <c r="H436" s="1">
        <f ca="1">VLOOKUP(financials[[#This Row],[ID]],Prices!D:F,3,FALSE)</f>
        <v>25</v>
      </c>
      <c r="I436" s="1">
        <f ca="1">financials[[#This Row],[Units Sold]]*financials[[#This Row],[Sale Price]]</f>
        <v>15475</v>
      </c>
      <c r="J4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773.75</v>
      </c>
      <c r="K436" s="1">
        <f ca="1">financials[[#This Row],[Gross Sales]]-financials[[#This Row],[Discounts]]</f>
        <v>14701.25</v>
      </c>
      <c r="L436" s="1">
        <f ca="1">financials[[#This Row],[Units Sold]]*financials[[#This Row],[Manufacturing Price]]</f>
        <v>6809</v>
      </c>
      <c r="M436" s="1">
        <f ca="1">financials[[#This Row],[Sales]]-financials[[#This Row],[COGS]]</f>
        <v>7892.25</v>
      </c>
      <c r="N436" s="7">
        <f t="shared" ca="1" si="13"/>
        <v>45252</v>
      </c>
      <c r="O436" s="8">
        <f ca="1">MONTH(financials[[#This Row],[Date]])</f>
        <v>11</v>
      </c>
      <c r="P436" s="6" t="str">
        <f ca="1">TEXT(financials[[#This Row],[Date]],"MMM")</f>
        <v>Nov</v>
      </c>
      <c r="Q436">
        <f ca="1">YEAR(financials[[#This Row],[Date]])</f>
        <v>2023</v>
      </c>
      <c r="S436" s="10"/>
    </row>
    <row r="437" spans="1:19" x14ac:dyDescent="0.3">
      <c r="A437" t="s">
        <v>26</v>
      </c>
      <c r="B437" t="s">
        <v>23</v>
      </c>
      <c r="C437" s="6" t="s">
        <v>30</v>
      </c>
      <c r="D437" s="6" t="str">
        <f>CONCATENATE(financials[[#This Row],[Segment]],",",financials[[#This Row],[Country]],",",financials[[#This Row],[Product]])</f>
        <v>Enterprise,Mexico,VTT</v>
      </c>
      <c r="E437" s="6" t="s">
        <v>33</v>
      </c>
      <c r="F437">
        <f t="shared" ca="1" si="12"/>
        <v>445</v>
      </c>
      <c r="G437" s="1">
        <f ca="1">VLOOKUP(financials[[#This Row],[ID]],Prices!D:F,2,FALSE)</f>
        <v>15</v>
      </c>
      <c r="H437" s="1">
        <f ca="1">VLOOKUP(financials[[#This Row],[ID]],Prices!D:F,3,FALSE)</f>
        <v>38</v>
      </c>
      <c r="I437" s="1">
        <f ca="1">financials[[#This Row],[Units Sold]]*financials[[#This Row],[Sale Price]]</f>
        <v>16910</v>
      </c>
      <c r="J4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845.5</v>
      </c>
      <c r="K437" s="1">
        <f ca="1">financials[[#This Row],[Gross Sales]]-financials[[#This Row],[Discounts]]</f>
        <v>16064.5</v>
      </c>
      <c r="L437" s="1">
        <f ca="1">financials[[#This Row],[Units Sold]]*financials[[#This Row],[Manufacturing Price]]</f>
        <v>6675</v>
      </c>
      <c r="M437" s="1">
        <f ca="1">financials[[#This Row],[Sales]]-financials[[#This Row],[COGS]]</f>
        <v>9389.5</v>
      </c>
      <c r="N437" s="7">
        <f t="shared" ca="1" si="13"/>
        <v>45085</v>
      </c>
      <c r="O437" s="8">
        <f ca="1">MONTH(financials[[#This Row],[Date]])</f>
        <v>6</v>
      </c>
      <c r="P437" s="6" t="str">
        <f ca="1">TEXT(financials[[#This Row],[Date]],"MMM")</f>
        <v>Jun</v>
      </c>
      <c r="Q437">
        <f ca="1">YEAR(financials[[#This Row],[Date]])</f>
        <v>2023</v>
      </c>
      <c r="S437" s="10"/>
    </row>
    <row r="438" spans="1:19" x14ac:dyDescent="0.3">
      <c r="A438" t="s">
        <v>16</v>
      </c>
      <c r="B438" t="s">
        <v>36</v>
      </c>
      <c r="C438" s="6" t="s">
        <v>31</v>
      </c>
      <c r="D438" s="6" t="str">
        <f>CONCATENATE(financials[[#This Row],[Segment]],",",financials[[#This Row],[Country]],",",financials[[#This Row],[Product]])</f>
        <v>Government,USA,Amarilla</v>
      </c>
      <c r="E438" s="6" t="s">
        <v>33</v>
      </c>
      <c r="F438">
        <f t="shared" ca="1" si="12"/>
        <v>26</v>
      </c>
      <c r="G438" s="1">
        <f ca="1">VLOOKUP(financials[[#This Row],[ID]],Prices!D:F,2,FALSE)</f>
        <v>20</v>
      </c>
      <c r="H438" s="1">
        <f ca="1">VLOOKUP(financials[[#This Row],[ID]],Prices!D:F,3,FALSE)</f>
        <v>37</v>
      </c>
      <c r="I438" s="1">
        <f ca="1">financials[[#This Row],[Units Sold]]*financials[[#This Row],[Sale Price]]</f>
        <v>962</v>
      </c>
      <c r="J4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9.620000000000001</v>
      </c>
      <c r="K438" s="1">
        <f ca="1">financials[[#This Row],[Gross Sales]]-financials[[#This Row],[Discounts]]</f>
        <v>952.38</v>
      </c>
      <c r="L438" s="1">
        <f ca="1">financials[[#This Row],[Units Sold]]*financials[[#This Row],[Manufacturing Price]]</f>
        <v>520</v>
      </c>
      <c r="M438" s="1">
        <f ca="1">financials[[#This Row],[Sales]]-financials[[#This Row],[COGS]]</f>
        <v>432.38</v>
      </c>
      <c r="N438" s="7">
        <f t="shared" ca="1" si="13"/>
        <v>45342</v>
      </c>
      <c r="O438" s="8">
        <f ca="1">MONTH(financials[[#This Row],[Date]])</f>
        <v>2</v>
      </c>
      <c r="P438" s="6" t="str">
        <f ca="1">TEXT(financials[[#This Row],[Date]],"MMM")</f>
        <v>Feb</v>
      </c>
      <c r="Q438">
        <f ca="1">YEAR(financials[[#This Row],[Date]])</f>
        <v>2024</v>
      </c>
      <c r="S438" s="10"/>
    </row>
    <row r="439" spans="1:19" x14ac:dyDescent="0.3">
      <c r="A439" t="s">
        <v>16</v>
      </c>
      <c r="B439" t="s">
        <v>17</v>
      </c>
      <c r="C439" s="6" t="s">
        <v>31</v>
      </c>
      <c r="D439" s="6" t="str">
        <f>CONCATENATE(financials[[#This Row],[Segment]],",",financials[[#This Row],[Country]],",",financials[[#This Row],[Product]])</f>
        <v>Government,Canada,Amarilla</v>
      </c>
      <c r="E439" s="6" t="s">
        <v>33</v>
      </c>
      <c r="F439">
        <f t="shared" ca="1" si="12"/>
        <v>829</v>
      </c>
      <c r="G439" s="1">
        <f ca="1">VLOOKUP(financials[[#This Row],[ID]],Prices!D:F,2,FALSE)</f>
        <v>11</v>
      </c>
      <c r="H439" s="1">
        <f ca="1">VLOOKUP(financials[[#This Row],[ID]],Prices!D:F,3,FALSE)</f>
        <v>29</v>
      </c>
      <c r="I439" s="1">
        <f ca="1">financials[[#This Row],[Units Sold]]*financials[[#This Row],[Sale Price]]</f>
        <v>24041</v>
      </c>
      <c r="J4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1202.05</v>
      </c>
      <c r="K439" s="1">
        <f ca="1">financials[[#This Row],[Gross Sales]]-financials[[#This Row],[Discounts]]</f>
        <v>22838.95</v>
      </c>
      <c r="L439" s="1">
        <f ca="1">financials[[#This Row],[Units Sold]]*financials[[#This Row],[Manufacturing Price]]</f>
        <v>9119</v>
      </c>
      <c r="M439" s="1">
        <f ca="1">financials[[#This Row],[Sales]]-financials[[#This Row],[COGS]]</f>
        <v>13719.95</v>
      </c>
      <c r="N439" s="7">
        <f t="shared" ca="1" si="13"/>
        <v>45370</v>
      </c>
      <c r="O439" s="8">
        <f ca="1">MONTH(financials[[#This Row],[Date]])</f>
        <v>3</v>
      </c>
      <c r="P439" s="6" t="str">
        <f ca="1">TEXT(financials[[#This Row],[Date]],"MMM")</f>
        <v>Mar</v>
      </c>
      <c r="Q439">
        <f ca="1">YEAR(financials[[#This Row],[Date]])</f>
        <v>2024</v>
      </c>
      <c r="S439" s="10"/>
    </row>
    <row r="440" spans="1:19" x14ac:dyDescent="0.3">
      <c r="A440" t="s">
        <v>21</v>
      </c>
      <c r="B440" t="s">
        <v>20</v>
      </c>
      <c r="C440" s="6" t="s">
        <v>31</v>
      </c>
      <c r="D440" s="6" t="str">
        <f>CONCATENATE(financials[[#This Row],[Segment]],",",financials[[#This Row],[Country]],",",financials[[#This Row],[Product]])</f>
        <v>Midmarket,Germany,Amarilla</v>
      </c>
      <c r="E440" s="6" t="s">
        <v>33</v>
      </c>
      <c r="F440">
        <f t="shared" ca="1" si="12"/>
        <v>297</v>
      </c>
      <c r="G440" s="1">
        <f ca="1">VLOOKUP(financials[[#This Row],[ID]],Prices!D:F,2,FALSE)</f>
        <v>18</v>
      </c>
      <c r="H440" s="1">
        <f ca="1">VLOOKUP(financials[[#This Row],[ID]],Prices!D:F,3,FALSE)</f>
        <v>28</v>
      </c>
      <c r="I440" s="1">
        <f ca="1">financials[[#This Row],[Units Sold]]*financials[[#This Row],[Sale Price]]</f>
        <v>8316</v>
      </c>
      <c r="J4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415.8</v>
      </c>
      <c r="K440" s="1">
        <f ca="1">financials[[#This Row],[Gross Sales]]-financials[[#This Row],[Discounts]]</f>
        <v>7900.2</v>
      </c>
      <c r="L440" s="1">
        <f ca="1">financials[[#This Row],[Units Sold]]*financials[[#This Row],[Manufacturing Price]]</f>
        <v>5346</v>
      </c>
      <c r="M440" s="1">
        <f ca="1">financials[[#This Row],[Sales]]-financials[[#This Row],[COGS]]</f>
        <v>2554.1999999999998</v>
      </c>
      <c r="N440" s="7">
        <f t="shared" ca="1" si="13"/>
        <v>45336</v>
      </c>
      <c r="O440" s="8">
        <f ca="1">MONTH(financials[[#This Row],[Date]])</f>
        <v>2</v>
      </c>
      <c r="P440" s="6" t="str">
        <f ca="1">TEXT(financials[[#This Row],[Date]],"MMM")</f>
        <v>Feb</v>
      </c>
      <c r="Q440">
        <f ca="1">YEAR(financials[[#This Row],[Date]])</f>
        <v>2024</v>
      </c>
      <c r="S440" s="10"/>
    </row>
    <row r="441" spans="1:19" x14ac:dyDescent="0.3">
      <c r="A441" t="s">
        <v>16</v>
      </c>
      <c r="B441" t="s">
        <v>23</v>
      </c>
      <c r="C441" s="6" t="s">
        <v>31</v>
      </c>
      <c r="D441" s="6" t="str">
        <f>CONCATENATE(financials[[#This Row],[Segment]],",",financials[[#This Row],[Country]],",",financials[[#This Row],[Product]])</f>
        <v>Government,Mexico,Amarilla</v>
      </c>
      <c r="E441" s="6" t="s">
        <v>33</v>
      </c>
      <c r="F441">
        <f t="shared" ca="1" si="12"/>
        <v>976</v>
      </c>
      <c r="G441" s="1">
        <f ca="1">VLOOKUP(financials[[#This Row],[ID]],Prices!D:F,2,FALSE)</f>
        <v>15</v>
      </c>
      <c r="H441" s="1">
        <f ca="1">VLOOKUP(financials[[#This Row],[ID]],Prices!D:F,3,FALSE)</f>
        <v>32</v>
      </c>
      <c r="I441" s="1">
        <f ca="1">financials[[#This Row],[Units Sold]]*financials[[#This Row],[Sale Price]]</f>
        <v>31232</v>
      </c>
      <c r="J4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1561.6000000000001</v>
      </c>
      <c r="K441" s="1">
        <f ca="1">financials[[#This Row],[Gross Sales]]-financials[[#This Row],[Discounts]]</f>
        <v>29670.400000000001</v>
      </c>
      <c r="L441" s="1">
        <f ca="1">financials[[#This Row],[Units Sold]]*financials[[#This Row],[Manufacturing Price]]</f>
        <v>14640</v>
      </c>
      <c r="M441" s="1">
        <f ca="1">financials[[#This Row],[Sales]]-financials[[#This Row],[COGS]]</f>
        <v>15030.400000000001</v>
      </c>
      <c r="N441" s="7">
        <f t="shared" ca="1" si="13"/>
        <v>45432</v>
      </c>
      <c r="O441" s="8">
        <f ca="1">MONTH(financials[[#This Row],[Date]])</f>
        <v>5</v>
      </c>
      <c r="P441" s="6" t="str">
        <f ca="1">TEXT(financials[[#This Row],[Date]],"MMM")</f>
        <v>May</v>
      </c>
      <c r="Q441">
        <f ca="1">YEAR(financials[[#This Row],[Date]])</f>
        <v>2024</v>
      </c>
      <c r="S441" s="10"/>
    </row>
    <row r="442" spans="1:19" x14ac:dyDescent="0.3">
      <c r="A442" t="s">
        <v>16</v>
      </c>
      <c r="B442" t="s">
        <v>20</v>
      </c>
      <c r="C442" s="6" t="s">
        <v>18</v>
      </c>
      <c r="D442" s="6" t="str">
        <f>CONCATENATE(financials[[#This Row],[Segment]],",",financials[[#This Row],[Country]],",",financials[[#This Row],[Product]])</f>
        <v>Government,Germany,Carretera</v>
      </c>
      <c r="E442" s="6" t="s">
        <v>33</v>
      </c>
      <c r="F442">
        <f t="shared" ca="1" si="12"/>
        <v>469</v>
      </c>
      <c r="G442" s="1">
        <f ca="1">VLOOKUP(financials[[#This Row],[ID]],Prices!D:F,2,FALSE)</f>
        <v>13</v>
      </c>
      <c r="H442" s="1">
        <f ca="1">VLOOKUP(financials[[#This Row],[ID]],Prices!D:F,3,FALSE)</f>
        <v>22</v>
      </c>
      <c r="I442" s="1">
        <f ca="1">financials[[#This Row],[Units Sold]]*financials[[#This Row],[Sale Price]]</f>
        <v>10318</v>
      </c>
      <c r="J4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515.9</v>
      </c>
      <c r="K442" s="1">
        <f ca="1">financials[[#This Row],[Gross Sales]]-financials[[#This Row],[Discounts]]</f>
        <v>9802.1</v>
      </c>
      <c r="L442" s="1">
        <f ca="1">financials[[#This Row],[Units Sold]]*financials[[#This Row],[Manufacturing Price]]</f>
        <v>6097</v>
      </c>
      <c r="M442" s="1">
        <f ca="1">financials[[#This Row],[Sales]]-financials[[#This Row],[COGS]]</f>
        <v>3705.1000000000004</v>
      </c>
      <c r="N442" s="7">
        <f t="shared" ca="1" si="13"/>
        <v>45362</v>
      </c>
      <c r="O442" s="8">
        <f ca="1">MONTH(financials[[#This Row],[Date]])</f>
        <v>3</v>
      </c>
      <c r="P442" s="6" t="str">
        <f ca="1">TEXT(financials[[#This Row],[Date]],"MMM")</f>
        <v>Mar</v>
      </c>
      <c r="Q442">
        <f ca="1">YEAR(financials[[#This Row],[Date]])</f>
        <v>2024</v>
      </c>
      <c r="S442" s="10"/>
    </row>
    <row r="443" spans="1:19" x14ac:dyDescent="0.3">
      <c r="A443" t="s">
        <v>16</v>
      </c>
      <c r="B443" t="s">
        <v>17</v>
      </c>
      <c r="C443" s="6" t="s">
        <v>18</v>
      </c>
      <c r="D443" s="6" t="str">
        <f>CONCATENATE(financials[[#This Row],[Segment]],",",financials[[#This Row],[Country]],",",financials[[#This Row],[Product]])</f>
        <v>Government,Canada,Carretera</v>
      </c>
      <c r="E443" s="6" t="s">
        <v>33</v>
      </c>
      <c r="F443">
        <f t="shared" ca="1" si="12"/>
        <v>835</v>
      </c>
      <c r="G443" s="1">
        <f ca="1">VLOOKUP(financials[[#This Row],[ID]],Prices!D:F,2,FALSE)</f>
        <v>20</v>
      </c>
      <c r="H443" s="1">
        <f ca="1">VLOOKUP(financials[[#This Row],[ID]],Prices!D:F,3,FALSE)</f>
        <v>29</v>
      </c>
      <c r="I443" s="1">
        <f ca="1">financials[[#This Row],[Units Sold]]*financials[[#This Row],[Sale Price]]</f>
        <v>24215</v>
      </c>
      <c r="J4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1210.75</v>
      </c>
      <c r="K443" s="1">
        <f ca="1">financials[[#This Row],[Gross Sales]]-financials[[#This Row],[Discounts]]</f>
        <v>23004.25</v>
      </c>
      <c r="L443" s="1">
        <f ca="1">financials[[#This Row],[Units Sold]]*financials[[#This Row],[Manufacturing Price]]</f>
        <v>16700</v>
      </c>
      <c r="M443" s="1">
        <f ca="1">financials[[#This Row],[Sales]]-financials[[#This Row],[COGS]]</f>
        <v>6304.25</v>
      </c>
      <c r="N443" s="7">
        <f t="shared" ca="1" si="13"/>
        <v>45620</v>
      </c>
      <c r="O443" s="8">
        <f ca="1">MONTH(financials[[#This Row],[Date]])</f>
        <v>11</v>
      </c>
      <c r="P443" s="6" t="str">
        <f ca="1">TEXT(financials[[#This Row],[Date]],"MMM")</f>
        <v>Nov</v>
      </c>
      <c r="Q443">
        <f ca="1">YEAR(financials[[#This Row],[Date]])</f>
        <v>2024</v>
      </c>
      <c r="S443" s="10"/>
    </row>
    <row r="444" spans="1:19" x14ac:dyDescent="0.3">
      <c r="A444" t="s">
        <v>25</v>
      </c>
      <c r="B444" t="s">
        <v>20</v>
      </c>
      <c r="C444" s="6" t="s">
        <v>18</v>
      </c>
      <c r="D444" s="6" t="str">
        <f>CONCATENATE(financials[[#This Row],[Segment]],",",financials[[#This Row],[Country]],",",financials[[#This Row],[Product]])</f>
        <v>Channel Partners,Germany,Carretera</v>
      </c>
      <c r="E444" s="6" t="s">
        <v>33</v>
      </c>
      <c r="F444">
        <f t="shared" ca="1" si="12"/>
        <v>874</v>
      </c>
      <c r="G444" s="1">
        <f ca="1">VLOOKUP(financials[[#This Row],[ID]],Prices!D:F,2,FALSE)</f>
        <v>11</v>
      </c>
      <c r="H444" s="1">
        <f ca="1">VLOOKUP(financials[[#This Row],[ID]],Prices!D:F,3,FALSE)</f>
        <v>16</v>
      </c>
      <c r="I444" s="1">
        <f ca="1">financials[[#This Row],[Units Sold]]*financials[[#This Row],[Sale Price]]</f>
        <v>13984</v>
      </c>
      <c r="J4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699.2</v>
      </c>
      <c r="K444" s="1">
        <f ca="1">financials[[#This Row],[Gross Sales]]-financials[[#This Row],[Discounts]]</f>
        <v>13284.8</v>
      </c>
      <c r="L444" s="1">
        <f ca="1">financials[[#This Row],[Units Sold]]*financials[[#This Row],[Manufacturing Price]]</f>
        <v>9614</v>
      </c>
      <c r="M444" s="1">
        <f ca="1">financials[[#This Row],[Sales]]-financials[[#This Row],[COGS]]</f>
        <v>3670.7999999999993</v>
      </c>
      <c r="N444" s="7">
        <f t="shared" ca="1" si="13"/>
        <v>45593</v>
      </c>
      <c r="O444" s="8">
        <f ca="1">MONTH(financials[[#This Row],[Date]])</f>
        <v>10</v>
      </c>
      <c r="P444" s="6" t="str">
        <f ca="1">TEXT(financials[[#This Row],[Date]],"MMM")</f>
        <v>Oct</v>
      </c>
      <c r="Q444">
        <f ca="1">YEAR(financials[[#This Row],[Date]])</f>
        <v>2024</v>
      </c>
      <c r="S444" s="10"/>
    </row>
    <row r="445" spans="1:19" x14ac:dyDescent="0.3">
      <c r="A445" t="s">
        <v>16</v>
      </c>
      <c r="B445" t="s">
        <v>23</v>
      </c>
      <c r="C445" s="6" t="s">
        <v>18</v>
      </c>
      <c r="D445" s="6" t="str">
        <f>CONCATENATE(financials[[#This Row],[Segment]],",",financials[[#This Row],[Country]],",",financials[[#This Row],[Product]])</f>
        <v>Government,Mexico,Carretera</v>
      </c>
      <c r="E445" s="6" t="s">
        <v>33</v>
      </c>
      <c r="F445">
        <f t="shared" ca="1" si="12"/>
        <v>862</v>
      </c>
      <c r="G445" s="1">
        <f ca="1">VLOOKUP(financials[[#This Row],[ID]],Prices!D:F,2,FALSE)</f>
        <v>16</v>
      </c>
      <c r="H445" s="1">
        <f ca="1">VLOOKUP(financials[[#This Row],[ID]],Prices!D:F,3,FALSE)</f>
        <v>31</v>
      </c>
      <c r="I445" s="1">
        <f ca="1">financials[[#This Row],[Units Sold]]*financials[[#This Row],[Sale Price]]</f>
        <v>26722</v>
      </c>
      <c r="J4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1336.1000000000001</v>
      </c>
      <c r="K445" s="1">
        <f ca="1">financials[[#This Row],[Gross Sales]]-financials[[#This Row],[Discounts]]</f>
        <v>25385.9</v>
      </c>
      <c r="L445" s="1">
        <f ca="1">financials[[#This Row],[Units Sold]]*financials[[#This Row],[Manufacturing Price]]</f>
        <v>13792</v>
      </c>
      <c r="M445" s="1">
        <f ca="1">financials[[#This Row],[Sales]]-financials[[#This Row],[COGS]]</f>
        <v>11593.900000000001</v>
      </c>
      <c r="N445" s="7">
        <f t="shared" ca="1" si="13"/>
        <v>45751</v>
      </c>
      <c r="O445" s="8">
        <f ca="1">MONTH(financials[[#This Row],[Date]])</f>
        <v>4</v>
      </c>
      <c r="P445" s="6" t="str">
        <f ca="1">TEXT(financials[[#This Row],[Date]],"MMM")</f>
        <v>Apr</v>
      </c>
      <c r="Q445">
        <f ca="1">YEAR(financials[[#This Row],[Date]])</f>
        <v>2025</v>
      </c>
      <c r="S445" s="10"/>
    </row>
    <row r="446" spans="1:19" x14ac:dyDescent="0.3">
      <c r="A446" t="s">
        <v>16</v>
      </c>
      <c r="B446" t="s">
        <v>36</v>
      </c>
      <c r="C446" s="6" t="s">
        <v>28</v>
      </c>
      <c r="D446" s="6" t="str">
        <f>CONCATENATE(financials[[#This Row],[Segment]],",",financials[[#This Row],[Country]],",",financials[[#This Row],[Product]])</f>
        <v>Government,USA,Paseo</v>
      </c>
      <c r="E446" s="6" t="s">
        <v>33</v>
      </c>
      <c r="F446">
        <f t="shared" ca="1" si="12"/>
        <v>348</v>
      </c>
      <c r="G446" s="1">
        <f ca="1">VLOOKUP(financials[[#This Row],[ID]],Prices!D:F,2,FALSE)</f>
        <v>17</v>
      </c>
      <c r="H446" s="1">
        <f ca="1">VLOOKUP(financials[[#This Row],[ID]],Prices!D:F,3,FALSE)</f>
        <v>36</v>
      </c>
      <c r="I446" s="1">
        <f ca="1">financials[[#This Row],[Units Sold]]*financials[[#This Row],[Sale Price]]</f>
        <v>12528</v>
      </c>
      <c r="J4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626.40000000000009</v>
      </c>
      <c r="K446" s="1">
        <f ca="1">financials[[#This Row],[Gross Sales]]-financials[[#This Row],[Discounts]]</f>
        <v>11901.6</v>
      </c>
      <c r="L446" s="1">
        <f ca="1">financials[[#This Row],[Units Sold]]*financials[[#This Row],[Manufacturing Price]]</f>
        <v>5916</v>
      </c>
      <c r="M446" s="1">
        <f ca="1">financials[[#This Row],[Sales]]-financials[[#This Row],[COGS]]</f>
        <v>5985.6</v>
      </c>
      <c r="N446" s="7">
        <f t="shared" ca="1" si="13"/>
        <v>45400</v>
      </c>
      <c r="O446" s="8">
        <f ca="1">MONTH(financials[[#This Row],[Date]])</f>
        <v>4</v>
      </c>
      <c r="P446" s="6" t="str">
        <f ca="1">TEXT(financials[[#This Row],[Date]],"MMM")</f>
        <v>Apr</v>
      </c>
      <c r="Q446">
        <f ca="1">YEAR(financials[[#This Row],[Date]])</f>
        <v>2024</v>
      </c>
      <c r="S446" s="10"/>
    </row>
    <row r="447" spans="1:19" x14ac:dyDescent="0.3">
      <c r="A447" t="s">
        <v>16</v>
      </c>
      <c r="B447" t="s">
        <v>23</v>
      </c>
      <c r="C447" s="6" t="s">
        <v>28</v>
      </c>
      <c r="D447" s="6" t="str">
        <f>CONCATENATE(financials[[#This Row],[Segment]],",",financials[[#This Row],[Country]],",",financials[[#This Row],[Product]])</f>
        <v>Government,Mexico,Paseo</v>
      </c>
      <c r="E447" s="6" t="s">
        <v>33</v>
      </c>
      <c r="F447">
        <f t="shared" ca="1" si="12"/>
        <v>336</v>
      </c>
      <c r="G447" s="1">
        <f ca="1">VLOOKUP(financials[[#This Row],[ID]],Prices!D:F,2,FALSE)</f>
        <v>18</v>
      </c>
      <c r="H447" s="1">
        <f ca="1">VLOOKUP(financials[[#This Row],[ID]],Prices!D:F,3,FALSE)</f>
        <v>19</v>
      </c>
      <c r="I447" s="1">
        <f ca="1">financials[[#This Row],[Units Sold]]*financials[[#This Row],[Sale Price]]</f>
        <v>6384</v>
      </c>
      <c r="J4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319.20000000000005</v>
      </c>
      <c r="K447" s="1">
        <f ca="1">financials[[#This Row],[Gross Sales]]-financials[[#This Row],[Discounts]]</f>
        <v>6064.8</v>
      </c>
      <c r="L447" s="1">
        <f ca="1">financials[[#This Row],[Units Sold]]*financials[[#This Row],[Manufacturing Price]]</f>
        <v>6048</v>
      </c>
      <c r="M447" s="1">
        <f ca="1">financials[[#This Row],[Sales]]-financials[[#This Row],[COGS]]</f>
        <v>16.800000000000182</v>
      </c>
      <c r="N447" s="7">
        <f t="shared" ca="1" si="13"/>
        <v>45567</v>
      </c>
      <c r="O447" s="8">
        <f ca="1">MONTH(financials[[#This Row],[Date]])</f>
        <v>10</v>
      </c>
      <c r="P447" s="6" t="str">
        <f ca="1">TEXT(financials[[#This Row],[Date]],"MMM")</f>
        <v>Oct</v>
      </c>
      <c r="Q447">
        <f ca="1">YEAR(financials[[#This Row],[Date]])</f>
        <v>2024</v>
      </c>
      <c r="S447" s="10"/>
    </row>
    <row r="448" spans="1:19" x14ac:dyDescent="0.3">
      <c r="A448" t="s">
        <v>16</v>
      </c>
      <c r="B448" t="s">
        <v>20</v>
      </c>
      <c r="C448" s="6" t="s">
        <v>28</v>
      </c>
      <c r="D448" s="6" t="str">
        <f>CONCATENATE(financials[[#This Row],[Segment]],",",financials[[#This Row],[Country]],",",financials[[#This Row],[Product]])</f>
        <v>Government,Germany,Paseo</v>
      </c>
      <c r="E448" s="6" t="s">
        <v>33</v>
      </c>
      <c r="F448">
        <f t="shared" ca="1" si="12"/>
        <v>740</v>
      </c>
      <c r="G448" s="1">
        <f ca="1">VLOOKUP(financials[[#This Row],[ID]],Prices!D:F,2,FALSE)</f>
        <v>19</v>
      </c>
      <c r="H448" s="1">
        <f ca="1">VLOOKUP(financials[[#This Row],[ID]],Prices!D:F,3,FALSE)</f>
        <v>37</v>
      </c>
      <c r="I448" s="1">
        <f ca="1">financials[[#This Row],[Units Sold]]*financials[[#This Row],[Sale Price]]</f>
        <v>27380</v>
      </c>
      <c r="J4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1369</v>
      </c>
      <c r="K448" s="1">
        <f ca="1">financials[[#This Row],[Gross Sales]]-financials[[#This Row],[Discounts]]</f>
        <v>26011</v>
      </c>
      <c r="L448" s="1">
        <f ca="1">financials[[#This Row],[Units Sold]]*financials[[#This Row],[Manufacturing Price]]</f>
        <v>14060</v>
      </c>
      <c r="M448" s="1">
        <f ca="1">financials[[#This Row],[Sales]]-financials[[#This Row],[COGS]]</f>
        <v>11951</v>
      </c>
      <c r="N448" s="7">
        <f t="shared" ca="1" si="13"/>
        <v>45380</v>
      </c>
      <c r="O448" s="8">
        <f ca="1">MONTH(financials[[#This Row],[Date]])</f>
        <v>3</v>
      </c>
      <c r="P448" s="6" t="str">
        <f ca="1">TEXT(financials[[#This Row],[Date]],"MMM")</f>
        <v>Mar</v>
      </c>
      <c r="Q448">
        <f ca="1">YEAR(financials[[#This Row],[Date]])</f>
        <v>2024</v>
      </c>
      <c r="S448" s="10"/>
    </row>
    <row r="449" spans="1:19" x14ac:dyDescent="0.3">
      <c r="A449" t="s">
        <v>25</v>
      </c>
      <c r="B449" t="s">
        <v>22</v>
      </c>
      <c r="C449" s="6" t="s">
        <v>29</v>
      </c>
      <c r="D449" s="6" t="str">
        <f>CONCATENATE(financials[[#This Row],[Segment]],",",financials[[#This Row],[Country]],",",financials[[#This Row],[Product]])</f>
        <v>Channel Partners,France,Velo</v>
      </c>
      <c r="E449" s="6" t="s">
        <v>33</v>
      </c>
      <c r="F449">
        <f t="shared" ca="1" si="12"/>
        <v>924</v>
      </c>
      <c r="G449" s="1">
        <f ca="1">VLOOKUP(financials[[#This Row],[ID]],Prices!D:F,2,FALSE)</f>
        <v>18</v>
      </c>
      <c r="H449" s="1">
        <f ca="1">VLOOKUP(financials[[#This Row],[ID]],Prices!D:F,3,FALSE)</f>
        <v>26</v>
      </c>
      <c r="I449" s="1">
        <f ca="1">financials[[#This Row],[Units Sold]]*financials[[#This Row],[Sale Price]]</f>
        <v>24024</v>
      </c>
      <c r="J4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1201.2</v>
      </c>
      <c r="K449" s="1">
        <f ca="1">financials[[#This Row],[Gross Sales]]-financials[[#This Row],[Discounts]]</f>
        <v>22822.799999999999</v>
      </c>
      <c r="L449" s="1">
        <f ca="1">financials[[#This Row],[Units Sold]]*financials[[#This Row],[Manufacturing Price]]</f>
        <v>16632</v>
      </c>
      <c r="M449" s="1">
        <f ca="1">financials[[#This Row],[Sales]]-financials[[#This Row],[COGS]]</f>
        <v>6190.7999999999993</v>
      </c>
      <c r="N449" s="7">
        <f t="shared" ca="1" si="13"/>
        <v>45442</v>
      </c>
      <c r="O449" s="8">
        <f ca="1">MONTH(financials[[#This Row],[Date]])</f>
        <v>5</v>
      </c>
      <c r="P449" s="6" t="str">
        <f ca="1">TEXT(financials[[#This Row],[Date]],"MMM")</f>
        <v>May</v>
      </c>
      <c r="Q449">
        <f ca="1">YEAR(financials[[#This Row],[Date]])</f>
        <v>2024</v>
      </c>
      <c r="S449" s="10"/>
    </row>
    <row r="450" spans="1:19" x14ac:dyDescent="0.3">
      <c r="A450" t="s">
        <v>21</v>
      </c>
      <c r="B450" t="s">
        <v>23</v>
      </c>
      <c r="C450" s="6" t="s">
        <v>29</v>
      </c>
      <c r="D450" s="6" t="str">
        <f>CONCATENATE(financials[[#This Row],[Segment]],",",financials[[#This Row],[Country]],",",financials[[#This Row],[Product]])</f>
        <v>Midmarket,Mexico,Velo</v>
      </c>
      <c r="E450" s="6" t="s">
        <v>33</v>
      </c>
      <c r="F450">
        <f t="shared" ca="1" si="12"/>
        <v>657</v>
      </c>
      <c r="G450" s="1">
        <f ca="1">VLOOKUP(financials[[#This Row],[ID]],Prices!D:F,2,FALSE)</f>
        <v>20</v>
      </c>
      <c r="H450" s="1">
        <f ca="1">VLOOKUP(financials[[#This Row],[ID]],Prices!D:F,3,FALSE)</f>
        <v>35</v>
      </c>
      <c r="I450" s="1">
        <f ca="1">financials[[#This Row],[Units Sold]]*financials[[#This Row],[Sale Price]]</f>
        <v>22995</v>
      </c>
      <c r="J4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1149.75</v>
      </c>
      <c r="K450" s="1">
        <f ca="1">financials[[#This Row],[Gross Sales]]-financials[[#This Row],[Discounts]]</f>
        <v>21845.25</v>
      </c>
      <c r="L450" s="1">
        <f ca="1">financials[[#This Row],[Units Sold]]*financials[[#This Row],[Manufacturing Price]]</f>
        <v>13140</v>
      </c>
      <c r="M450" s="1">
        <f ca="1">financials[[#This Row],[Sales]]-financials[[#This Row],[COGS]]</f>
        <v>8705.25</v>
      </c>
      <c r="N450" s="7">
        <f t="shared" ca="1" si="13"/>
        <v>45037</v>
      </c>
      <c r="O450" s="8">
        <f ca="1">MONTH(financials[[#This Row],[Date]])</f>
        <v>4</v>
      </c>
      <c r="P450" s="6" t="str">
        <f ca="1">TEXT(financials[[#This Row],[Date]],"MMM")</f>
        <v>Apr</v>
      </c>
      <c r="Q450">
        <f ca="1">YEAR(financials[[#This Row],[Date]])</f>
        <v>2023</v>
      </c>
      <c r="S450" s="10"/>
    </row>
    <row r="451" spans="1:19" x14ac:dyDescent="0.3">
      <c r="A451" t="s">
        <v>16</v>
      </c>
      <c r="B451" t="s">
        <v>20</v>
      </c>
      <c r="C451" s="6" t="s">
        <v>30</v>
      </c>
      <c r="D451" s="6" t="str">
        <f>CONCATENATE(financials[[#This Row],[Segment]],",",financials[[#This Row],[Country]],",",financials[[#This Row],[Product]])</f>
        <v>Government,Germany,VTT</v>
      </c>
      <c r="E451" s="6" t="s">
        <v>33</v>
      </c>
      <c r="F451">
        <f t="shared" ref="F451:F514" ca="1" si="14">RANDBETWEEN(10,1000)</f>
        <v>352</v>
      </c>
      <c r="G451" s="1">
        <f ca="1">VLOOKUP(financials[[#This Row],[ID]],Prices!D:F,2,FALSE)</f>
        <v>16</v>
      </c>
      <c r="H451" s="1">
        <f ca="1">VLOOKUP(financials[[#This Row],[ID]],Prices!D:F,3,FALSE)</f>
        <v>20</v>
      </c>
      <c r="I451" s="1">
        <f ca="1">financials[[#This Row],[Units Sold]]*financials[[#This Row],[Sale Price]]</f>
        <v>7040</v>
      </c>
      <c r="J4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352</v>
      </c>
      <c r="K451" s="1">
        <f ca="1">financials[[#This Row],[Gross Sales]]-financials[[#This Row],[Discounts]]</f>
        <v>6688</v>
      </c>
      <c r="L451" s="1">
        <f ca="1">financials[[#This Row],[Units Sold]]*financials[[#This Row],[Manufacturing Price]]</f>
        <v>5632</v>
      </c>
      <c r="M451" s="1">
        <f ca="1">financials[[#This Row],[Sales]]-financials[[#This Row],[COGS]]</f>
        <v>1056</v>
      </c>
      <c r="N451" s="7">
        <f t="shared" ref="N451:N514" ca="1" si="15">TODAY()-RANDBETWEEN(1,732)</f>
        <v>45301</v>
      </c>
      <c r="O451" s="8">
        <f ca="1">MONTH(financials[[#This Row],[Date]])</f>
        <v>1</v>
      </c>
      <c r="P451" s="6" t="str">
        <f ca="1">TEXT(financials[[#This Row],[Date]],"MMM")</f>
        <v>Jan</v>
      </c>
      <c r="Q451">
        <f ca="1">YEAR(financials[[#This Row],[Date]])</f>
        <v>2024</v>
      </c>
      <c r="S451" s="10"/>
    </row>
    <row r="452" spans="1:19" x14ac:dyDescent="0.3">
      <c r="A452" t="s">
        <v>16</v>
      </c>
      <c r="B452" t="s">
        <v>22</v>
      </c>
      <c r="C452" s="6" t="s">
        <v>30</v>
      </c>
      <c r="D452" s="6" t="str">
        <f>CONCATENATE(financials[[#This Row],[Segment]],",",financials[[#This Row],[Country]],",",financials[[#This Row],[Product]])</f>
        <v>Government,France,VTT</v>
      </c>
      <c r="E452" s="6" t="s">
        <v>33</v>
      </c>
      <c r="F452">
        <f t="shared" ca="1" si="14"/>
        <v>658</v>
      </c>
      <c r="G452" s="1">
        <f ca="1">VLOOKUP(financials[[#This Row],[ID]],Prices!D:F,2,FALSE)</f>
        <v>18</v>
      </c>
      <c r="H452" s="1">
        <f ca="1">VLOOKUP(financials[[#This Row],[ID]],Prices!D:F,3,FALSE)</f>
        <v>32</v>
      </c>
      <c r="I452" s="1">
        <f ca="1">financials[[#This Row],[Units Sold]]*financials[[#This Row],[Sale Price]]</f>
        <v>21056</v>
      </c>
      <c r="J4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1052.8</v>
      </c>
      <c r="K452" s="1">
        <f ca="1">financials[[#This Row],[Gross Sales]]-financials[[#This Row],[Discounts]]</f>
        <v>20003.2</v>
      </c>
      <c r="L452" s="1">
        <f ca="1">financials[[#This Row],[Units Sold]]*financials[[#This Row],[Manufacturing Price]]</f>
        <v>11844</v>
      </c>
      <c r="M452" s="1">
        <f ca="1">financials[[#This Row],[Sales]]-financials[[#This Row],[COGS]]</f>
        <v>8159.2000000000007</v>
      </c>
      <c r="N452" s="7">
        <f t="shared" ca="1" si="15"/>
        <v>45030</v>
      </c>
      <c r="O452" s="8">
        <f ca="1">MONTH(financials[[#This Row],[Date]])</f>
        <v>4</v>
      </c>
      <c r="P452" s="6" t="str">
        <f ca="1">TEXT(financials[[#This Row],[Date]],"MMM")</f>
        <v>Apr</v>
      </c>
      <c r="Q452">
        <f ca="1">YEAR(financials[[#This Row],[Date]])</f>
        <v>2023</v>
      </c>
      <c r="S452" s="10"/>
    </row>
    <row r="453" spans="1:19" x14ac:dyDescent="0.3">
      <c r="A453" t="s">
        <v>16</v>
      </c>
      <c r="B453" t="s">
        <v>23</v>
      </c>
      <c r="C453" s="6" t="s">
        <v>30</v>
      </c>
      <c r="D453" s="6" t="str">
        <f>CONCATENATE(financials[[#This Row],[Segment]],",",financials[[#This Row],[Country]],",",financials[[#This Row],[Product]])</f>
        <v>Government,Mexico,VTT</v>
      </c>
      <c r="E453" s="6" t="s">
        <v>33</v>
      </c>
      <c r="F453">
        <f t="shared" ca="1" si="14"/>
        <v>949</v>
      </c>
      <c r="G453" s="1">
        <f ca="1">VLOOKUP(financials[[#This Row],[ID]],Prices!D:F,2,FALSE)</f>
        <v>18</v>
      </c>
      <c r="H453" s="1">
        <f ca="1">VLOOKUP(financials[[#This Row],[ID]],Prices!D:F,3,FALSE)</f>
        <v>20</v>
      </c>
      <c r="I453" s="1">
        <f ca="1">financials[[#This Row],[Units Sold]]*financials[[#This Row],[Sale Price]]</f>
        <v>18980</v>
      </c>
      <c r="J4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949</v>
      </c>
      <c r="K453" s="1">
        <f ca="1">financials[[#This Row],[Gross Sales]]-financials[[#This Row],[Discounts]]</f>
        <v>18031</v>
      </c>
      <c r="L453" s="1">
        <f ca="1">financials[[#This Row],[Units Sold]]*financials[[#This Row],[Manufacturing Price]]</f>
        <v>17082</v>
      </c>
      <c r="M453" s="1">
        <f ca="1">financials[[#This Row],[Sales]]-financials[[#This Row],[COGS]]</f>
        <v>949</v>
      </c>
      <c r="N453" s="7">
        <f t="shared" ca="1" si="15"/>
        <v>45506</v>
      </c>
      <c r="O453" s="8">
        <f ca="1">MONTH(financials[[#This Row],[Date]])</f>
        <v>8</v>
      </c>
      <c r="P453" s="6" t="str">
        <f ca="1">TEXT(financials[[#This Row],[Date]],"MMM")</f>
        <v>Aug</v>
      </c>
      <c r="Q453">
        <f ca="1">YEAR(financials[[#This Row],[Date]])</f>
        <v>2024</v>
      </c>
      <c r="S453" s="10"/>
    </row>
    <row r="454" spans="1:19" x14ac:dyDescent="0.3">
      <c r="A454" t="s">
        <v>16</v>
      </c>
      <c r="B454" t="s">
        <v>23</v>
      </c>
      <c r="C454" s="6" t="s">
        <v>31</v>
      </c>
      <c r="D454" s="6" t="str">
        <f>CONCATENATE(financials[[#This Row],[Segment]],",",financials[[#This Row],[Country]],",",financials[[#This Row],[Product]])</f>
        <v>Government,Mexico,Amarilla</v>
      </c>
      <c r="E454" s="6" t="s">
        <v>33</v>
      </c>
      <c r="F454">
        <f t="shared" ca="1" si="14"/>
        <v>839</v>
      </c>
      <c r="G454" s="1">
        <f ca="1">VLOOKUP(financials[[#This Row],[ID]],Prices!D:F,2,FALSE)</f>
        <v>15</v>
      </c>
      <c r="H454" s="1">
        <f ca="1">VLOOKUP(financials[[#This Row],[ID]],Prices!D:F,3,FALSE)</f>
        <v>32</v>
      </c>
      <c r="I454" s="1">
        <f ca="1">financials[[#This Row],[Units Sold]]*financials[[#This Row],[Sale Price]]</f>
        <v>26848</v>
      </c>
      <c r="J4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1342.4</v>
      </c>
      <c r="K454" s="1">
        <f ca="1">financials[[#This Row],[Gross Sales]]-financials[[#This Row],[Discounts]]</f>
        <v>25505.599999999999</v>
      </c>
      <c r="L454" s="1">
        <f ca="1">financials[[#This Row],[Units Sold]]*financials[[#This Row],[Manufacturing Price]]</f>
        <v>12585</v>
      </c>
      <c r="M454" s="1">
        <f ca="1">financials[[#This Row],[Sales]]-financials[[#This Row],[COGS]]</f>
        <v>12920.599999999999</v>
      </c>
      <c r="N454" s="7">
        <f t="shared" ca="1" si="15"/>
        <v>45446</v>
      </c>
      <c r="O454" s="8">
        <f ca="1">MONTH(financials[[#This Row],[Date]])</f>
        <v>6</v>
      </c>
      <c r="P454" s="6" t="str">
        <f ca="1">TEXT(financials[[#This Row],[Date]],"MMM")</f>
        <v>Jun</v>
      </c>
      <c r="Q454">
        <f ca="1">YEAR(financials[[#This Row],[Date]])</f>
        <v>2024</v>
      </c>
      <c r="S454" s="10"/>
    </row>
    <row r="455" spans="1:19" x14ac:dyDescent="0.3">
      <c r="A455" t="s">
        <v>21</v>
      </c>
      <c r="B455" t="s">
        <v>17</v>
      </c>
      <c r="C455" s="6" t="s">
        <v>31</v>
      </c>
      <c r="D455" s="6" t="str">
        <f>CONCATENATE(financials[[#This Row],[Segment]],",",financials[[#This Row],[Country]],",",financials[[#This Row],[Product]])</f>
        <v>Midmarket,Canada,Amarilla</v>
      </c>
      <c r="E455" s="6" t="s">
        <v>33</v>
      </c>
      <c r="F455">
        <f t="shared" ca="1" si="14"/>
        <v>165</v>
      </c>
      <c r="G455" s="1">
        <f ca="1">VLOOKUP(financials[[#This Row],[ID]],Prices!D:F,2,FALSE)</f>
        <v>16</v>
      </c>
      <c r="H455" s="1">
        <f ca="1">VLOOKUP(financials[[#This Row],[ID]],Prices!D:F,3,FALSE)</f>
        <v>32</v>
      </c>
      <c r="I455" s="1">
        <f ca="1">financials[[#This Row],[Units Sold]]*financials[[#This Row],[Sale Price]]</f>
        <v>5280</v>
      </c>
      <c r="J4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264</v>
      </c>
      <c r="K455" s="1">
        <f ca="1">financials[[#This Row],[Gross Sales]]-financials[[#This Row],[Discounts]]</f>
        <v>5016</v>
      </c>
      <c r="L455" s="1">
        <f ca="1">financials[[#This Row],[Units Sold]]*financials[[#This Row],[Manufacturing Price]]</f>
        <v>2640</v>
      </c>
      <c r="M455" s="1">
        <f ca="1">financials[[#This Row],[Sales]]-financials[[#This Row],[COGS]]</f>
        <v>2376</v>
      </c>
      <c r="N455" s="7">
        <f t="shared" ca="1" si="15"/>
        <v>45731</v>
      </c>
      <c r="O455" s="8">
        <f ca="1">MONTH(financials[[#This Row],[Date]])</f>
        <v>3</v>
      </c>
      <c r="P455" s="6" t="str">
        <f ca="1">TEXT(financials[[#This Row],[Date]],"MMM")</f>
        <v>Mar</v>
      </c>
      <c r="Q455">
        <f ca="1">YEAR(financials[[#This Row],[Date]])</f>
        <v>2025</v>
      </c>
      <c r="S455" s="10"/>
    </row>
    <row r="456" spans="1:19" x14ac:dyDescent="0.3">
      <c r="A456" t="s">
        <v>25</v>
      </c>
      <c r="B456" t="s">
        <v>22</v>
      </c>
      <c r="C456" s="6" t="s">
        <v>31</v>
      </c>
      <c r="D456" s="6" t="str">
        <f>CONCATENATE(financials[[#This Row],[Segment]],",",financials[[#This Row],[Country]],",",financials[[#This Row],[Product]])</f>
        <v>Channel Partners,France,Amarilla</v>
      </c>
      <c r="E456" s="6" t="s">
        <v>33</v>
      </c>
      <c r="F456">
        <f t="shared" ca="1" si="14"/>
        <v>114</v>
      </c>
      <c r="G456" s="1">
        <f ca="1">VLOOKUP(financials[[#This Row],[ID]],Prices!D:F,2,FALSE)</f>
        <v>15</v>
      </c>
      <c r="H456" s="1">
        <f ca="1">VLOOKUP(financials[[#This Row],[ID]],Prices!D:F,3,FALSE)</f>
        <v>24</v>
      </c>
      <c r="I456" s="1">
        <f ca="1">financials[[#This Row],[Units Sold]]*financials[[#This Row],[Sale Price]]</f>
        <v>2736</v>
      </c>
      <c r="J4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136.80000000000001</v>
      </c>
      <c r="K456" s="1">
        <f ca="1">financials[[#This Row],[Gross Sales]]-financials[[#This Row],[Discounts]]</f>
        <v>2599.1999999999998</v>
      </c>
      <c r="L456" s="1">
        <f ca="1">financials[[#This Row],[Units Sold]]*financials[[#This Row],[Manufacturing Price]]</f>
        <v>1710</v>
      </c>
      <c r="M456" s="1">
        <f ca="1">financials[[#This Row],[Sales]]-financials[[#This Row],[COGS]]</f>
        <v>889.19999999999982</v>
      </c>
      <c r="N456" s="7">
        <f t="shared" ca="1" si="15"/>
        <v>45404</v>
      </c>
      <c r="O456" s="8">
        <f ca="1">MONTH(financials[[#This Row],[Date]])</f>
        <v>4</v>
      </c>
      <c r="P456" s="6" t="str">
        <f ca="1">TEXT(financials[[#This Row],[Date]],"MMM")</f>
        <v>Apr</v>
      </c>
      <c r="Q456">
        <f ca="1">YEAR(financials[[#This Row],[Date]])</f>
        <v>2024</v>
      </c>
      <c r="S456" s="10"/>
    </row>
    <row r="457" spans="1:19" x14ac:dyDescent="0.3">
      <c r="A457" t="s">
        <v>25</v>
      </c>
      <c r="B457" t="s">
        <v>36</v>
      </c>
      <c r="C457" s="6" t="s">
        <v>18</v>
      </c>
      <c r="D457" s="6" t="str">
        <f>CONCATENATE(financials[[#This Row],[Segment]],",",financials[[#This Row],[Country]],",",financials[[#This Row],[Product]])</f>
        <v>Channel Partners,USA,Carretera</v>
      </c>
      <c r="E457" s="6" t="s">
        <v>34</v>
      </c>
      <c r="F457">
        <f t="shared" ca="1" si="14"/>
        <v>618</v>
      </c>
      <c r="G457" s="1">
        <f ca="1">VLOOKUP(financials[[#This Row],[ID]],Prices!D:F,2,FALSE)</f>
        <v>13</v>
      </c>
      <c r="H457" s="1">
        <f ca="1">VLOOKUP(financials[[#This Row],[ID]],Prices!D:F,3,FALSE)</f>
        <v>27</v>
      </c>
      <c r="I457" s="1">
        <f ca="1">financials[[#This Row],[Units Sold]]*financials[[#This Row],[Sale Price]]</f>
        <v>16686</v>
      </c>
      <c r="J4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834.30000000000007</v>
      </c>
      <c r="K457" s="1">
        <f ca="1">financials[[#This Row],[Gross Sales]]-financials[[#This Row],[Discounts]]</f>
        <v>15851.7</v>
      </c>
      <c r="L457" s="1">
        <f ca="1">financials[[#This Row],[Units Sold]]*financials[[#This Row],[Manufacturing Price]]</f>
        <v>8034</v>
      </c>
      <c r="M457" s="1">
        <f ca="1">financials[[#This Row],[Sales]]-financials[[#This Row],[COGS]]</f>
        <v>7817.7000000000007</v>
      </c>
      <c r="N457" s="7">
        <f t="shared" ca="1" si="15"/>
        <v>45629</v>
      </c>
      <c r="O457" s="8">
        <f ca="1">MONTH(financials[[#This Row],[Date]])</f>
        <v>12</v>
      </c>
      <c r="P457" s="6" t="str">
        <f ca="1">TEXT(financials[[#This Row],[Date]],"MMM")</f>
        <v>Dec</v>
      </c>
      <c r="Q457">
        <f ca="1">YEAR(financials[[#This Row],[Date]])</f>
        <v>2024</v>
      </c>
      <c r="S457" s="10"/>
    </row>
    <row r="458" spans="1:19" x14ac:dyDescent="0.3">
      <c r="A458" t="s">
        <v>16</v>
      </c>
      <c r="B458" t="s">
        <v>36</v>
      </c>
      <c r="C458" s="6" t="s">
        <v>24</v>
      </c>
      <c r="D458" s="6" t="str">
        <f>CONCATENATE(financials[[#This Row],[Segment]],",",financials[[#This Row],[Country]],",",financials[[#This Row],[Product]])</f>
        <v>Government,USA,Montana</v>
      </c>
      <c r="E458" s="6" t="s">
        <v>34</v>
      </c>
      <c r="F458">
        <f t="shared" ca="1" si="14"/>
        <v>873</v>
      </c>
      <c r="G458" s="1">
        <f ca="1">VLOOKUP(financials[[#This Row],[ID]],Prices!D:F,2,FALSE)</f>
        <v>10</v>
      </c>
      <c r="H458" s="1">
        <f ca="1">VLOOKUP(financials[[#This Row],[ID]],Prices!D:F,3,FALSE)</f>
        <v>34</v>
      </c>
      <c r="I458" s="1">
        <f ca="1">financials[[#This Row],[Units Sold]]*financials[[#This Row],[Sale Price]]</f>
        <v>29682</v>
      </c>
      <c r="J4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1484.1000000000001</v>
      </c>
      <c r="K458" s="1">
        <f ca="1">financials[[#This Row],[Gross Sales]]-financials[[#This Row],[Discounts]]</f>
        <v>28197.9</v>
      </c>
      <c r="L458" s="1">
        <f ca="1">financials[[#This Row],[Units Sold]]*financials[[#This Row],[Manufacturing Price]]</f>
        <v>8730</v>
      </c>
      <c r="M458" s="1">
        <f ca="1">financials[[#This Row],[Sales]]-financials[[#This Row],[COGS]]</f>
        <v>19467.900000000001</v>
      </c>
      <c r="N458" s="7">
        <f t="shared" ca="1" si="15"/>
        <v>45721</v>
      </c>
      <c r="O458" s="8">
        <f ca="1">MONTH(financials[[#This Row],[Date]])</f>
        <v>3</v>
      </c>
      <c r="P458" s="6" t="str">
        <f ca="1">TEXT(financials[[#This Row],[Date]],"MMM")</f>
        <v>Mar</v>
      </c>
      <c r="Q458">
        <f ca="1">YEAR(financials[[#This Row],[Date]])</f>
        <v>2025</v>
      </c>
      <c r="S458" s="10"/>
    </row>
    <row r="459" spans="1:19" x14ac:dyDescent="0.3">
      <c r="A459" t="s">
        <v>25</v>
      </c>
      <c r="B459" t="s">
        <v>36</v>
      </c>
      <c r="C459" s="6" t="s">
        <v>28</v>
      </c>
      <c r="D459" s="6" t="str">
        <f>CONCATENATE(financials[[#This Row],[Segment]],",",financials[[#This Row],[Country]],",",financials[[#This Row],[Product]])</f>
        <v>Channel Partners,USA,Paseo</v>
      </c>
      <c r="E459" s="6" t="s">
        <v>34</v>
      </c>
      <c r="F459">
        <f t="shared" ca="1" si="14"/>
        <v>785</v>
      </c>
      <c r="G459" s="1">
        <f ca="1">VLOOKUP(financials[[#This Row],[ID]],Prices!D:F,2,FALSE)</f>
        <v>19</v>
      </c>
      <c r="H459" s="1">
        <f ca="1">VLOOKUP(financials[[#This Row],[ID]],Prices!D:F,3,FALSE)</f>
        <v>26</v>
      </c>
      <c r="I459" s="1">
        <f ca="1">financials[[#This Row],[Units Sold]]*financials[[#This Row],[Sale Price]]</f>
        <v>20410</v>
      </c>
      <c r="J4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1020.5</v>
      </c>
      <c r="K459" s="1">
        <f ca="1">financials[[#This Row],[Gross Sales]]-financials[[#This Row],[Discounts]]</f>
        <v>19389.5</v>
      </c>
      <c r="L459" s="1">
        <f ca="1">financials[[#This Row],[Units Sold]]*financials[[#This Row],[Manufacturing Price]]</f>
        <v>14915</v>
      </c>
      <c r="M459" s="1">
        <f ca="1">financials[[#This Row],[Sales]]-financials[[#This Row],[COGS]]</f>
        <v>4474.5</v>
      </c>
      <c r="N459" s="7">
        <f t="shared" ca="1" si="15"/>
        <v>45482</v>
      </c>
      <c r="O459" s="8">
        <f ca="1">MONTH(financials[[#This Row],[Date]])</f>
        <v>7</v>
      </c>
      <c r="P459" s="6" t="str">
        <f ca="1">TEXT(financials[[#This Row],[Date]],"MMM")</f>
        <v>Jul</v>
      </c>
      <c r="Q459">
        <f ca="1">YEAR(financials[[#This Row],[Date]])</f>
        <v>2024</v>
      </c>
      <c r="S459" s="10"/>
    </row>
    <row r="460" spans="1:19" x14ac:dyDescent="0.3">
      <c r="A460" t="s">
        <v>26</v>
      </c>
      <c r="B460" t="s">
        <v>36</v>
      </c>
      <c r="C460" s="6" t="s">
        <v>18</v>
      </c>
      <c r="D460" s="6" t="str">
        <f>CONCATENATE(financials[[#This Row],[Segment]],",",financials[[#This Row],[Country]],",",financials[[#This Row],[Product]])</f>
        <v>Enterprise,USA,Carretera</v>
      </c>
      <c r="E460" s="6" t="s">
        <v>34</v>
      </c>
      <c r="F460">
        <f t="shared" ca="1" si="14"/>
        <v>823</v>
      </c>
      <c r="G460" s="1">
        <f ca="1">VLOOKUP(financials[[#This Row],[ID]],Prices!D:F,2,FALSE)</f>
        <v>18</v>
      </c>
      <c r="H460" s="1">
        <f ca="1">VLOOKUP(financials[[#This Row],[ID]],Prices!D:F,3,FALSE)</f>
        <v>34</v>
      </c>
      <c r="I460" s="1">
        <f ca="1">financials[[#This Row],[Units Sold]]*financials[[#This Row],[Sale Price]]</f>
        <v>27982</v>
      </c>
      <c r="J4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1399.1000000000001</v>
      </c>
      <c r="K460" s="1">
        <f ca="1">financials[[#This Row],[Gross Sales]]-financials[[#This Row],[Discounts]]</f>
        <v>26582.9</v>
      </c>
      <c r="L460" s="1">
        <f ca="1">financials[[#This Row],[Units Sold]]*financials[[#This Row],[Manufacturing Price]]</f>
        <v>14814</v>
      </c>
      <c r="M460" s="1">
        <f ca="1">financials[[#This Row],[Sales]]-financials[[#This Row],[COGS]]</f>
        <v>11768.900000000001</v>
      </c>
      <c r="N460" s="7">
        <f t="shared" ca="1" si="15"/>
        <v>45313</v>
      </c>
      <c r="O460" s="8">
        <f ca="1">MONTH(financials[[#This Row],[Date]])</f>
        <v>1</v>
      </c>
      <c r="P460" s="6" t="str">
        <f ca="1">TEXT(financials[[#This Row],[Date]],"MMM")</f>
        <v>Jan</v>
      </c>
      <c r="Q460">
        <f ca="1">YEAR(financials[[#This Row],[Date]])</f>
        <v>2024</v>
      </c>
      <c r="S460" s="10"/>
    </row>
    <row r="461" spans="1:19" x14ac:dyDescent="0.3">
      <c r="A461" t="s">
        <v>26</v>
      </c>
      <c r="B461" t="s">
        <v>22</v>
      </c>
      <c r="C461" s="6" t="s">
        <v>18</v>
      </c>
      <c r="D461" s="6" t="str">
        <f>CONCATENATE(financials[[#This Row],[Segment]],",",financials[[#This Row],[Country]],",",financials[[#This Row],[Product]])</f>
        <v>Enterprise,France,Carretera</v>
      </c>
      <c r="E461" s="6" t="s">
        <v>34</v>
      </c>
      <c r="F461">
        <f t="shared" ca="1" si="14"/>
        <v>625</v>
      </c>
      <c r="G461" s="1">
        <f ca="1">VLOOKUP(financials[[#This Row],[ID]],Prices!D:F,2,FALSE)</f>
        <v>12</v>
      </c>
      <c r="H461" s="1">
        <f ca="1">VLOOKUP(financials[[#This Row],[ID]],Prices!D:F,3,FALSE)</f>
        <v>35</v>
      </c>
      <c r="I461" s="1">
        <f ca="1">financials[[#This Row],[Units Sold]]*financials[[#This Row],[Sale Price]]</f>
        <v>21875</v>
      </c>
      <c r="J4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1093.75</v>
      </c>
      <c r="K461" s="1">
        <f ca="1">financials[[#This Row],[Gross Sales]]-financials[[#This Row],[Discounts]]</f>
        <v>20781.25</v>
      </c>
      <c r="L461" s="1">
        <f ca="1">financials[[#This Row],[Units Sold]]*financials[[#This Row],[Manufacturing Price]]</f>
        <v>7500</v>
      </c>
      <c r="M461" s="1">
        <f ca="1">financials[[#This Row],[Sales]]-financials[[#This Row],[COGS]]</f>
        <v>13281.25</v>
      </c>
      <c r="N461" s="7">
        <f t="shared" ca="1" si="15"/>
        <v>45367</v>
      </c>
      <c r="O461" s="8">
        <f ca="1">MONTH(financials[[#This Row],[Date]])</f>
        <v>3</v>
      </c>
      <c r="P461" s="6" t="str">
        <f ca="1">TEXT(financials[[#This Row],[Date]],"MMM")</f>
        <v>Mar</v>
      </c>
      <c r="Q461">
        <f ca="1">YEAR(financials[[#This Row],[Date]])</f>
        <v>2024</v>
      </c>
      <c r="S461" s="10"/>
    </row>
    <row r="462" spans="1:19" x14ac:dyDescent="0.3">
      <c r="A462" t="s">
        <v>16</v>
      </c>
      <c r="B462" t="s">
        <v>36</v>
      </c>
      <c r="C462" s="6" t="s">
        <v>24</v>
      </c>
      <c r="D462" s="6" t="str">
        <f>CONCATENATE(financials[[#This Row],[Segment]],",",financials[[#This Row],[Country]],",",financials[[#This Row],[Product]])</f>
        <v>Government,USA,Montana</v>
      </c>
      <c r="E462" s="6" t="s">
        <v>34</v>
      </c>
      <c r="F462">
        <f t="shared" ca="1" si="14"/>
        <v>142</v>
      </c>
      <c r="G462" s="1">
        <f ca="1">VLOOKUP(financials[[#This Row],[ID]],Prices!D:F,2,FALSE)</f>
        <v>10</v>
      </c>
      <c r="H462" s="1">
        <f ca="1">VLOOKUP(financials[[#This Row],[ID]],Prices!D:F,3,FALSE)</f>
        <v>34</v>
      </c>
      <c r="I462" s="1">
        <f ca="1">financials[[#This Row],[Units Sold]]*financials[[#This Row],[Sale Price]]</f>
        <v>4828</v>
      </c>
      <c r="J4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241.4</v>
      </c>
      <c r="K462" s="1">
        <f ca="1">financials[[#This Row],[Gross Sales]]-financials[[#This Row],[Discounts]]</f>
        <v>4586.6000000000004</v>
      </c>
      <c r="L462" s="1">
        <f ca="1">financials[[#This Row],[Units Sold]]*financials[[#This Row],[Manufacturing Price]]</f>
        <v>1420</v>
      </c>
      <c r="M462" s="1">
        <f ca="1">financials[[#This Row],[Sales]]-financials[[#This Row],[COGS]]</f>
        <v>3166.6000000000004</v>
      </c>
      <c r="N462" s="7">
        <f t="shared" ca="1" si="15"/>
        <v>45205</v>
      </c>
      <c r="O462" s="8">
        <f ca="1">MONTH(financials[[#This Row],[Date]])</f>
        <v>10</v>
      </c>
      <c r="P462" s="6" t="str">
        <f ca="1">TEXT(financials[[#This Row],[Date]],"MMM")</f>
        <v>Oct</v>
      </c>
      <c r="Q462">
        <f ca="1">YEAR(financials[[#This Row],[Date]])</f>
        <v>2023</v>
      </c>
      <c r="S462" s="10"/>
    </row>
    <row r="463" spans="1:19" x14ac:dyDescent="0.3">
      <c r="A463" t="s">
        <v>26</v>
      </c>
      <c r="B463" t="s">
        <v>36</v>
      </c>
      <c r="C463" s="6" t="s">
        <v>24</v>
      </c>
      <c r="D463" s="6" t="str">
        <f>CONCATENATE(financials[[#This Row],[Segment]],",",financials[[#This Row],[Country]],",",financials[[#This Row],[Product]])</f>
        <v>Enterprise,USA,Montana</v>
      </c>
      <c r="E463" s="6" t="s">
        <v>34</v>
      </c>
      <c r="F463">
        <f t="shared" ca="1" si="14"/>
        <v>772</v>
      </c>
      <c r="G463" s="1">
        <f ca="1">VLOOKUP(financials[[#This Row],[ID]],Prices!D:F,2,FALSE)</f>
        <v>14</v>
      </c>
      <c r="H463" s="1">
        <f ca="1">VLOOKUP(financials[[#This Row],[ID]],Prices!D:F,3,FALSE)</f>
        <v>29</v>
      </c>
      <c r="I463" s="1">
        <f ca="1">financials[[#This Row],[Units Sold]]*financials[[#This Row],[Sale Price]]</f>
        <v>22388</v>
      </c>
      <c r="J4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1119.4000000000001</v>
      </c>
      <c r="K463" s="1">
        <f ca="1">financials[[#This Row],[Gross Sales]]-financials[[#This Row],[Discounts]]</f>
        <v>21268.6</v>
      </c>
      <c r="L463" s="1">
        <f ca="1">financials[[#This Row],[Units Sold]]*financials[[#This Row],[Manufacturing Price]]</f>
        <v>10808</v>
      </c>
      <c r="M463" s="1">
        <f ca="1">financials[[#This Row],[Sales]]-financials[[#This Row],[COGS]]</f>
        <v>10460.599999999999</v>
      </c>
      <c r="N463" s="7">
        <f t="shared" ca="1" si="15"/>
        <v>45411</v>
      </c>
      <c r="O463" s="8">
        <f ca="1">MONTH(financials[[#This Row],[Date]])</f>
        <v>4</v>
      </c>
      <c r="P463" s="6" t="str">
        <f ca="1">TEXT(financials[[#This Row],[Date]],"MMM")</f>
        <v>Apr</v>
      </c>
      <c r="Q463">
        <f ca="1">YEAR(financials[[#This Row],[Date]])</f>
        <v>2024</v>
      </c>
      <c r="S463" s="10"/>
    </row>
    <row r="464" spans="1:19" x14ac:dyDescent="0.3">
      <c r="A464" t="s">
        <v>21</v>
      </c>
      <c r="B464" t="s">
        <v>22</v>
      </c>
      <c r="C464" s="6" t="s">
        <v>24</v>
      </c>
      <c r="D464" s="6" t="str">
        <f>CONCATENATE(financials[[#This Row],[Segment]],",",financials[[#This Row],[Country]],",",financials[[#This Row],[Product]])</f>
        <v>Midmarket,France,Montana</v>
      </c>
      <c r="E464" s="6" t="s">
        <v>34</v>
      </c>
      <c r="F464">
        <f t="shared" ca="1" si="14"/>
        <v>770</v>
      </c>
      <c r="G464" s="1">
        <f ca="1">VLOOKUP(financials[[#This Row],[ID]],Prices!D:F,2,FALSE)</f>
        <v>13</v>
      </c>
      <c r="H464" s="1">
        <f ca="1">VLOOKUP(financials[[#This Row],[ID]],Prices!D:F,3,FALSE)</f>
        <v>37</v>
      </c>
      <c r="I464" s="1">
        <f ca="1">financials[[#This Row],[Units Sold]]*financials[[#This Row],[Sale Price]]</f>
        <v>28490</v>
      </c>
      <c r="J4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1424.5</v>
      </c>
      <c r="K464" s="1">
        <f ca="1">financials[[#This Row],[Gross Sales]]-financials[[#This Row],[Discounts]]</f>
        <v>27065.5</v>
      </c>
      <c r="L464" s="1">
        <f ca="1">financials[[#This Row],[Units Sold]]*financials[[#This Row],[Manufacturing Price]]</f>
        <v>10010</v>
      </c>
      <c r="M464" s="1">
        <f ca="1">financials[[#This Row],[Sales]]-financials[[#This Row],[COGS]]</f>
        <v>17055.5</v>
      </c>
      <c r="N464" s="7">
        <f t="shared" ca="1" si="15"/>
        <v>45710</v>
      </c>
      <c r="O464" s="8">
        <f ca="1">MONTH(financials[[#This Row],[Date]])</f>
        <v>2</v>
      </c>
      <c r="P464" s="6" t="str">
        <f ca="1">TEXT(financials[[#This Row],[Date]],"MMM")</f>
        <v>Feb</v>
      </c>
      <c r="Q464">
        <f ca="1">YEAR(financials[[#This Row],[Date]])</f>
        <v>2025</v>
      </c>
      <c r="S464" s="10"/>
    </row>
    <row r="465" spans="1:19" x14ac:dyDescent="0.3">
      <c r="A465" t="s">
        <v>16</v>
      </c>
      <c r="B465" t="s">
        <v>22</v>
      </c>
      <c r="C465" s="6" t="s">
        <v>28</v>
      </c>
      <c r="D465" s="6" t="str">
        <f>CONCATENATE(financials[[#This Row],[Segment]],",",financials[[#This Row],[Country]],",",financials[[#This Row],[Product]])</f>
        <v>Government,France,Paseo</v>
      </c>
      <c r="E465" s="6" t="s">
        <v>34</v>
      </c>
      <c r="F465">
        <f t="shared" ca="1" si="14"/>
        <v>374</v>
      </c>
      <c r="G465" s="1">
        <f ca="1">VLOOKUP(financials[[#This Row],[ID]],Prices!D:F,2,FALSE)</f>
        <v>14</v>
      </c>
      <c r="H465" s="1">
        <f ca="1">VLOOKUP(financials[[#This Row],[ID]],Prices!D:F,3,FALSE)</f>
        <v>18</v>
      </c>
      <c r="I465" s="1">
        <f ca="1">financials[[#This Row],[Units Sold]]*financials[[#This Row],[Sale Price]]</f>
        <v>6732</v>
      </c>
      <c r="J4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336.6</v>
      </c>
      <c r="K465" s="1">
        <f ca="1">financials[[#This Row],[Gross Sales]]-financials[[#This Row],[Discounts]]</f>
        <v>6395.4</v>
      </c>
      <c r="L465" s="1">
        <f ca="1">financials[[#This Row],[Units Sold]]*financials[[#This Row],[Manufacturing Price]]</f>
        <v>5236</v>
      </c>
      <c r="M465" s="1">
        <f ca="1">financials[[#This Row],[Sales]]-financials[[#This Row],[COGS]]</f>
        <v>1159.3999999999996</v>
      </c>
      <c r="N465" s="7">
        <f t="shared" ca="1" si="15"/>
        <v>45314</v>
      </c>
      <c r="O465" s="8">
        <f ca="1">MONTH(financials[[#This Row],[Date]])</f>
        <v>1</v>
      </c>
      <c r="P465" s="6" t="str">
        <f ca="1">TEXT(financials[[#This Row],[Date]],"MMM")</f>
        <v>Jan</v>
      </c>
      <c r="Q465">
        <f ca="1">YEAR(financials[[#This Row],[Date]])</f>
        <v>2024</v>
      </c>
      <c r="S465" s="10"/>
    </row>
    <row r="466" spans="1:19" x14ac:dyDescent="0.3">
      <c r="A466" t="s">
        <v>27</v>
      </c>
      <c r="B466" t="s">
        <v>23</v>
      </c>
      <c r="C466" s="6" t="s">
        <v>28</v>
      </c>
      <c r="D466" s="6" t="str">
        <f>CONCATENATE(financials[[#This Row],[Segment]],",",financials[[#This Row],[Country]],",",financials[[#This Row],[Product]])</f>
        <v>Small Business,Mexico,Paseo</v>
      </c>
      <c r="E466" s="6" t="s">
        <v>34</v>
      </c>
      <c r="F466">
        <f t="shared" ca="1" si="14"/>
        <v>929</v>
      </c>
      <c r="G466" s="1">
        <f ca="1">VLOOKUP(financials[[#This Row],[ID]],Prices!D:F,2,FALSE)</f>
        <v>20</v>
      </c>
      <c r="H466" s="1">
        <f ca="1">VLOOKUP(financials[[#This Row],[ID]],Prices!D:F,3,FALSE)</f>
        <v>20</v>
      </c>
      <c r="I466" s="1">
        <f ca="1">financials[[#This Row],[Units Sold]]*financials[[#This Row],[Sale Price]]</f>
        <v>18580</v>
      </c>
      <c r="J4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929</v>
      </c>
      <c r="K466" s="1">
        <f ca="1">financials[[#This Row],[Gross Sales]]-financials[[#This Row],[Discounts]]</f>
        <v>17651</v>
      </c>
      <c r="L466" s="1">
        <f ca="1">financials[[#This Row],[Units Sold]]*financials[[#This Row],[Manufacturing Price]]</f>
        <v>18580</v>
      </c>
      <c r="M466" s="1">
        <f ca="1">financials[[#This Row],[Sales]]-financials[[#This Row],[COGS]]</f>
        <v>-929</v>
      </c>
      <c r="N466" s="7">
        <f t="shared" ca="1" si="15"/>
        <v>45178</v>
      </c>
      <c r="O466" s="8">
        <f ca="1">MONTH(financials[[#This Row],[Date]])</f>
        <v>9</v>
      </c>
      <c r="P466" s="6" t="str">
        <f ca="1">TEXT(financials[[#This Row],[Date]],"MMM")</f>
        <v>Sep</v>
      </c>
      <c r="Q466">
        <f ca="1">YEAR(financials[[#This Row],[Date]])</f>
        <v>2023</v>
      </c>
      <c r="S466" s="10"/>
    </row>
    <row r="467" spans="1:19" x14ac:dyDescent="0.3">
      <c r="A467" t="s">
        <v>21</v>
      </c>
      <c r="B467" t="s">
        <v>22</v>
      </c>
      <c r="C467" s="6" t="s">
        <v>28</v>
      </c>
      <c r="D467" s="6" t="str">
        <f>CONCATENATE(financials[[#This Row],[Segment]],",",financials[[#This Row],[Country]],",",financials[[#This Row],[Product]])</f>
        <v>Midmarket,France,Paseo</v>
      </c>
      <c r="E467" s="6" t="s">
        <v>34</v>
      </c>
      <c r="F467">
        <f t="shared" ca="1" si="14"/>
        <v>761</v>
      </c>
      <c r="G467" s="1">
        <f ca="1">VLOOKUP(financials[[#This Row],[ID]],Prices!D:F,2,FALSE)</f>
        <v>20</v>
      </c>
      <c r="H467" s="1">
        <f ca="1">VLOOKUP(financials[[#This Row],[ID]],Prices!D:F,3,FALSE)</f>
        <v>38</v>
      </c>
      <c r="I467" s="1">
        <f ca="1">financials[[#This Row],[Units Sold]]*financials[[#This Row],[Sale Price]]</f>
        <v>28918</v>
      </c>
      <c r="J4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1445.9</v>
      </c>
      <c r="K467" s="1">
        <f ca="1">financials[[#This Row],[Gross Sales]]-financials[[#This Row],[Discounts]]</f>
        <v>27472.1</v>
      </c>
      <c r="L467" s="1">
        <f ca="1">financials[[#This Row],[Units Sold]]*financials[[#This Row],[Manufacturing Price]]</f>
        <v>15220</v>
      </c>
      <c r="M467" s="1">
        <f ca="1">financials[[#This Row],[Sales]]-financials[[#This Row],[COGS]]</f>
        <v>12252.099999999999</v>
      </c>
      <c r="N467" s="7">
        <f t="shared" ca="1" si="15"/>
        <v>45592</v>
      </c>
      <c r="O467" s="8">
        <f ca="1">MONTH(financials[[#This Row],[Date]])</f>
        <v>10</v>
      </c>
      <c r="P467" s="6" t="str">
        <f ca="1">TEXT(financials[[#This Row],[Date]],"MMM")</f>
        <v>Oct</v>
      </c>
      <c r="Q467">
        <f ca="1">YEAR(financials[[#This Row],[Date]])</f>
        <v>2024</v>
      </c>
      <c r="S467" s="10"/>
    </row>
    <row r="468" spans="1:19" x14ac:dyDescent="0.3">
      <c r="A468" t="s">
        <v>16</v>
      </c>
      <c r="B468" t="s">
        <v>20</v>
      </c>
      <c r="C468" s="6" t="s">
        <v>28</v>
      </c>
      <c r="D468" s="6" t="str">
        <f>CONCATENATE(financials[[#This Row],[Segment]],",",financials[[#This Row],[Country]],",",financials[[#This Row],[Product]])</f>
        <v>Government,Germany,Paseo</v>
      </c>
      <c r="E468" s="6" t="s">
        <v>34</v>
      </c>
      <c r="F468">
        <f t="shared" ca="1" si="14"/>
        <v>14</v>
      </c>
      <c r="G468" s="1">
        <f ca="1">VLOOKUP(financials[[#This Row],[ID]],Prices!D:F,2,FALSE)</f>
        <v>19</v>
      </c>
      <c r="H468" s="1">
        <f ca="1">VLOOKUP(financials[[#This Row],[ID]],Prices!D:F,3,FALSE)</f>
        <v>37</v>
      </c>
      <c r="I468" s="1">
        <f ca="1">financials[[#This Row],[Units Sold]]*financials[[#This Row],[Sale Price]]</f>
        <v>518</v>
      </c>
      <c r="J4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5.18</v>
      </c>
      <c r="K468" s="1">
        <f ca="1">financials[[#This Row],[Gross Sales]]-financials[[#This Row],[Discounts]]</f>
        <v>512.82000000000005</v>
      </c>
      <c r="L468" s="1">
        <f ca="1">financials[[#This Row],[Units Sold]]*financials[[#This Row],[Manufacturing Price]]</f>
        <v>266</v>
      </c>
      <c r="M468" s="1">
        <f ca="1">financials[[#This Row],[Sales]]-financials[[#This Row],[COGS]]</f>
        <v>246.82000000000005</v>
      </c>
      <c r="N468" s="7">
        <f t="shared" ca="1" si="15"/>
        <v>45174</v>
      </c>
      <c r="O468" s="8">
        <f ca="1">MONTH(financials[[#This Row],[Date]])</f>
        <v>9</v>
      </c>
      <c r="P468" s="6" t="str">
        <f ca="1">TEXT(financials[[#This Row],[Date]],"MMM")</f>
        <v>Sep</v>
      </c>
      <c r="Q468">
        <f ca="1">YEAR(financials[[#This Row],[Date]])</f>
        <v>2023</v>
      </c>
      <c r="S468" s="10"/>
    </row>
    <row r="469" spans="1:19" x14ac:dyDescent="0.3">
      <c r="A469" t="s">
        <v>21</v>
      </c>
      <c r="B469" t="s">
        <v>20</v>
      </c>
      <c r="C469" s="6" t="s">
        <v>29</v>
      </c>
      <c r="D469" s="6" t="str">
        <f>CONCATENATE(financials[[#This Row],[Segment]],",",financials[[#This Row],[Country]],",",financials[[#This Row],[Product]])</f>
        <v>Midmarket,Germany,Velo</v>
      </c>
      <c r="E469" s="6" t="s">
        <v>34</v>
      </c>
      <c r="F469">
        <f t="shared" ca="1" si="14"/>
        <v>495</v>
      </c>
      <c r="G469" s="1">
        <f ca="1">VLOOKUP(financials[[#This Row],[ID]],Prices!D:F,2,FALSE)</f>
        <v>10</v>
      </c>
      <c r="H469" s="1">
        <f ca="1">VLOOKUP(financials[[#This Row],[ID]],Prices!D:F,3,FALSE)</f>
        <v>25</v>
      </c>
      <c r="I469" s="1">
        <f ca="1">financials[[#This Row],[Units Sold]]*financials[[#This Row],[Sale Price]]</f>
        <v>12375</v>
      </c>
      <c r="J4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618.75</v>
      </c>
      <c r="K469" s="1">
        <f ca="1">financials[[#This Row],[Gross Sales]]-financials[[#This Row],[Discounts]]</f>
        <v>11756.25</v>
      </c>
      <c r="L469" s="1">
        <f ca="1">financials[[#This Row],[Units Sold]]*financials[[#This Row],[Manufacturing Price]]</f>
        <v>4950</v>
      </c>
      <c r="M469" s="1">
        <f ca="1">financials[[#This Row],[Sales]]-financials[[#This Row],[COGS]]</f>
        <v>6806.25</v>
      </c>
      <c r="N469" s="7">
        <f t="shared" ca="1" si="15"/>
        <v>45551</v>
      </c>
      <c r="O469" s="8">
        <f ca="1">MONTH(financials[[#This Row],[Date]])</f>
        <v>9</v>
      </c>
      <c r="P469" s="6" t="str">
        <f ca="1">TEXT(financials[[#This Row],[Date]],"MMM")</f>
        <v>Sep</v>
      </c>
      <c r="Q469">
        <f ca="1">YEAR(financials[[#This Row],[Date]])</f>
        <v>2024</v>
      </c>
      <c r="S469" s="10"/>
    </row>
    <row r="470" spans="1:19" x14ac:dyDescent="0.3">
      <c r="A470" t="s">
        <v>21</v>
      </c>
      <c r="B470" t="s">
        <v>20</v>
      </c>
      <c r="C470" s="6" t="s">
        <v>29</v>
      </c>
      <c r="D470" s="6" t="str">
        <f>CONCATENATE(financials[[#This Row],[Segment]],",",financials[[#This Row],[Country]],",",financials[[#This Row],[Product]])</f>
        <v>Midmarket,Germany,Velo</v>
      </c>
      <c r="E470" s="6" t="s">
        <v>34</v>
      </c>
      <c r="F470">
        <f t="shared" ca="1" si="14"/>
        <v>700</v>
      </c>
      <c r="G470" s="1">
        <f ca="1">VLOOKUP(financials[[#This Row],[ID]],Prices!D:F,2,FALSE)</f>
        <v>10</v>
      </c>
      <c r="H470" s="1">
        <f ca="1">VLOOKUP(financials[[#This Row],[ID]],Prices!D:F,3,FALSE)</f>
        <v>25</v>
      </c>
      <c r="I470" s="1">
        <f ca="1">financials[[#This Row],[Units Sold]]*financials[[#This Row],[Sale Price]]</f>
        <v>17500</v>
      </c>
      <c r="J4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875</v>
      </c>
      <c r="K470" s="1">
        <f ca="1">financials[[#This Row],[Gross Sales]]-financials[[#This Row],[Discounts]]</f>
        <v>16625</v>
      </c>
      <c r="L470" s="1">
        <f ca="1">financials[[#This Row],[Units Sold]]*financials[[#This Row],[Manufacturing Price]]</f>
        <v>7000</v>
      </c>
      <c r="M470" s="1">
        <f ca="1">financials[[#This Row],[Sales]]-financials[[#This Row],[COGS]]</f>
        <v>9625</v>
      </c>
      <c r="N470" s="7">
        <f t="shared" ca="1" si="15"/>
        <v>45303</v>
      </c>
      <c r="O470" s="8">
        <f ca="1">MONTH(financials[[#This Row],[Date]])</f>
        <v>1</v>
      </c>
      <c r="P470" s="6" t="str">
        <f ca="1">TEXT(financials[[#This Row],[Date]],"MMM")</f>
        <v>Jan</v>
      </c>
      <c r="Q470">
        <f ca="1">YEAR(financials[[#This Row],[Date]])</f>
        <v>2024</v>
      </c>
      <c r="S470" s="10"/>
    </row>
    <row r="471" spans="1:19" x14ac:dyDescent="0.3">
      <c r="A471" t="s">
        <v>21</v>
      </c>
      <c r="B471" t="s">
        <v>36</v>
      </c>
      <c r="C471" s="6" t="s">
        <v>29</v>
      </c>
      <c r="D471" s="6" t="str">
        <f>CONCATENATE(financials[[#This Row],[Segment]],",",financials[[#This Row],[Country]],",",financials[[#This Row],[Product]])</f>
        <v>Midmarket,USA,Velo</v>
      </c>
      <c r="E471" s="6" t="s">
        <v>34</v>
      </c>
      <c r="F471">
        <f t="shared" ca="1" si="14"/>
        <v>49</v>
      </c>
      <c r="G471" s="1">
        <f ca="1">VLOOKUP(financials[[#This Row],[ID]],Prices!D:F,2,FALSE)</f>
        <v>12</v>
      </c>
      <c r="H471" s="1">
        <f ca="1">VLOOKUP(financials[[#This Row],[ID]],Prices!D:F,3,FALSE)</f>
        <v>34</v>
      </c>
      <c r="I471" s="1">
        <f ca="1">financials[[#This Row],[Units Sold]]*financials[[#This Row],[Sale Price]]</f>
        <v>1666</v>
      </c>
      <c r="J4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83.300000000000011</v>
      </c>
      <c r="K471" s="1">
        <f ca="1">financials[[#This Row],[Gross Sales]]-financials[[#This Row],[Discounts]]</f>
        <v>1582.7</v>
      </c>
      <c r="L471" s="1">
        <f ca="1">financials[[#This Row],[Units Sold]]*financials[[#This Row],[Manufacturing Price]]</f>
        <v>588</v>
      </c>
      <c r="M471" s="1">
        <f ca="1">financials[[#This Row],[Sales]]-financials[[#This Row],[COGS]]</f>
        <v>994.7</v>
      </c>
      <c r="N471" s="7">
        <f t="shared" ca="1" si="15"/>
        <v>45420</v>
      </c>
      <c r="O471" s="8">
        <f ca="1">MONTH(financials[[#This Row],[Date]])</f>
        <v>5</v>
      </c>
      <c r="P471" s="6" t="str">
        <f ca="1">TEXT(financials[[#This Row],[Date]],"MMM")</f>
        <v>May</v>
      </c>
      <c r="Q471">
        <f ca="1">YEAR(financials[[#This Row],[Date]])</f>
        <v>2024</v>
      </c>
      <c r="S471" s="10"/>
    </row>
    <row r="472" spans="1:19" x14ac:dyDescent="0.3">
      <c r="A472" t="s">
        <v>16</v>
      </c>
      <c r="B472" t="s">
        <v>22</v>
      </c>
      <c r="C472" s="6" t="s">
        <v>29</v>
      </c>
      <c r="D472" s="6" t="str">
        <f>CONCATENATE(financials[[#This Row],[Segment]],",",financials[[#This Row],[Country]],",",financials[[#This Row],[Product]])</f>
        <v>Government,France,Velo</v>
      </c>
      <c r="E472" s="6" t="s">
        <v>34</v>
      </c>
      <c r="F472">
        <f t="shared" ca="1" si="14"/>
        <v>895</v>
      </c>
      <c r="G472" s="1">
        <f ca="1">VLOOKUP(financials[[#This Row],[ID]],Prices!D:F,2,FALSE)</f>
        <v>20</v>
      </c>
      <c r="H472" s="1">
        <f ca="1">VLOOKUP(financials[[#This Row],[ID]],Prices!D:F,3,FALSE)</f>
        <v>36</v>
      </c>
      <c r="I472" s="1">
        <f ca="1">financials[[#This Row],[Units Sold]]*financials[[#This Row],[Sale Price]]</f>
        <v>32220</v>
      </c>
      <c r="J4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1611</v>
      </c>
      <c r="K472" s="1">
        <f ca="1">financials[[#This Row],[Gross Sales]]-financials[[#This Row],[Discounts]]</f>
        <v>30609</v>
      </c>
      <c r="L472" s="1">
        <f ca="1">financials[[#This Row],[Units Sold]]*financials[[#This Row],[Manufacturing Price]]</f>
        <v>17900</v>
      </c>
      <c r="M472" s="1">
        <f ca="1">financials[[#This Row],[Sales]]-financials[[#This Row],[COGS]]</f>
        <v>12709</v>
      </c>
      <c r="N472" s="7">
        <f t="shared" ca="1" si="15"/>
        <v>45700</v>
      </c>
      <c r="O472" s="8">
        <f ca="1">MONTH(financials[[#This Row],[Date]])</f>
        <v>2</v>
      </c>
      <c r="P472" s="6" t="str">
        <f ca="1">TEXT(financials[[#This Row],[Date]],"MMM")</f>
        <v>Feb</v>
      </c>
      <c r="Q472">
        <f ca="1">YEAR(financials[[#This Row],[Date]])</f>
        <v>2025</v>
      </c>
      <c r="S472" s="10"/>
    </row>
    <row r="473" spans="1:19" x14ac:dyDescent="0.3">
      <c r="A473" t="s">
        <v>26</v>
      </c>
      <c r="B473" t="s">
        <v>36</v>
      </c>
      <c r="C473" s="6" t="s">
        <v>29</v>
      </c>
      <c r="D473" s="6" t="str">
        <f>CONCATENATE(financials[[#This Row],[Segment]],",",financials[[#This Row],[Country]],",",financials[[#This Row],[Product]])</f>
        <v>Enterprise,USA,Velo</v>
      </c>
      <c r="E473" s="6" t="s">
        <v>34</v>
      </c>
      <c r="F473">
        <f t="shared" ca="1" si="14"/>
        <v>140</v>
      </c>
      <c r="G473" s="1">
        <f ca="1">VLOOKUP(financials[[#This Row],[ID]],Prices!D:F,2,FALSE)</f>
        <v>20</v>
      </c>
      <c r="H473" s="1">
        <f ca="1">VLOOKUP(financials[[#This Row],[ID]],Prices!D:F,3,FALSE)</f>
        <v>24</v>
      </c>
      <c r="I473" s="1">
        <f ca="1">financials[[#This Row],[Units Sold]]*financials[[#This Row],[Sale Price]]</f>
        <v>3360</v>
      </c>
      <c r="J4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168</v>
      </c>
      <c r="K473" s="1">
        <f ca="1">financials[[#This Row],[Gross Sales]]-financials[[#This Row],[Discounts]]</f>
        <v>3192</v>
      </c>
      <c r="L473" s="1">
        <f ca="1">financials[[#This Row],[Units Sold]]*financials[[#This Row],[Manufacturing Price]]</f>
        <v>2800</v>
      </c>
      <c r="M473" s="1">
        <f ca="1">financials[[#This Row],[Sales]]-financials[[#This Row],[COGS]]</f>
        <v>392</v>
      </c>
      <c r="N473" s="7">
        <f t="shared" ca="1" si="15"/>
        <v>45107</v>
      </c>
      <c r="O473" s="8">
        <f ca="1">MONTH(financials[[#This Row],[Date]])</f>
        <v>6</v>
      </c>
      <c r="P473" s="6" t="str">
        <f ca="1">TEXT(financials[[#This Row],[Date]],"MMM")</f>
        <v>Jun</v>
      </c>
      <c r="Q473">
        <f ca="1">YEAR(financials[[#This Row],[Date]])</f>
        <v>2023</v>
      </c>
      <c r="S473" s="10"/>
    </row>
    <row r="474" spans="1:19" x14ac:dyDescent="0.3">
      <c r="A474" t="s">
        <v>27</v>
      </c>
      <c r="B474" t="s">
        <v>36</v>
      </c>
      <c r="C474" s="6" t="s">
        <v>29</v>
      </c>
      <c r="D474" s="6" t="str">
        <f>CONCATENATE(financials[[#This Row],[Segment]],",",financials[[#This Row],[Country]],",",financials[[#This Row],[Product]])</f>
        <v>Small Business,USA,Velo</v>
      </c>
      <c r="E474" s="6" t="s">
        <v>34</v>
      </c>
      <c r="F474">
        <f t="shared" ca="1" si="14"/>
        <v>651</v>
      </c>
      <c r="G474" s="1">
        <f ca="1">VLOOKUP(financials[[#This Row],[ID]],Prices!D:F,2,FALSE)</f>
        <v>13</v>
      </c>
      <c r="H474" s="1">
        <f ca="1">VLOOKUP(financials[[#This Row],[ID]],Prices!D:F,3,FALSE)</f>
        <v>22</v>
      </c>
      <c r="I474" s="1">
        <f ca="1">financials[[#This Row],[Units Sold]]*financials[[#This Row],[Sale Price]]</f>
        <v>14322</v>
      </c>
      <c r="J4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716.1</v>
      </c>
      <c r="K474" s="1">
        <f ca="1">financials[[#This Row],[Gross Sales]]-financials[[#This Row],[Discounts]]</f>
        <v>13605.9</v>
      </c>
      <c r="L474" s="1">
        <f ca="1">financials[[#This Row],[Units Sold]]*financials[[#This Row],[Manufacturing Price]]</f>
        <v>8463</v>
      </c>
      <c r="M474" s="1">
        <f ca="1">financials[[#This Row],[Sales]]-financials[[#This Row],[COGS]]</f>
        <v>5142.8999999999996</v>
      </c>
      <c r="N474" s="7">
        <f t="shared" ca="1" si="15"/>
        <v>45487</v>
      </c>
      <c r="O474" s="8">
        <f ca="1">MONTH(financials[[#This Row],[Date]])</f>
        <v>7</v>
      </c>
      <c r="P474" s="6" t="str">
        <f ca="1">TEXT(financials[[#This Row],[Date]],"MMM")</f>
        <v>Jul</v>
      </c>
      <c r="Q474">
        <f ca="1">YEAR(financials[[#This Row],[Date]])</f>
        <v>2024</v>
      </c>
      <c r="S474" s="10"/>
    </row>
    <row r="475" spans="1:19" x14ac:dyDescent="0.3">
      <c r="A475" t="s">
        <v>16</v>
      </c>
      <c r="B475" t="s">
        <v>20</v>
      </c>
      <c r="C475" s="6" t="s">
        <v>29</v>
      </c>
      <c r="D475" s="6" t="str">
        <f>CONCATENATE(financials[[#This Row],[Segment]],",",financials[[#This Row],[Country]],",",financials[[#This Row],[Product]])</f>
        <v>Government,Germany,Velo</v>
      </c>
      <c r="E475" s="6" t="s">
        <v>34</v>
      </c>
      <c r="F475">
        <f t="shared" ca="1" si="14"/>
        <v>878</v>
      </c>
      <c r="G475" s="1">
        <f ca="1">VLOOKUP(financials[[#This Row],[ID]],Prices!D:F,2,FALSE)</f>
        <v>13</v>
      </c>
      <c r="H475" s="1">
        <f ca="1">VLOOKUP(financials[[#This Row],[ID]],Prices!D:F,3,FALSE)</f>
        <v>19</v>
      </c>
      <c r="I475" s="1">
        <f ca="1">financials[[#This Row],[Units Sold]]*financials[[#This Row],[Sale Price]]</f>
        <v>16682</v>
      </c>
      <c r="J4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834.1</v>
      </c>
      <c r="K475" s="1">
        <f ca="1">financials[[#This Row],[Gross Sales]]-financials[[#This Row],[Discounts]]</f>
        <v>15847.9</v>
      </c>
      <c r="L475" s="1">
        <f ca="1">financials[[#This Row],[Units Sold]]*financials[[#This Row],[Manufacturing Price]]</f>
        <v>11414</v>
      </c>
      <c r="M475" s="1">
        <f ca="1">financials[[#This Row],[Sales]]-financials[[#This Row],[COGS]]</f>
        <v>4433.8999999999996</v>
      </c>
      <c r="N475" s="7">
        <f t="shared" ca="1" si="15"/>
        <v>45437</v>
      </c>
      <c r="O475" s="8">
        <f ca="1">MONTH(financials[[#This Row],[Date]])</f>
        <v>5</v>
      </c>
      <c r="P475" s="6" t="str">
        <f ca="1">TEXT(financials[[#This Row],[Date]],"MMM")</f>
        <v>May</v>
      </c>
      <c r="Q475">
        <f ca="1">YEAR(financials[[#This Row],[Date]])</f>
        <v>2024</v>
      </c>
      <c r="S475" s="10"/>
    </row>
    <row r="476" spans="1:19" x14ac:dyDescent="0.3">
      <c r="A476" t="s">
        <v>16</v>
      </c>
      <c r="B476" t="s">
        <v>20</v>
      </c>
      <c r="C476" s="6" t="s">
        <v>29</v>
      </c>
      <c r="D476" s="6" t="str">
        <f>CONCATENATE(financials[[#This Row],[Segment]],",",financials[[#This Row],[Country]],",",financials[[#This Row],[Product]])</f>
        <v>Government,Germany,Velo</v>
      </c>
      <c r="E476" s="6" t="s">
        <v>34</v>
      </c>
      <c r="F476">
        <f t="shared" ca="1" si="14"/>
        <v>612</v>
      </c>
      <c r="G476" s="1">
        <f ca="1">VLOOKUP(financials[[#This Row],[ID]],Prices!D:F,2,FALSE)</f>
        <v>13</v>
      </c>
      <c r="H476" s="1">
        <f ca="1">VLOOKUP(financials[[#This Row],[ID]],Prices!D:F,3,FALSE)</f>
        <v>19</v>
      </c>
      <c r="I476" s="1">
        <f ca="1">financials[[#This Row],[Units Sold]]*financials[[#This Row],[Sale Price]]</f>
        <v>11628</v>
      </c>
      <c r="J4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581.4</v>
      </c>
      <c r="K476" s="1">
        <f ca="1">financials[[#This Row],[Gross Sales]]-financials[[#This Row],[Discounts]]</f>
        <v>11046.6</v>
      </c>
      <c r="L476" s="1">
        <f ca="1">financials[[#This Row],[Units Sold]]*financials[[#This Row],[Manufacturing Price]]</f>
        <v>7956</v>
      </c>
      <c r="M476" s="1">
        <f ca="1">financials[[#This Row],[Sales]]-financials[[#This Row],[COGS]]</f>
        <v>3090.6000000000004</v>
      </c>
      <c r="N476" s="7">
        <f t="shared" ca="1" si="15"/>
        <v>45696</v>
      </c>
      <c r="O476" s="8">
        <f ca="1">MONTH(financials[[#This Row],[Date]])</f>
        <v>2</v>
      </c>
      <c r="P476" s="6" t="str">
        <f ca="1">TEXT(financials[[#This Row],[Date]],"MMM")</f>
        <v>Feb</v>
      </c>
      <c r="Q476">
        <f ca="1">YEAR(financials[[#This Row],[Date]])</f>
        <v>2025</v>
      </c>
      <c r="S476" s="10"/>
    </row>
    <row r="477" spans="1:19" x14ac:dyDescent="0.3">
      <c r="A477" t="s">
        <v>26</v>
      </c>
      <c r="B477" t="s">
        <v>17</v>
      </c>
      <c r="C477" s="6" t="s">
        <v>29</v>
      </c>
      <c r="D477" s="6" t="str">
        <f>CONCATENATE(financials[[#This Row],[Segment]],",",financials[[#This Row],[Country]],",",financials[[#This Row],[Product]])</f>
        <v>Enterprise,Canada,Velo</v>
      </c>
      <c r="E477" s="6" t="s">
        <v>34</v>
      </c>
      <c r="F477">
        <f t="shared" ca="1" si="14"/>
        <v>679</v>
      </c>
      <c r="G477" s="1">
        <f ca="1">VLOOKUP(financials[[#This Row],[ID]],Prices!D:F,2,FALSE)</f>
        <v>11</v>
      </c>
      <c r="H477" s="1">
        <f ca="1">VLOOKUP(financials[[#This Row],[ID]],Prices!D:F,3,FALSE)</f>
        <v>34</v>
      </c>
      <c r="I477" s="1">
        <f ca="1">financials[[#This Row],[Units Sold]]*financials[[#This Row],[Sale Price]]</f>
        <v>23086</v>
      </c>
      <c r="J4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1154.3</v>
      </c>
      <c r="K477" s="1">
        <f ca="1">financials[[#This Row],[Gross Sales]]-financials[[#This Row],[Discounts]]</f>
        <v>21931.7</v>
      </c>
      <c r="L477" s="1">
        <f ca="1">financials[[#This Row],[Units Sold]]*financials[[#This Row],[Manufacturing Price]]</f>
        <v>7469</v>
      </c>
      <c r="M477" s="1">
        <f ca="1">financials[[#This Row],[Sales]]-financials[[#This Row],[COGS]]</f>
        <v>14462.7</v>
      </c>
      <c r="N477" s="7">
        <f t="shared" ca="1" si="15"/>
        <v>45611</v>
      </c>
      <c r="O477" s="8">
        <f ca="1">MONTH(financials[[#This Row],[Date]])</f>
        <v>11</v>
      </c>
      <c r="P477" s="6" t="str">
        <f ca="1">TEXT(financials[[#This Row],[Date]],"MMM")</f>
        <v>Nov</v>
      </c>
      <c r="Q477">
        <f ca="1">YEAR(financials[[#This Row],[Date]])</f>
        <v>2024</v>
      </c>
      <c r="S477" s="10"/>
    </row>
    <row r="478" spans="1:19" x14ac:dyDescent="0.3">
      <c r="A478" t="s">
        <v>27</v>
      </c>
      <c r="B478" t="s">
        <v>22</v>
      </c>
      <c r="C478" s="6" t="s">
        <v>29</v>
      </c>
      <c r="D478" s="6" t="str">
        <f>CONCATENATE(financials[[#This Row],[Segment]],",",financials[[#This Row],[Country]],",",financials[[#This Row],[Product]])</f>
        <v>Small Business,France,Velo</v>
      </c>
      <c r="E478" s="6" t="s">
        <v>34</v>
      </c>
      <c r="F478">
        <f t="shared" ca="1" si="14"/>
        <v>205</v>
      </c>
      <c r="G478" s="1">
        <f ca="1">VLOOKUP(financials[[#This Row],[ID]],Prices!D:F,2,FALSE)</f>
        <v>17</v>
      </c>
      <c r="H478" s="1">
        <f ca="1">VLOOKUP(financials[[#This Row],[ID]],Prices!D:F,3,FALSE)</f>
        <v>22</v>
      </c>
      <c r="I478" s="1">
        <f ca="1">financials[[#This Row],[Units Sold]]*financials[[#This Row],[Sale Price]]</f>
        <v>4510</v>
      </c>
      <c r="J4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225.5</v>
      </c>
      <c r="K478" s="1">
        <f ca="1">financials[[#This Row],[Gross Sales]]-financials[[#This Row],[Discounts]]</f>
        <v>4284.5</v>
      </c>
      <c r="L478" s="1">
        <f ca="1">financials[[#This Row],[Units Sold]]*financials[[#This Row],[Manufacturing Price]]</f>
        <v>3485</v>
      </c>
      <c r="M478" s="1">
        <f ca="1">financials[[#This Row],[Sales]]-financials[[#This Row],[COGS]]</f>
        <v>799.5</v>
      </c>
      <c r="N478" s="7">
        <f t="shared" ca="1" si="15"/>
        <v>45536</v>
      </c>
      <c r="O478" s="8">
        <f ca="1">MONTH(financials[[#This Row],[Date]])</f>
        <v>9</v>
      </c>
      <c r="P478" s="6" t="str">
        <f ca="1">TEXT(financials[[#This Row],[Date]],"MMM")</f>
        <v>Sep</v>
      </c>
      <c r="Q478">
        <f ca="1">YEAR(financials[[#This Row],[Date]])</f>
        <v>2024</v>
      </c>
      <c r="S478" s="10"/>
    </row>
    <row r="479" spans="1:19" x14ac:dyDescent="0.3">
      <c r="A479" t="s">
        <v>26</v>
      </c>
      <c r="B479" t="s">
        <v>23</v>
      </c>
      <c r="C479" s="6" t="s">
        <v>30</v>
      </c>
      <c r="D479" s="6" t="str">
        <f>CONCATENATE(financials[[#This Row],[Segment]],",",financials[[#This Row],[Country]],",",financials[[#This Row],[Product]])</f>
        <v>Enterprise,Mexico,VTT</v>
      </c>
      <c r="E479" s="6" t="s">
        <v>34</v>
      </c>
      <c r="F479">
        <f t="shared" ca="1" si="14"/>
        <v>573</v>
      </c>
      <c r="G479" s="1">
        <f ca="1">VLOOKUP(financials[[#This Row],[ID]],Prices!D:F,2,FALSE)</f>
        <v>15</v>
      </c>
      <c r="H479" s="1">
        <f ca="1">VLOOKUP(financials[[#This Row],[ID]],Prices!D:F,3,FALSE)</f>
        <v>38</v>
      </c>
      <c r="I479" s="1">
        <f ca="1">financials[[#This Row],[Units Sold]]*financials[[#This Row],[Sale Price]]</f>
        <v>21774</v>
      </c>
      <c r="J4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1088.7</v>
      </c>
      <c r="K479" s="1">
        <f ca="1">financials[[#This Row],[Gross Sales]]-financials[[#This Row],[Discounts]]</f>
        <v>20685.3</v>
      </c>
      <c r="L479" s="1">
        <f ca="1">financials[[#This Row],[Units Sold]]*financials[[#This Row],[Manufacturing Price]]</f>
        <v>8595</v>
      </c>
      <c r="M479" s="1">
        <f ca="1">financials[[#This Row],[Sales]]-financials[[#This Row],[COGS]]</f>
        <v>12090.3</v>
      </c>
      <c r="N479" s="7">
        <f t="shared" ca="1" si="15"/>
        <v>45430</v>
      </c>
      <c r="O479" s="8">
        <f ca="1">MONTH(financials[[#This Row],[Date]])</f>
        <v>5</v>
      </c>
      <c r="P479" s="6" t="str">
        <f ca="1">TEXT(financials[[#This Row],[Date]],"MMM")</f>
        <v>May</v>
      </c>
      <c r="Q479">
        <f ca="1">YEAR(financials[[#This Row],[Date]])</f>
        <v>2024</v>
      </c>
      <c r="S479" s="10"/>
    </row>
    <row r="480" spans="1:19" x14ac:dyDescent="0.3">
      <c r="A480" t="s">
        <v>21</v>
      </c>
      <c r="B480" t="s">
        <v>23</v>
      </c>
      <c r="C480" s="6" t="s">
        <v>30</v>
      </c>
      <c r="D480" s="6" t="str">
        <f>CONCATENATE(financials[[#This Row],[Segment]],",",financials[[#This Row],[Country]],",",financials[[#This Row],[Product]])</f>
        <v>Midmarket,Mexico,VTT</v>
      </c>
      <c r="E480" s="6" t="s">
        <v>34</v>
      </c>
      <c r="F480">
        <f t="shared" ca="1" si="14"/>
        <v>379</v>
      </c>
      <c r="G480" s="1">
        <f ca="1">VLOOKUP(financials[[#This Row],[ID]],Prices!D:F,2,FALSE)</f>
        <v>19</v>
      </c>
      <c r="H480" s="1">
        <f ca="1">VLOOKUP(financials[[#This Row],[ID]],Prices!D:F,3,FALSE)</f>
        <v>20</v>
      </c>
      <c r="I480" s="1">
        <f ca="1">financials[[#This Row],[Units Sold]]*financials[[#This Row],[Sale Price]]</f>
        <v>7580</v>
      </c>
      <c r="J4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379</v>
      </c>
      <c r="K480" s="1">
        <f ca="1">financials[[#This Row],[Gross Sales]]-financials[[#This Row],[Discounts]]</f>
        <v>7201</v>
      </c>
      <c r="L480" s="1">
        <f ca="1">financials[[#This Row],[Units Sold]]*financials[[#This Row],[Manufacturing Price]]</f>
        <v>7201</v>
      </c>
      <c r="M480" s="1">
        <f ca="1">financials[[#This Row],[Sales]]-financials[[#This Row],[COGS]]</f>
        <v>0</v>
      </c>
      <c r="N480" s="7">
        <f t="shared" ca="1" si="15"/>
        <v>45713</v>
      </c>
      <c r="O480" s="8">
        <f ca="1">MONTH(financials[[#This Row],[Date]])</f>
        <v>2</v>
      </c>
      <c r="P480" s="6" t="str">
        <f ca="1">TEXT(financials[[#This Row],[Date]],"MMM")</f>
        <v>Feb</v>
      </c>
      <c r="Q480">
        <f ca="1">YEAR(financials[[#This Row],[Date]])</f>
        <v>2025</v>
      </c>
      <c r="S480" s="10"/>
    </row>
    <row r="481" spans="1:19" x14ac:dyDescent="0.3">
      <c r="A481" t="s">
        <v>16</v>
      </c>
      <c r="B481" t="s">
        <v>36</v>
      </c>
      <c r="C481" s="6" t="s">
        <v>30</v>
      </c>
      <c r="D481" s="6" t="str">
        <f>CONCATENATE(financials[[#This Row],[Segment]],",",financials[[#This Row],[Country]],",",financials[[#This Row],[Product]])</f>
        <v>Government,USA,VTT</v>
      </c>
      <c r="E481" s="6" t="s">
        <v>34</v>
      </c>
      <c r="F481">
        <f t="shared" ca="1" si="14"/>
        <v>960</v>
      </c>
      <c r="G481" s="1">
        <f ca="1">VLOOKUP(financials[[#This Row],[ID]],Prices!D:F,2,FALSE)</f>
        <v>13</v>
      </c>
      <c r="H481" s="1">
        <f ca="1">VLOOKUP(financials[[#This Row],[ID]],Prices!D:F,3,FALSE)</f>
        <v>31</v>
      </c>
      <c r="I481" s="1">
        <f ca="1">financials[[#This Row],[Units Sold]]*financials[[#This Row],[Sale Price]]</f>
        <v>29760</v>
      </c>
      <c r="J4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1488</v>
      </c>
      <c r="K481" s="1">
        <f ca="1">financials[[#This Row],[Gross Sales]]-financials[[#This Row],[Discounts]]</f>
        <v>28272</v>
      </c>
      <c r="L481" s="1">
        <f ca="1">financials[[#This Row],[Units Sold]]*financials[[#This Row],[Manufacturing Price]]</f>
        <v>12480</v>
      </c>
      <c r="M481" s="1">
        <f ca="1">financials[[#This Row],[Sales]]-financials[[#This Row],[COGS]]</f>
        <v>15792</v>
      </c>
      <c r="N481" s="7">
        <f t="shared" ca="1" si="15"/>
        <v>45582</v>
      </c>
      <c r="O481" s="8">
        <f ca="1">MONTH(financials[[#This Row],[Date]])</f>
        <v>10</v>
      </c>
      <c r="P481" s="6" t="str">
        <f ca="1">TEXT(financials[[#This Row],[Date]],"MMM")</f>
        <v>Oct</v>
      </c>
      <c r="Q481">
        <f ca="1">YEAR(financials[[#This Row],[Date]])</f>
        <v>2024</v>
      </c>
      <c r="S481" s="10"/>
    </row>
    <row r="482" spans="1:19" x14ac:dyDescent="0.3">
      <c r="A482" t="s">
        <v>27</v>
      </c>
      <c r="B482" t="s">
        <v>23</v>
      </c>
      <c r="C482" s="6" t="s">
        <v>30</v>
      </c>
      <c r="D482" s="6" t="str">
        <f>CONCATENATE(financials[[#This Row],[Segment]],",",financials[[#This Row],[Country]],",",financials[[#This Row],[Product]])</f>
        <v>Small Business,Mexico,VTT</v>
      </c>
      <c r="E482" s="6" t="s">
        <v>34</v>
      </c>
      <c r="F482">
        <f t="shared" ca="1" si="14"/>
        <v>578</v>
      </c>
      <c r="G482" s="1">
        <f ca="1">VLOOKUP(financials[[#This Row],[ID]],Prices!D:F,2,FALSE)</f>
        <v>17</v>
      </c>
      <c r="H482" s="1">
        <f ca="1">VLOOKUP(financials[[#This Row],[ID]],Prices!D:F,3,FALSE)</f>
        <v>36</v>
      </c>
      <c r="I482" s="1">
        <f ca="1">financials[[#This Row],[Units Sold]]*financials[[#This Row],[Sale Price]]</f>
        <v>20808</v>
      </c>
      <c r="J4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1040.4000000000001</v>
      </c>
      <c r="K482" s="1">
        <f ca="1">financials[[#This Row],[Gross Sales]]-financials[[#This Row],[Discounts]]</f>
        <v>19767.599999999999</v>
      </c>
      <c r="L482" s="1">
        <f ca="1">financials[[#This Row],[Units Sold]]*financials[[#This Row],[Manufacturing Price]]</f>
        <v>9826</v>
      </c>
      <c r="M482" s="1">
        <f ca="1">financials[[#This Row],[Sales]]-financials[[#This Row],[COGS]]</f>
        <v>9941.5999999999985</v>
      </c>
      <c r="N482" s="7">
        <f t="shared" ca="1" si="15"/>
        <v>45600</v>
      </c>
      <c r="O482" s="8">
        <f ca="1">MONTH(financials[[#This Row],[Date]])</f>
        <v>11</v>
      </c>
      <c r="P482" s="6" t="str">
        <f ca="1">TEXT(financials[[#This Row],[Date]],"MMM")</f>
        <v>Nov</v>
      </c>
      <c r="Q482">
        <f ca="1">YEAR(financials[[#This Row],[Date]])</f>
        <v>2024</v>
      </c>
      <c r="S482" s="10"/>
    </row>
    <row r="483" spans="1:19" x14ac:dyDescent="0.3">
      <c r="A483" t="s">
        <v>27</v>
      </c>
      <c r="B483" t="s">
        <v>36</v>
      </c>
      <c r="C483" s="6" t="s">
        <v>30</v>
      </c>
      <c r="D483" s="6" t="str">
        <f>CONCATENATE(financials[[#This Row],[Segment]],",",financials[[#This Row],[Country]],",",financials[[#This Row],[Product]])</f>
        <v>Small Business,USA,VTT</v>
      </c>
      <c r="E483" s="6" t="s">
        <v>34</v>
      </c>
      <c r="F483">
        <f t="shared" ca="1" si="14"/>
        <v>118</v>
      </c>
      <c r="G483" s="1">
        <f ca="1">VLOOKUP(financials[[#This Row],[ID]],Prices!D:F,2,FALSE)</f>
        <v>13</v>
      </c>
      <c r="H483" s="1">
        <f ca="1">VLOOKUP(financials[[#This Row],[ID]],Prices!D:F,3,FALSE)</f>
        <v>19</v>
      </c>
      <c r="I483" s="1">
        <f ca="1">financials[[#This Row],[Units Sold]]*financials[[#This Row],[Sale Price]]</f>
        <v>2242</v>
      </c>
      <c r="J4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112.10000000000001</v>
      </c>
      <c r="K483" s="1">
        <f ca="1">financials[[#This Row],[Gross Sales]]-financials[[#This Row],[Discounts]]</f>
        <v>2129.9</v>
      </c>
      <c r="L483" s="1">
        <f ca="1">financials[[#This Row],[Units Sold]]*financials[[#This Row],[Manufacturing Price]]</f>
        <v>1534</v>
      </c>
      <c r="M483" s="1">
        <f ca="1">financials[[#This Row],[Sales]]-financials[[#This Row],[COGS]]</f>
        <v>595.90000000000009</v>
      </c>
      <c r="N483" s="7">
        <f t="shared" ca="1" si="15"/>
        <v>45450</v>
      </c>
      <c r="O483" s="8">
        <f ca="1">MONTH(financials[[#This Row],[Date]])</f>
        <v>6</v>
      </c>
      <c r="P483" s="6" t="str">
        <f ca="1">TEXT(financials[[#This Row],[Date]],"MMM")</f>
        <v>Jun</v>
      </c>
      <c r="Q483">
        <f ca="1">YEAR(financials[[#This Row],[Date]])</f>
        <v>2024</v>
      </c>
      <c r="S483" s="10"/>
    </row>
    <row r="484" spans="1:19" x14ac:dyDescent="0.3">
      <c r="A484" t="s">
        <v>21</v>
      </c>
      <c r="B484" t="s">
        <v>22</v>
      </c>
      <c r="C484" s="6" t="s">
        <v>30</v>
      </c>
      <c r="D484" s="6" t="str">
        <f>CONCATENATE(financials[[#This Row],[Segment]],",",financials[[#This Row],[Country]],",",financials[[#This Row],[Product]])</f>
        <v>Midmarket,France,VTT</v>
      </c>
      <c r="E484" s="6" t="s">
        <v>34</v>
      </c>
      <c r="F484">
        <f t="shared" ca="1" si="14"/>
        <v>471</v>
      </c>
      <c r="G484" s="1">
        <f ca="1">VLOOKUP(financials[[#This Row],[ID]],Prices!D:F,2,FALSE)</f>
        <v>11</v>
      </c>
      <c r="H484" s="1">
        <f ca="1">VLOOKUP(financials[[#This Row],[ID]],Prices!D:F,3,FALSE)</f>
        <v>25</v>
      </c>
      <c r="I484" s="1">
        <f ca="1">financials[[#This Row],[Units Sold]]*financials[[#This Row],[Sale Price]]</f>
        <v>11775</v>
      </c>
      <c r="J4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588.75</v>
      </c>
      <c r="K484" s="1">
        <f ca="1">financials[[#This Row],[Gross Sales]]-financials[[#This Row],[Discounts]]</f>
        <v>11186.25</v>
      </c>
      <c r="L484" s="1">
        <f ca="1">financials[[#This Row],[Units Sold]]*financials[[#This Row],[Manufacturing Price]]</f>
        <v>5181</v>
      </c>
      <c r="M484" s="1">
        <f ca="1">financials[[#This Row],[Sales]]-financials[[#This Row],[COGS]]</f>
        <v>6005.25</v>
      </c>
      <c r="N484" s="7">
        <f t="shared" ca="1" si="15"/>
        <v>45303</v>
      </c>
      <c r="O484" s="8">
        <f ca="1">MONTH(financials[[#This Row],[Date]])</f>
        <v>1</v>
      </c>
      <c r="P484" s="6" t="str">
        <f ca="1">TEXT(financials[[#This Row],[Date]],"MMM")</f>
        <v>Jan</v>
      </c>
      <c r="Q484">
        <f ca="1">YEAR(financials[[#This Row],[Date]])</f>
        <v>2024</v>
      </c>
      <c r="S484" s="10"/>
    </row>
    <row r="485" spans="1:19" x14ac:dyDescent="0.3">
      <c r="A485" t="s">
        <v>26</v>
      </c>
      <c r="B485" t="s">
        <v>17</v>
      </c>
      <c r="C485" s="6" t="s">
        <v>30</v>
      </c>
      <c r="D485" s="6" t="str">
        <f>CONCATENATE(financials[[#This Row],[Segment]],",",financials[[#This Row],[Country]],",",financials[[#This Row],[Product]])</f>
        <v>Enterprise,Canada,VTT</v>
      </c>
      <c r="E485" s="6" t="s">
        <v>34</v>
      </c>
      <c r="F485">
        <f t="shared" ca="1" si="14"/>
        <v>237</v>
      </c>
      <c r="G485" s="1">
        <f ca="1">VLOOKUP(financials[[#This Row],[ID]],Prices!D:F,2,FALSE)</f>
        <v>14</v>
      </c>
      <c r="H485" s="1">
        <f ca="1">VLOOKUP(financials[[#This Row],[ID]],Prices!D:F,3,FALSE)</f>
        <v>29</v>
      </c>
      <c r="I485" s="1">
        <f ca="1">financials[[#This Row],[Units Sold]]*financials[[#This Row],[Sale Price]]</f>
        <v>6873</v>
      </c>
      <c r="J4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343.65000000000003</v>
      </c>
      <c r="K485" s="1">
        <f ca="1">financials[[#This Row],[Gross Sales]]-financials[[#This Row],[Discounts]]</f>
        <v>6529.35</v>
      </c>
      <c r="L485" s="1">
        <f ca="1">financials[[#This Row],[Units Sold]]*financials[[#This Row],[Manufacturing Price]]</f>
        <v>3318</v>
      </c>
      <c r="M485" s="1">
        <f ca="1">financials[[#This Row],[Sales]]-financials[[#This Row],[COGS]]</f>
        <v>3211.3500000000004</v>
      </c>
      <c r="N485" s="7">
        <f t="shared" ca="1" si="15"/>
        <v>45733</v>
      </c>
      <c r="O485" s="8">
        <f ca="1">MONTH(financials[[#This Row],[Date]])</f>
        <v>3</v>
      </c>
      <c r="P485" s="6" t="str">
        <f ca="1">TEXT(financials[[#This Row],[Date]],"MMM")</f>
        <v>Mar</v>
      </c>
      <c r="Q485">
        <f ca="1">YEAR(financials[[#This Row],[Date]])</f>
        <v>2025</v>
      </c>
      <c r="S485" s="10"/>
    </row>
    <row r="486" spans="1:19" x14ac:dyDescent="0.3">
      <c r="A486" t="s">
        <v>16</v>
      </c>
      <c r="B486" t="s">
        <v>20</v>
      </c>
      <c r="C486" s="6" t="s">
        <v>30</v>
      </c>
      <c r="D486" s="6" t="str">
        <f>CONCATENATE(financials[[#This Row],[Segment]],",",financials[[#This Row],[Country]],",",financials[[#This Row],[Product]])</f>
        <v>Government,Germany,VTT</v>
      </c>
      <c r="E486" s="6" t="s">
        <v>34</v>
      </c>
      <c r="F486">
        <f t="shared" ca="1" si="14"/>
        <v>111</v>
      </c>
      <c r="G486" s="1">
        <f ca="1">VLOOKUP(financials[[#This Row],[ID]],Prices!D:F,2,FALSE)</f>
        <v>16</v>
      </c>
      <c r="H486" s="1">
        <f ca="1">VLOOKUP(financials[[#This Row],[ID]],Prices!D:F,3,FALSE)</f>
        <v>20</v>
      </c>
      <c r="I486" s="1">
        <f ca="1">financials[[#This Row],[Units Sold]]*financials[[#This Row],[Sale Price]]</f>
        <v>2220</v>
      </c>
      <c r="J4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111</v>
      </c>
      <c r="K486" s="1">
        <f ca="1">financials[[#This Row],[Gross Sales]]-financials[[#This Row],[Discounts]]</f>
        <v>2109</v>
      </c>
      <c r="L486" s="1">
        <f ca="1">financials[[#This Row],[Units Sold]]*financials[[#This Row],[Manufacturing Price]]</f>
        <v>1776</v>
      </c>
      <c r="M486" s="1">
        <f ca="1">financials[[#This Row],[Sales]]-financials[[#This Row],[COGS]]</f>
        <v>333</v>
      </c>
      <c r="N486" s="7">
        <f t="shared" ca="1" si="15"/>
        <v>45158</v>
      </c>
      <c r="O486" s="8">
        <f ca="1">MONTH(financials[[#This Row],[Date]])</f>
        <v>8</v>
      </c>
      <c r="P486" s="6" t="str">
        <f ca="1">TEXT(financials[[#This Row],[Date]],"MMM")</f>
        <v>Aug</v>
      </c>
      <c r="Q486">
        <f ca="1">YEAR(financials[[#This Row],[Date]])</f>
        <v>2023</v>
      </c>
      <c r="S486" s="10"/>
    </row>
    <row r="487" spans="1:19" x14ac:dyDescent="0.3">
      <c r="A487" t="s">
        <v>26</v>
      </c>
      <c r="B487" t="s">
        <v>36</v>
      </c>
      <c r="C487" s="6" t="s">
        <v>31</v>
      </c>
      <c r="D487" s="6" t="str">
        <f>CONCATENATE(financials[[#This Row],[Segment]],",",financials[[#This Row],[Country]],",",financials[[#This Row],[Product]])</f>
        <v>Enterprise,USA,Amarilla</v>
      </c>
      <c r="E487" s="6" t="s">
        <v>34</v>
      </c>
      <c r="F487">
        <f t="shared" ca="1" si="14"/>
        <v>712</v>
      </c>
      <c r="G487" s="1">
        <f ca="1">VLOOKUP(financials[[#This Row],[ID]],Prices!D:F,2,FALSE)</f>
        <v>15</v>
      </c>
      <c r="H487" s="1">
        <f ca="1">VLOOKUP(financials[[#This Row],[ID]],Prices!D:F,3,FALSE)</f>
        <v>32</v>
      </c>
      <c r="I487" s="1">
        <f ca="1">financials[[#This Row],[Units Sold]]*financials[[#This Row],[Sale Price]]</f>
        <v>22784</v>
      </c>
      <c r="J4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1139.2</v>
      </c>
      <c r="K487" s="1">
        <f ca="1">financials[[#This Row],[Gross Sales]]-financials[[#This Row],[Discounts]]</f>
        <v>21644.799999999999</v>
      </c>
      <c r="L487" s="1">
        <f ca="1">financials[[#This Row],[Units Sold]]*financials[[#This Row],[Manufacturing Price]]</f>
        <v>10680</v>
      </c>
      <c r="M487" s="1">
        <f ca="1">financials[[#This Row],[Sales]]-financials[[#This Row],[COGS]]</f>
        <v>10964.8</v>
      </c>
      <c r="N487" s="7">
        <f t="shared" ca="1" si="15"/>
        <v>45733</v>
      </c>
      <c r="O487" s="8">
        <f ca="1">MONTH(financials[[#This Row],[Date]])</f>
        <v>3</v>
      </c>
      <c r="P487" s="6" t="str">
        <f ca="1">TEXT(financials[[#This Row],[Date]],"MMM")</f>
        <v>Mar</v>
      </c>
      <c r="Q487">
        <f ca="1">YEAR(financials[[#This Row],[Date]])</f>
        <v>2025</v>
      </c>
      <c r="S487" s="10"/>
    </row>
    <row r="488" spans="1:19" x14ac:dyDescent="0.3">
      <c r="A488" t="s">
        <v>16</v>
      </c>
      <c r="B488" t="s">
        <v>17</v>
      </c>
      <c r="C488" s="6" t="s">
        <v>31</v>
      </c>
      <c r="D488" s="6" t="str">
        <f>CONCATENATE(financials[[#This Row],[Segment]],",",financials[[#This Row],[Country]],",",financials[[#This Row],[Product]])</f>
        <v>Government,Canada,Amarilla</v>
      </c>
      <c r="E488" s="6" t="s">
        <v>34</v>
      </c>
      <c r="F488">
        <f t="shared" ca="1" si="14"/>
        <v>642</v>
      </c>
      <c r="G488" s="1">
        <f ca="1">VLOOKUP(financials[[#This Row],[ID]],Prices!D:F,2,FALSE)</f>
        <v>11</v>
      </c>
      <c r="H488" s="1">
        <f ca="1">VLOOKUP(financials[[#This Row],[ID]],Prices!D:F,3,FALSE)</f>
        <v>29</v>
      </c>
      <c r="I488" s="1">
        <f ca="1">financials[[#This Row],[Units Sold]]*financials[[#This Row],[Sale Price]]</f>
        <v>18618</v>
      </c>
      <c r="J4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930.90000000000009</v>
      </c>
      <c r="K488" s="1">
        <f ca="1">financials[[#This Row],[Gross Sales]]-financials[[#This Row],[Discounts]]</f>
        <v>17687.099999999999</v>
      </c>
      <c r="L488" s="1">
        <f ca="1">financials[[#This Row],[Units Sold]]*financials[[#This Row],[Manufacturing Price]]</f>
        <v>7062</v>
      </c>
      <c r="M488" s="1">
        <f ca="1">financials[[#This Row],[Sales]]-financials[[#This Row],[COGS]]</f>
        <v>10625.099999999999</v>
      </c>
      <c r="N488" s="7">
        <f t="shared" ca="1" si="15"/>
        <v>45583</v>
      </c>
      <c r="O488" s="8">
        <f ca="1">MONTH(financials[[#This Row],[Date]])</f>
        <v>10</v>
      </c>
      <c r="P488" s="6" t="str">
        <f ca="1">TEXT(financials[[#This Row],[Date]],"MMM")</f>
        <v>Oct</v>
      </c>
      <c r="Q488">
        <f ca="1">YEAR(financials[[#This Row],[Date]])</f>
        <v>2024</v>
      </c>
      <c r="S488" s="10"/>
    </row>
    <row r="489" spans="1:19" x14ac:dyDescent="0.3">
      <c r="A489" t="s">
        <v>27</v>
      </c>
      <c r="B489" t="s">
        <v>36</v>
      </c>
      <c r="C489" s="6" t="s">
        <v>31</v>
      </c>
      <c r="D489" s="6" t="str">
        <f>CONCATENATE(financials[[#This Row],[Segment]],",",financials[[#This Row],[Country]],",",financials[[#This Row],[Product]])</f>
        <v>Small Business,USA,Amarilla</v>
      </c>
      <c r="E489" s="6" t="s">
        <v>34</v>
      </c>
      <c r="F489">
        <f t="shared" ca="1" si="14"/>
        <v>316</v>
      </c>
      <c r="G489" s="1">
        <f ca="1">VLOOKUP(financials[[#This Row],[ID]],Prices!D:F,2,FALSE)</f>
        <v>13</v>
      </c>
      <c r="H489" s="1">
        <f ca="1">VLOOKUP(financials[[#This Row],[ID]],Prices!D:F,3,FALSE)</f>
        <v>33</v>
      </c>
      <c r="I489" s="1">
        <f ca="1">financials[[#This Row],[Units Sold]]*financials[[#This Row],[Sale Price]]</f>
        <v>10428</v>
      </c>
      <c r="J4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521.4</v>
      </c>
      <c r="K489" s="1">
        <f ca="1">financials[[#This Row],[Gross Sales]]-financials[[#This Row],[Discounts]]</f>
        <v>9906.6</v>
      </c>
      <c r="L489" s="1">
        <f ca="1">financials[[#This Row],[Units Sold]]*financials[[#This Row],[Manufacturing Price]]</f>
        <v>4108</v>
      </c>
      <c r="M489" s="1">
        <f ca="1">financials[[#This Row],[Sales]]-financials[[#This Row],[COGS]]</f>
        <v>5798.6</v>
      </c>
      <c r="N489" s="7">
        <f t="shared" ca="1" si="15"/>
        <v>45686</v>
      </c>
      <c r="O489" s="8">
        <f ca="1">MONTH(financials[[#This Row],[Date]])</f>
        <v>1</v>
      </c>
      <c r="P489" s="6" t="str">
        <f ca="1">TEXT(financials[[#This Row],[Date]],"MMM")</f>
        <v>Jan</v>
      </c>
      <c r="Q489">
        <f ca="1">YEAR(financials[[#This Row],[Date]])</f>
        <v>2025</v>
      </c>
      <c r="S489" s="10"/>
    </row>
    <row r="490" spans="1:19" x14ac:dyDescent="0.3">
      <c r="A490" t="s">
        <v>25</v>
      </c>
      <c r="B490" t="s">
        <v>17</v>
      </c>
      <c r="C490" s="6" t="s">
        <v>31</v>
      </c>
      <c r="D490" s="6" t="str">
        <f>CONCATENATE(financials[[#This Row],[Segment]],",",financials[[#This Row],[Country]],",",financials[[#This Row],[Product]])</f>
        <v>Channel Partners,Canada,Amarilla</v>
      </c>
      <c r="E490" s="6" t="s">
        <v>34</v>
      </c>
      <c r="F490">
        <f t="shared" ca="1" si="14"/>
        <v>197</v>
      </c>
      <c r="G490" s="1">
        <f ca="1">VLOOKUP(financials[[#This Row],[ID]],Prices!D:F,2,FALSE)</f>
        <v>13</v>
      </c>
      <c r="H490" s="1">
        <f ca="1">VLOOKUP(financials[[#This Row],[ID]],Prices!D:F,3,FALSE)</f>
        <v>19</v>
      </c>
      <c r="I490" s="1">
        <f ca="1">financials[[#This Row],[Units Sold]]*financials[[#This Row],[Sale Price]]</f>
        <v>3743</v>
      </c>
      <c r="J4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187.15</v>
      </c>
      <c r="K490" s="1">
        <f ca="1">financials[[#This Row],[Gross Sales]]-financials[[#This Row],[Discounts]]</f>
        <v>3555.85</v>
      </c>
      <c r="L490" s="1">
        <f ca="1">financials[[#This Row],[Units Sold]]*financials[[#This Row],[Manufacturing Price]]</f>
        <v>2561</v>
      </c>
      <c r="M490" s="1">
        <f ca="1">financials[[#This Row],[Sales]]-financials[[#This Row],[COGS]]</f>
        <v>994.84999999999991</v>
      </c>
      <c r="N490" s="7">
        <f t="shared" ca="1" si="15"/>
        <v>45064</v>
      </c>
      <c r="O490" s="8">
        <f ca="1">MONTH(financials[[#This Row],[Date]])</f>
        <v>5</v>
      </c>
      <c r="P490" s="6" t="str">
        <f ca="1">TEXT(financials[[#This Row],[Date]],"MMM")</f>
        <v>May</v>
      </c>
      <c r="Q490">
        <f ca="1">YEAR(financials[[#This Row],[Date]])</f>
        <v>2023</v>
      </c>
      <c r="S490" s="10"/>
    </row>
    <row r="491" spans="1:19" x14ac:dyDescent="0.3">
      <c r="A491" t="s">
        <v>16</v>
      </c>
      <c r="B491" t="s">
        <v>23</v>
      </c>
      <c r="C491" s="6" t="s">
        <v>31</v>
      </c>
      <c r="D491" s="6" t="str">
        <f>CONCATENATE(financials[[#This Row],[Segment]],",",financials[[#This Row],[Country]],",",financials[[#This Row],[Product]])</f>
        <v>Government,Mexico,Amarilla</v>
      </c>
      <c r="E491" s="6" t="s">
        <v>34</v>
      </c>
      <c r="F491">
        <f t="shared" ca="1" si="14"/>
        <v>669</v>
      </c>
      <c r="G491" s="1">
        <f ca="1">VLOOKUP(financials[[#This Row],[ID]],Prices!D:F,2,FALSE)</f>
        <v>15</v>
      </c>
      <c r="H491" s="1">
        <f ca="1">VLOOKUP(financials[[#This Row],[ID]],Prices!D:F,3,FALSE)</f>
        <v>32</v>
      </c>
      <c r="I491" s="1">
        <f ca="1">financials[[#This Row],[Units Sold]]*financials[[#This Row],[Sale Price]]</f>
        <v>21408</v>
      </c>
      <c r="J4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1070.4000000000001</v>
      </c>
      <c r="K491" s="1">
        <f ca="1">financials[[#This Row],[Gross Sales]]-financials[[#This Row],[Discounts]]</f>
        <v>20337.599999999999</v>
      </c>
      <c r="L491" s="1">
        <f ca="1">financials[[#This Row],[Units Sold]]*financials[[#This Row],[Manufacturing Price]]</f>
        <v>10035</v>
      </c>
      <c r="M491" s="1">
        <f ca="1">financials[[#This Row],[Sales]]-financials[[#This Row],[COGS]]</f>
        <v>10302.599999999999</v>
      </c>
      <c r="N491" s="7">
        <f t="shared" ca="1" si="15"/>
        <v>45583</v>
      </c>
      <c r="O491" s="8">
        <f ca="1">MONTH(financials[[#This Row],[Date]])</f>
        <v>10</v>
      </c>
      <c r="P491" s="6" t="str">
        <f ca="1">TEXT(financials[[#This Row],[Date]],"MMM")</f>
        <v>Oct</v>
      </c>
      <c r="Q491">
        <f ca="1">YEAR(financials[[#This Row],[Date]])</f>
        <v>2024</v>
      </c>
      <c r="S491" s="10"/>
    </row>
    <row r="492" spans="1:19" x14ac:dyDescent="0.3">
      <c r="A492" t="s">
        <v>25</v>
      </c>
      <c r="B492" t="s">
        <v>20</v>
      </c>
      <c r="C492" s="6" t="s">
        <v>31</v>
      </c>
      <c r="D492" s="6" t="str">
        <f>CONCATENATE(financials[[#This Row],[Segment]],",",financials[[#This Row],[Country]],",",financials[[#This Row],[Product]])</f>
        <v>Channel Partners,Germany,Amarilla</v>
      </c>
      <c r="E492" s="6" t="s">
        <v>34</v>
      </c>
      <c r="F492">
        <f t="shared" ca="1" si="14"/>
        <v>892</v>
      </c>
      <c r="G492" s="1">
        <f ca="1">VLOOKUP(financials[[#This Row],[ID]],Prices!D:F,2,FALSE)</f>
        <v>15</v>
      </c>
      <c r="H492" s="1">
        <f ca="1">VLOOKUP(financials[[#This Row],[ID]],Prices!D:F,3,FALSE)</f>
        <v>22</v>
      </c>
      <c r="I492" s="1">
        <f ca="1">financials[[#This Row],[Units Sold]]*financials[[#This Row],[Sale Price]]</f>
        <v>19624</v>
      </c>
      <c r="J4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981.2</v>
      </c>
      <c r="K492" s="1">
        <f ca="1">financials[[#This Row],[Gross Sales]]-financials[[#This Row],[Discounts]]</f>
        <v>18642.8</v>
      </c>
      <c r="L492" s="1">
        <f ca="1">financials[[#This Row],[Units Sold]]*financials[[#This Row],[Manufacturing Price]]</f>
        <v>13380</v>
      </c>
      <c r="M492" s="1">
        <f ca="1">financials[[#This Row],[Sales]]-financials[[#This Row],[COGS]]</f>
        <v>5262.7999999999993</v>
      </c>
      <c r="N492" s="7">
        <f t="shared" ca="1" si="15"/>
        <v>45623</v>
      </c>
      <c r="O492" s="8">
        <f ca="1">MONTH(financials[[#This Row],[Date]])</f>
        <v>11</v>
      </c>
      <c r="P492" s="6" t="str">
        <f ca="1">TEXT(financials[[#This Row],[Date]],"MMM")</f>
        <v>Nov</v>
      </c>
      <c r="Q492">
        <f ca="1">YEAR(financials[[#This Row],[Date]])</f>
        <v>2024</v>
      </c>
      <c r="S492" s="10"/>
    </row>
    <row r="493" spans="1:19" x14ac:dyDescent="0.3">
      <c r="A493" t="s">
        <v>16</v>
      </c>
      <c r="B493" t="s">
        <v>17</v>
      </c>
      <c r="C493" s="6" t="s">
        <v>31</v>
      </c>
      <c r="D493" s="6" t="str">
        <f>CONCATENATE(financials[[#This Row],[Segment]],",",financials[[#This Row],[Country]],",",financials[[#This Row],[Product]])</f>
        <v>Government,Canada,Amarilla</v>
      </c>
      <c r="E493" s="6" t="s">
        <v>34</v>
      </c>
      <c r="F493">
        <f t="shared" ca="1" si="14"/>
        <v>182</v>
      </c>
      <c r="G493" s="1">
        <f ca="1">VLOOKUP(financials[[#This Row],[ID]],Prices!D:F,2,FALSE)</f>
        <v>11</v>
      </c>
      <c r="H493" s="1">
        <f ca="1">VLOOKUP(financials[[#This Row],[ID]],Prices!D:F,3,FALSE)</f>
        <v>29</v>
      </c>
      <c r="I493" s="1">
        <f ca="1">financials[[#This Row],[Units Sold]]*financials[[#This Row],[Sale Price]]</f>
        <v>5278</v>
      </c>
      <c r="J4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263.90000000000003</v>
      </c>
      <c r="K493" s="1">
        <f ca="1">financials[[#This Row],[Gross Sales]]-financials[[#This Row],[Discounts]]</f>
        <v>5014.1000000000004</v>
      </c>
      <c r="L493" s="1">
        <f ca="1">financials[[#This Row],[Units Sold]]*financials[[#This Row],[Manufacturing Price]]</f>
        <v>2002</v>
      </c>
      <c r="M493" s="1">
        <f ca="1">financials[[#This Row],[Sales]]-financials[[#This Row],[COGS]]</f>
        <v>3012.1000000000004</v>
      </c>
      <c r="N493" s="7">
        <f t="shared" ca="1" si="15"/>
        <v>45750</v>
      </c>
      <c r="O493" s="8">
        <f ca="1">MONTH(financials[[#This Row],[Date]])</f>
        <v>4</v>
      </c>
      <c r="P493" s="6" t="str">
        <f ca="1">TEXT(financials[[#This Row],[Date]],"MMM")</f>
        <v>Apr</v>
      </c>
      <c r="Q493">
        <f ca="1">YEAR(financials[[#This Row],[Date]])</f>
        <v>2025</v>
      </c>
      <c r="S493" s="10"/>
    </row>
    <row r="494" spans="1:19" x14ac:dyDescent="0.3">
      <c r="A494" t="s">
        <v>21</v>
      </c>
      <c r="B494" t="s">
        <v>22</v>
      </c>
      <c r="C494" s="6" t="s">
        <v>31</v>
      </c>
      <c r="D494" s="6" t="str">
        <f>CONCATENATE(financials[[#This Row],[Segment]],",",financials[[#This Row],[Country]],",",financials[[#This Row],[Product]])</f>
        <v>Midmarket,France,Amarilla</v>
      </c>
      <c r="E494" s="6" t="s">
        <v>34</v>
      </c>
      <c r="F494">
        <f t="shared" ca="1" si="14"/>
        <v>424</v>
      </c>
      <c r="G494" s="1">
        <f ca="1">VLOOKUP(financials[[#This Row],[ID]],Prices!D:F,2,FALSE)</f>
        <v>19</v>
      </c>
      <c r="H494" s="1">
        <f ca="1">VLOOKUP(financials[[#This Row],[ID]],Prices!D:F,3,FALSE)</f>
        <v>38</v>
      </c>
      <c r="I494" s="1">
        <f ca="1">financials[[#This Row],[Units Sold]]*financials[[#This Row],[Sale Price]]</f>
        <v>16112</v>
      </c>
      <c r="J4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805.6</v>
      </c>
      <c r="K494" s="1">
        <f ca="1">financials[[#This Row],[Gross Sales]]-financials[[#This Row],[Discounts]]</f>
        <v>15306.4</v>
      </c>
      <c r="L494" s="1">
        <f ca="1">financials[[#This Row],[Units Sold]]*financials[[#This Row],[Manufacturing Price]]</f>
        <v>8056</v>
      </c>
      <c r="M494" s="1">
        <f ca="1">financials[[#This Row],[Sales]]-financials[[#This Row],[COGS]]</f>
        <v>7250.4</v>
      </c>
      <c r="N494" s="7">
        <f t="shared" ca="1" si="15"/>
        <v>45413</v>
      </c>
      <c r="O494" s="8">
        <f ca="1">MONTH(financials[[#This Row],[Date]])</f>
        <v>5</v>
      </c>
      <c r="P494" s="6" t="str">
        <f ca="1">TEXT(financials[[#This Row],[Date]],"MMM")</f>
        <v>May</v>
      </c>
      <c r="Q494">
        <f ca="1">YEAR(financials[[#This Row],[Date]])</f>
        <v>2024</v>
      </c>
      <c r="S494" s="10"/>
    </row>
    <row r="495" spans="1:19" x14ac:dyDescent="0.3">
      <c r="A495" t="s">
        <v>27</v>
      </c>
      <c r="B495" t="s">
        <v>22</v>
      </c>
      <c r="C495" s="6" t="s">
        <v>31</v>
      </c>
      <c r="D495" s="6" t="str">
        <f>CONCATENATE(financials[[#This Row],[Segment]],",",financials[[#This Row],[Country]],",",financials[[#This Row],[Product]])</f>
        <v>Small Business,France,Amarilla</v>
      </c>
      <c r="E495" s="6" t="s">
        <v>34</v>
      </c>
      <c r="F495">
        <f t="shared" ca="1" si="14"/>
        <v>597</v>
      </c>
      <c r="G495" s="1">
        <f ca="1">VLOOKUP(financials[[#This Row],[ID]],Prices!D:F,2,FALSE)</f>
        <v>10</v>
      </c>
      <c r="H495" s="1">
        <f ca="1">VLOOKUP(financials[[#This Row],[ID]],Prices!D:F,3,FALSE)</f>
        <v>38</v>
      </c>
      <c r="I495" s="1">
        <f ca="1">financials[[#This Row],[Units Sold]]*financials[[#This Row],[Sale Price]]</f>
        <v>22686</v>
      </c>
      <c r="J4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1134.3</v>
      </c>
      <c r="K495" s="1">
        <f ca="1">financials[[#This Row],[Gross Sales]]-financials[[#This Row],[Discounts]]</f>
        <v>21551.7</v>
      </c>
      <c r="L495" s="1">
        <f ca="1">financials[[#This Row],[Units Sold]]*financials[[#This Row],[Manufacturing Price]]</f>
        <v>5970</v>
      </c>
      <c r="M495" s="1">
        <f ca="1">financials[[#This Row],[Sales]]-financials[[#This Row],[COGS]]</f>
        <v>15581.7</v>
      </c>
      <c r="N495" s="7">
        <f t="shared" ca="1" si="15"/>
        <v>45051</v>
      </c>
      <c r="O495" s="8">
        <f ca="1">MONTH(financials[[#This Row],[Date]])</f>
        <v>5</v>
      </c>
      <c r="P495" s="6" t="str">
        <f ca="1">TEXT(financials[[#This Row],[Date]],"MMM")</f>
        <v>May</v>
      </c>
      <c r="Q495">
        <f ca="1">YEAR(financials[[#This Row],[Date]])</f>
        <v>2023</v>
      </c>
      <c r="S495" s="10"/>
    </row>
    <row r="496" spans="1:19" x14ac:dyDescent="0.3">
      <c r="A496" t="s">
        <v>25</v>
      </c>
      <c r="B496" t="s">
        <v>22</v>
      </c>
      <c r="C496" s="6" t="s">
        <v>18</v>
      </c>
      <c r="D496" s="6" t="str">
        <f>CONCATENATE(financials[[#This Row],[Segment]],",",financials[[#This Row],[Country]],",",financials[[#This Row],[Product]])</f>
        <v>Channel Partners,France,Carretera</v>
      </c>
      <c r="E496" s="6" t="s">
        <v>34</v>
      </c>
      <c r="F496">
        <f t="shared" ca="1" si="14"/>
        <v>601</v>
      </c>
      <c r="G496" s="1">
        <f ca="1">VLOOKUP(financials[[#This Row],[ID]],Prices!D:F,2,FALSE)</f>
        <v>10</v>
      </c>
      <c r="H496" s="1">
        <f ca="1">VLOOKUP(financials[[#This Row],[ID]],Prices!D:F,3,FALSE)</f>
        <v>25</v>
      </c>
      <c r="I496" s="1">
        <f ca="1">financials[[#This Row],[Units Sold]]*financials[[#This Row],[Sale Price]]</f>
        <v>15025</v>
      </c>
      <c r="J4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751.25</v>
      </c>
      <c r="K496" s="1">
        <f ca="1">financials[[#This Row],[Gross Sales]]-financials[[#This Row],[Discounts]]</f>
        <v>14273.75</v>
      </c>
      <c r="L496" s="1">
        <f ca="1">financials[[#This Row],[Units Sold]]*financials[[#This Row],[Manufacturing Price]]</f>
        <v>6010</v>
      </c>
      <c r="M496" s="1">
        <f ca="1">financials[[#This Row],[Sales]]-financials[[#This Row],[COGS]]</f>
        <v>8263.75</v>
      </c>
      <c r="N496" s="7">
        <f t="shared" ca="1" si="15"/>
        <v>45336</v>
      </c>
      <c r="O496" s="8">
        <f ca="1">MONTH(financials[[#This Row],[Date]])</f>
        <v>2</v>
      </c>
      <c r="P496" s="6" t="str">
        <f ca="1">TEXT(financials[[#This Row],[Date]],"MMM")</f>
        <v>Feb</v>
      </c>
      <c r="Q496">
        <f ca="1">YEAR(financials[[#This Row],[Date]])</f>
        <v>2024</v>
      </c>
      <c r="S496" s="10"/>
    </row>
    <row r="497" spans="1:19" x14ac:dyDescent="0.3">
      <c r="A497" t="s">
        <v>16</v>
      </c>
      <c r="B497" t="s">
        <v>22</v>
      </c>
      <c r="C497" s="6" t="s">
        <v>28</v>
      </c>
      <c r="D497" s="6" t="str">
        <f>CONCATENATE(financials[[#This Row],[Segment]],",",financials[[#This Row],[Country]],",",financials[[#This Row],[Product]])</f>
        <v>Government,France,Paseo</v>
      </c>
      <c r="E497" s="6" t="s">
        <v>34</v>
      </c>
      <c r="F497">
        <f t="shared" ca="1" si="14"/>
        <v>638</v>
      </c>
      <c r="G497" s="1">
        <f ca="1">VLOOKUP(financials[[#This Row],[ID]],Prices!D:F,2,FALSE)</f>
        <v>14</v>
      </c>
      <c r="H497" s="1">
        <f ca="1">VLOOKUP(financials[[#This Row],[ID]],Prices!D:F,3,FALSE)</f>
        <v>18</v>
      </c>
      <c r="I497" s="1">
        <f ca="1">financials[[#This Row],[Units Sold]]*financials[[#This Row],[Sale Price]]</f>
        <v>11484</v>
      </c>
      <c r="J4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574.20000000000005</v>
      </c>
      <c r="K497" s="1">
        <f ca="1">financials[[#This Row],[Gross Sales]]-financials[[#This Row],[Discounts]]</f>
        <v>10909.8</v>
      </c>
      <c r="L497" s="1">
        <f ca="1">financials[[#This Row],[Units Sold]]*financials[[#This Row],[Manufacturing Price]]</f>
        <v>8932</v>
      </c>
      <c r="M497" s="1">
        <f ca="1">financials[[#This Row],[Sales]]-financials[[#This Row],[COGS]]</f>
        <v>1977.7999999999993</v>
      </c>
      <c r="N497" s="7">
        <f t="shared" ca="1" si="15"/>
        <v>45646</v>
      </c>
      <c r="O497" s="8">
        <f ca="1">MONTH(financials[[#This Row],[Date]])</f>
        <v>12</v>
      </c>
      <c r="P497" s="6" t="str">
        <f ca="1">TEXT(financials[[#This Row],[Date]],"MMM")</f>
        <v>Dec</v>
      </c>
      <c r="Q497">
        <f ca="1">YEAR(financials[[#This Row],[Date]])</f>
        <v>2024</v>
      </c>
      <c r="S497" s="10"/>
    </row>
    <row r="498" spans="1:19" x14ac:dyDescent="0.3">
      <c r="A498" t="s">
        <v>25</v>
      </c>
      <c r="B498" t="s">
        <v>22</v>
      </c>
      <c r="C498" s="6" t="s">
        <v>28</v>
      </c>
      <c r="D498" s="6" t="str">
        <f>CONCATENATE(financials[[#This Row],[Segment]],",",financials[[#This Row],[Country]],",",financials[[#This Row],[Product]])</f>
        <v>Channel Partners,France,Paseo</v>
      </c>
      <c r="E498" s="6" t="s">
        <v>34</v>
      </c>
      <c r="F498">
        <f t="shared" ca="1" si="14"/>
        <v>338</v>
      </c>
      <c r="G498" s="1">
        <f ca="1">VLOOKUP(financials[[#This Row],[ID]],Prices!D:F,2,FALSE)</f>
        <v>14</v>
      </c>
      <c r="H498" s="1">
        <f ca="1">VLOOKUP(financials[[#This Row],[ID]],Prices!D:F,3,FALSE)</f>
        <v>30</v>
      </c>
      <c r="I498" s="1">
        <f ca="1">financials[[#This Row],[Units Sold]]*financials[[#This Row],[Sale Price]]</f>
        <v>10140</v>
      </c>
      <c r="J4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507</v>
      </c>
      <c r="K498" s="1">
        <f ca="1">financials[[#This Row],[Gross Sales]]-financials[[#This Row],[Discounts]]</f>
        <v>9633</v>
      </c>
      <c r="L498" s="1">
        <f ca="1">financials[[#This Row],[Units Sold]]*financials[[#This Row],[Manufacturing Price]]</f>
        <v>4732</v>
      </c>
      <c r="M498" s="1">
        <f ca="1">financials[[#This Row],[Sales]]-financials[[#This Row],[COGS]]</f>
        <v>4901</v>
      </c>
      <c r="N498" s="7">
        <f t="shared" ca="1" si="15"/>
        <v>45361</v>
      </c>
      <c r="O498" s="8">
        <f ca="1">MONTH(financials[[#This Row],[Date]])</f>
        <v>3</v>
      </c>
      <c r="P498" s="6" t="str">
        <f ca="1">TEXT(financials[[#This Row],[Date]],"MMM")</f>
        <v>Mar</v>
      </c>
      <c r="Q498">
        <f ca="1">YEAR(financials[[#This Row],[Date]])</f>
        <v>2024</v>
      </c>
      <c r="S498" s="10"/>
    </row>
    <row r="499" spans="1:19" x14ac:dyDescent="0.3">
      <c r="A499" t="s">
        <v>21</v>
      </c>
      <c r="B499" t="s">
        <v>17</v>
      </c>
      <c r="C499" s="6" t="s">
        <v>29</v>
      </c>
      <c r="D499" s="6" t="str">
        <f>CONCATENATE(financials[[#This Row],[Segment]],",",financials[[#This Row],[Country]],",",financials[[#This Row],[Product]])</f>
        <v>Midmarket,Canada,Velo</v>
      </c>
      <c r="E499" s="6" t="s">
        <v>34</v>
      </c>
      <c r="F499">
        <f t="shared" ca="1" si="14"/>
        <v>299</v>
      </c>
      <c r="G499" s="1">
        <f ca="1">VLOOKUP(financials[[#This Row],[ID]],Prices!D:F,2,FALSE)</f>
        <v>20</v>
      </c>
      <c r="H499" s="1">
        <f ca="1">VLOOKUP(financials[[#This Row],[ID]],Prices!D:F,3,FALSE)</f>
        <v>23</v>
      </c>
      <c r="I499" s="1">
        <f ca="1">financials[[#This Row],[Units Sold]]*financials[[#This Row],[Sale Price]]</f>
        <v>6877</v>
      </c>
      <c r="J4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343.85</v>
      </c>
      <c r="K499" s="1">
        <f ca="1">financials[[#This Row],[Gross Sales]]-financials[[#This Row],[Discounts]]</f>
        <v>6533.15</v>
      </c>
      <c r="L499" s="1">
        <f ca="1">financials[[#This Row],[Units Sold]]*financials[[#This Row],[Manufacturing Price]]</f>
        <v>5980</v>
      </c>
      <c r="M499" s="1">
        <f ca="1">financials[[#This Row],[Sales]]-financials[[#This Row],[COGS]]</f>
        <v>553.14999999999964</v>
      </c>
      <c r="N499" s="7">
        <f t="shared" ca="1" si="15"/>
        <v>45093</v>
      </c>
      <c r="O499" s="8">
        <f ca="1">MONTH(financials[[#This Row],[Date]])</f>
        <v>6</v>
      </c>
      <c r="P499" s="6" t="str">
        <f ca="1">TEXT(financials[[#This Row],[Date]],"MMM")</f>
        <v>Jun</v>
      </c>
      <c r="Q499">
        <f ca="1">YEAR(financials[[#This Row],[Date]])</f>
        <v>2023</v>
      </c>
      <c r="S499" s="10"/>
    </row>
    <row r="500" spans="1:19" x14ac:dyDescent="0.3">
      <c r="A500" t="s">
        <v>25</v>
      </c>
      <c r="B500" t="s">
        <v>20</v>
      </c>
      <c r="C500" s="6" t="s">
        <v>29</v>
      </c>
      <c r="D500" s="6" t="str">
        <f>CONCATENATE(financials[[#This Row],[Segment]],",",financials[[#This Row],[Country]],",",financials[[#This Row],[Product]])</f>
        <v>Channel Partners,Germany,Velo</v>
      </c>
      <c r="E500" s="6" t="s">
        <v>34</v>
      </c>
      <c r="F500">
        <f t="shared" ca="1" si="14"/>
        <v>377</v>
      </c>
      <c r="G500" s="1">
        <f ca="1">VLOOKUP(financials[[#This Row],[ID]],Prices!D:F,2,FALSE)</f>
        <v>17</v>
      </c>
      <c r="H500" s="1">
        <f ca="1">VLOOKUP(financials[[#This Row],[ID]],Prices!D:F,3,FALSE)</f>
        <v>23</v>
      </c>
      <c r="I500" s="1">
        <f ca="1">financials[[#This Row],[Units Sold]]*financials[[#This Row],[Sale Price]]</f>
        <v>8671</v>
      </c>
      <c r="J5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433.55</v>
      </c>
      <c r="K500" s="1">
        <f ca="1">financials[[#This Row],[Gross Sales]]-financials[[#This Row],[Discounts]]</f>
        <v>8237.4500000000007</v>
      </c>
      <c r="L500" s="1">
        <f ca="1">financials[[#This Row],[Units Sold]]*financials[[#This Row],[Manufacturing Price]]</f>
        <v>6409</v>
      </c>
      <c r="M500" s="1">
        <f ca="1">financials[[#This Row],[Sales]]-financials[[#This Row],[COGS]]</f>
        <v>1828.4500000000007</v>
      </c>
      <c r="N500" s="7">
        <f t="shared" ca="1" si="15"/>
        <v>45102</v>
      </c>
      <c r="O500" s="8">
        <f ca="1">MONTH(financials[[#This Row],[Date]])</f>
        <v>6</v>
      </c>
      <c r="P500" s="6" t="str">
        <f ca="1">TEXT(financials[[#This Row],[Date]],"MMM")</f>
        <v>Jun</v>
      </c>
      <c r="Q500">
        <f ca="1">YEAR(financials[[#This Row],[Date]])</f>
        <v>2023</v>
      </c>
      <c r="S500" s="10"/>
    </row>
    <row r="501" spans="1:19" x14ac:dyDescent="0.3">
      <c r="A501" t="s">
        <v>16</v>
      </c>
      <c r="B501" t="s">
        <v>36</v>
      </c>
      <c r="C501" s="6" t="s">
        <v>30</v>
      </c>
      <c r="D501" s="6" t="str">
        <f>CONCATENATE(financials[[#This Row],[Segment]],",",financials[[#This Row],[Country]],",",financials[[#This Row],[Product]])</f>
        <v>Government,USA,VTT</v>
      </c>
      <c r="E501" s="6" t="s">
        <v>34</v>
      </c>
      <c r="F501">
        <f t="shared" ca="1" si="14"/>
        <v>365</v>
      </c>
      <c r="G501" s="1">
        <f ca="1">VLOOKUP(financials[[#This Row],[ID]],Prices!D:F,2,FALSE)</f>
        <v>13</v>
      </c>
      <c r="H501" s="1">
        <f ca="1">VLOOKUP(financials[[#This Row],[ID]],Prices!D:F,3,FALSE)</f>
        <v>31</v>
      </c>
      <c r="I501" s="1">
        <f ca="1">financials[[#This Row],[Units Sold]]*financials[[#This Row],[Sale Price]]</f>
        <v>11315</v>
      </c>
      <c r="J5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565.75</v>
      </c>
      <c r="K501" s="1">
        <f ca="1">financials[[#This Row],[Gross Sales]]-financials[[#This Row],[Discounts]]</f>
        <v>10749.25</v>
      </c>
      <c r="L501" s="1">
        <f ca="1">financials[[#This Row],[Units Sold]]*financials[[#This Row],[Manufacturing Price]]</f>
        <v>4745</v>
      </c>
      <c r="M501" s="1">
        <f ca="1">financials[[#This Row],[Sales]]-financials[[#This Row],[COGS]]</f>
        <v>6004.25</v>
      </c>
      <c r="N501" s="7">
        <f t="shared" ca="1" si="15"/>
        <v>45613</v>
      </c>
      <c r="O501" s="8">
        <f ca="1">MONTH(financials[[#This Row],[Date]])</f>
        <v>11</v>
      </c>
      <c r="P501" s="6" t="str">
        <f ca="1">TEXT(financials[[#This Row],[Date]],"MMM")</f>
        <v>Nov</v>
      </c>
      <c r="Q501">
        <f ca="1">YEAR(financials[[#This Row],[Date]])</f>
        <v>2024</v>
      </c>
      <c r="S501" s="10"/>
    </row>
    <row r="502" spans="1:19" x14ac:dyDescent="0.3">
      <c r="A502" t="s">
        <v>25</v>
      </c>
      <c r="B502" t="s">
        <v>23</v>
      </c>
      <c r="C502" s="6" t="s">
        <v>30</v>
      </c>
      <c r="D502" s="6" t="str">
        <f>CONCATENATE(financials[[#This Row],[Segment]],",",financials[[#This Row],[Country]],",",financials[[#This Row],[Product]])</f>
        <v>Channel Partners,Mexico,VTT</v>
      </c>
      <c r="E502" s="6" t="s">
        <v>34</v>
      </c>
      <c r="F502">
        <f t="shared" ca="1" si="14"/>
        <v>311</v>
      </c>
      <c r="G502" s="1">
        <f ca="1">VLOOKUP(financials[[#This Row],[ID]],Prices!D:F,2,FALSE)</f>
        <v>12</v>
      </c>
      <c r="H502" s="1">
        <f ca="1">VLOOKUP(financials[[#This Row],[ID]],Prices!D:F,3,FALSE)</f>
        <v>38</v>
      </c>
      <c r="I502" s="1">
        <f ca="1">financials[[#This Row],[Units Sold]]*financials[[#This Row],[Sale Price]]</f>
        <v>11818</v>
      </c>
      <c r="J5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590.9</v>
      </c>
      <c r="K502" s="1">
        <f ca="1">financials[[#This Row],[Gross Sales]]-financials[[#This Row],[Discounts]]</f>
        <v>11227.1</v>
      </c>
      <c r="L502" s="1">
        <f ca="1">financials[[#This Row],[Units Sold]]*financials[[#This Row],[Manufacturing Price]]</f>
        <v>3732</v>
      </c>
      <c r="M502" s="1">
        <f ca="1">financials[[#This Row],[Sales]]-financials[[#This Row],[COGS]]</f>
        <v>7495.1</v>
      </c>
      <c r="N502" s="7">
        <f t="shared" ca="1" si="15"/>
        <v>45281</v>
      </c>
      <c r="O502" s="8">
        <f ca="1">MONTH(financials[[#This Row],[Date]])</f>
        <v>12</v>
      </c>
      <c r="P502" s="6" t="str">
        <f ca="1">TEXT(financials[[#This Row],[Date]],"MMM")</f>
        <v>Dec</v>
      </c>
      <c r="Q502">
        <f ca="1">YEAR(financials[[#This Row],[Date]])</f>
        <v>2023</v>
      </c>
      <c r="S502" s="10"/>
    </row>
    <row r="503" spans="1:19" x14ac:dyDescent="0.3">
      <c r="A503" t="s">
        <v>21</v>
      </c>
      <c r="B503" t="s">
        <v>36</v>
      </c>
      <c r="C503" s="6" t="s">
        <v>31</v>
      </c>
      <c r="D503" s="6" t="str">
        <f>CONCATENATE(financials[[#This Row],[Segment]],",",financials[[#This Row],[Country]],",",financials[[#This Row],[Product]])</f>
        <v>Midmarket,USA,Amarilla</v>
      </c>
      <c r="E503" s="6" t="s">
        <v>34</v>
      </c>
      <c r="F503">
        <f t="shared" ca="1" si="14"/>
        <v>272</v>
      </c>
      <c r="G503" s="1">
        <f ca="1">VLOOKUP(financials[[#This Row],[ID]],Prices!D:F,2,FALSE)</f>
        <v>12</v>
      </c>
      <c r="H503" s="1">
        <f ca="1">VLOOKUP(financials[[#This Row],[ID]],Prices!D:F,3,FALSE)</f>
        <v>21</v>
      </c>
      <c r="I503" s="1">
        <f ca="1">financials[[#This Row],[Units Sold]]*financials[[#This Row],[Sale Price]]</f>
        <v>5712</v>
      </c>
      <c r="J5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285.60000000000002</v>
      </c>
      <c r="K503" s="1">
        <f ca="1">financials[[#This Row],[Gross Sales]]-financials[[#This Row],[Discounts]]</f>
        <v>5426.4</v>
      </c>
      <c r="L503" s="1">
        <f ca="1">financials[[#This Row],[Units Sold]]*financials[[#This Row],[Manufacturing Price]]</f>
        <v>3264</v>
      </c>
      <c r="M503" s="1">
        <f ca="1">financials[[#This Row],[Sales]]-financials[[#This Row],[COGS]]</f>
        <v>2162.3999999999996</v>
      </c>
      <c r="N503" s="7">
        <f t="shared" ca="1" si="15"/>
        <v>45336</v>
      </c>
      <c r="O503" s="8">
        <f ca="1">MONTH(financials[[#This Row],[Date]])</f>
        <v>2</v>
      </c>
      <c r="P503" s="6" t="str">
        <f ca="1">TEXT(financials[[#This Row],[Date]],"MMM")</f>
        <v>Feb</v>
      </c>
      <c r="Q503">
        <f ca="1">YEAR(financials[[#This Row],[Date]])</f>
        <v>2024</v>
      </c>
      <c r="S503" s="10"/>
    </row>
    <row r="504" spans="1:19" x14ac:dyDescent="0.3">
      <c r="A504" t="s">
        <v>25</v>
      </c>
      <c r="B504" t="s">
        <v>20</v>
      </c>
      <c r="C504" s="6" t="s">
        <v>31</v>
      </c>
      <c r="D504" s="6" t="str">
        <f>CONCATENATE(financials[[#This Row],[Segment]],",",financials[[#This Row],[Country]],",",financials[[#This Row],[Product]])</f>
        <v>Channel Partners,Germany,Amarilla</v>
      </c>
      <c r="E504" s="6" t="s">
        <v>34</v>
      </c>
      <c r="F504">
        <f t="shared" ca="1" si="14"/>
        <v>499</v>
      </c>
      <c r="G504" s="1">
        <f ca="1">VLOOKUP(financials[[#This Row],[ID]],Prices!D:F,2,FALSE)</f>
        <v>15</v>
      </c>
      <c r="H504" s="1">
        <f ca="1">VLOOKUP(financials[[#This Row],[ID]],Prices!D:F,3,FALSE)</f>
        <v>22</v>
      </c>
      <c r="I504" s="1">
        <f ca="1">financials[[#This Row],[Units Sold]]*financials[[#This Row],[Sale Price]]</f>
        <v>10978</v>
      </c>
      <c r="J5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548.9</v>
      </c>
      <c r="K504" s="1">
        <f ca="1">financials[[#This Row],[Gross Sales]]-financials[[#This Row],[Discounts]]</f>
        <v>10429.1</v>
      </c>
      <c r="L504" s="1">
        <f ca="1">financials[[#This Row],[Units Sold]]*financials[[#This Row],[Manufacturing Price]]</f>
        <v>7485</v>
      </c>
      <c r="M504" s="1">
        <f ca="1">financials[[#This Row],[Sales]]-financials[[#This Row],[COGS]]</f>
        <v>2944.1000000000004</v>
      </c>
      <c r="N504" s="7">
        <f t="shared" ca="1" si="15"/>
        <v>45504</v>
      </c>
      <c r="O504" s="8">
        <f ca="1">MONTH(financials[[#This Row],[Date]])</f>
        <v>7</v>
      </c>
      <c r="P504" s="6" t="str">
        <f ca="1">TEXT(financials[[#This Row],[Date]],"MMM")</f>
        <v>Jul</v>
      </c>
      <c r="Q504">
        <f ca="1">YEAR(financials[[#This Row],[Date]])</f>
        <v>2024</v>
      </c>
      <c r="S504" s="10"/>
    </row>
    <row r="505" spans="1:19" x14ac:dyDescent="0.3">
      <c r="A505" t="s">
        <v>25</v>
      </c>
      <c r="B505" t="s">
        <v>17</v>
      </c>
      <c r="C505" s="6" t="s">
        <v>18</v>
      </c>
      <c r="D505" s="6" t="str">
        <f>CONCATENATE(financials[[#This Row],[Segment]],",",financials[[#This Row],[Country]],",",financials[[#This Row],[Product]])</f>
        <v>Channel Partners,Canada,Carretera</v>
      </c>
      <c r="E505" s="6" t="s">
        <v>34</v>
      </c>
      <c r="F505">
        <f t="shared" ca="1" si="14"/>
        <v>883</v>
      </c>
      <c r="G505" s="1">
        <f ca="1">VLOOKUP(financials[[#This Row],[ID]],Prices!D:F,2,FALSE)</f>
        <v>17</v>
      </c>
      <c r="H505" s="1">
        <f ca="1">VLOOKUP(financials[[#This Row],[ID]],Prices!D:F,3,FALSE)</f>
        <v>24</v>
      </c>
      <c r="I505" s="1">
        <f ca="1">financials[[#This Row],[Units Sold]]*financials[[#This Row],[Sale Price]]</f>
        <v>21192</v>
      </c>
      <c r="J5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1059.6000000000001</v>
      </c>
      <c r="K505" s="1">
        <f ca="1">financials[[#This Row],[Gross Sales]]-financials[[#This Row],[Discounts]]</f>
        <v>20132.400000000001</v>
      </c>
      <c r="L505" s="1">
        <f ca="1">financials[[#This Row],[Units Sold]]*financials[[#This Row],[Manufacturing Price]]</f>
        <v>15011</v>
      </c>
      <c r="M505" s="1">
        <f ca="1">financials[[#This Row],[Sales]]-financials[[#This Row],[COGS]]</f>
        <v>5121.4000000000015</v>
      </c>
      <c r="N505" s="7">
        <f t="shared" ca="1" si="15"/>
        <v>45393</v>
      </c>
      <c r="O505" s="8">
        <f ca="1">MONTH(financials[[#This Row],[Date]])</f>
        <v>4</v>
      </c>
      <c r="P505" s="6" t="str">
        <f ca="1">TEXT(financials[[#This Row],[Date]],"MMM")</f>
        <v>Apr</v>
      </c>
      <c r="Q505">
        <f ca="1">YEAR(financials[[#This Row],[Date]])</f>
        <v>2024</v>
      </c>
      <c r="S505" s="10"/>
    </row>
    <row r="506" spans="1:19" x14ac:dyDescent="0.3">
      <c r="A506" t="s">
        <v>16</v>
      </c>
      <c r="B506" t="s">
        <v>20</v>
      </c>
      <c r="C506" s="6" t="s">
        <v>18</v>
      </c>
      <c r="D506" s="6" t="str">
        <f>CONCATENATE(financials[[#This Row],[Segment]],",",financials[[#This Row],[Country]],",",financials[[#This Row],[Product]])</f>
        <v>Government,Germany,Carretera</v>
      </c>
      <c r="E506" s="6" t="s">
        <v>34</v>
      </c>
      <c r="F506">
        <f t="shared" ca="1" si="14"/>
        <v>110</v>
      </c>
      <c r="G506" s="1">
        <f ca="1">VLOOKUP(financials[[#This Row],[ID]],Prices!D:F,2,FALSE)</f>
        <v>13</v>
      </c>
      <c r="H506" s="1">
        <f ca="1">VLOOKUP(financials[[#This Row],[ID]],Prices!D:F,3,FALSE)</f>
        <v>22</v>
      </c>
      <c r="I506" s="1">
        <f ca="1">financials[[#This Row],[Units Sold]]*financials[[#This Row],[Sale Price]]</f>
        <v>2420</v>
      </c>
      <c r="J5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121</v>
      </c>
      <c r="K506" s="1">
        <f ca="1">financials[[#This Row],[Gross Sales]]-financials[[#This Row],[Discounts]]</f>
        <v>2299</v>
      </c>
      <c r="L506" s="1">
        <f ca="1">financials[[#This Row],[Units Sold]]*financials[[#This Row],[Manufacturing Price]]</f>
        <v>1430</v>
      </c>
      <c r="M506" s="1">
        <f ca="1">financials[[#This Row],[Sales]]-financials[[#This Row],[COGS]]</f>
        <v>869</v>
      </c>
      <c r="N506" s="7">
        <f t="shared" ca="1" si="15"/>
        <v>45497</v>
      </c>
      <c r="O506" s="8">
        <f ca="1">MONTH(financials[[#This Row],[Date]])</f>
        <v>7</v>
      </c>
      <c r="P506" s="6" t="str">
        <f ca="1">TEXT(financials[[#This Row],[Date]],"MMM")</f>
        <v>Jul</v>
      </c>
      <c r="Q506">
        <f ca="1">YEAR(financials[[#This Row],[Date]])</f>
        <v>2024</v>
      </c>
      <c r="S506" s="10"/>
    </row>
    <row r="507" spans="1:19" x14ac:dyDescent="0.3">
      <c r="A507" t="s">
        <v>27</v>
      </c>
      <c r="B507" t="s">
        <v>20</v>
      </c>
      <c r="C507" s="6" t="s">
        <v>18</v>
      </c>
      <c r="D507" s="6" t="str">
        <f>CONCATENATE(financials[[#This Row],[Segment]],",",financials[[#This Row],[Country]],",",financials[[#This Row],[Product]])</f>
        <v>Small Business,Germany,Carretera</v>
      </c>
      <c r="E507" s="6" t="s">
        <v>34</v>
      </c>
      <c r="F507">
        <f t="shared" ca="1" si="14"/>
        <v>134</v>
      </c>
      <c r="G507" s="1">
        <f ca="1">VLOOKUP(financials[[#This Row],[ID]],Prices!D:F,2,FALSE)</f>
        <v>20</v>
      </c>
      <c r="H507" s="1">
        <f ca="1">VLOOKUP(financials[[#This Row],[ID]],Prices!D:F,3,FALSE)</f>
        <v>30</v>
      </c>
      <c r="I507" s="1">
        <f ca="1">financials[[#This Row],[Units Sold]]*financials[[#This Row],[Sale Price]]</f>
        <v>4020</v>
      </c>
      <c r="J5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201</v>
      </c>
      <c r="K507" s="1">
        <f ca="1">financials[[#This Row],[Gross Sales]]-financials[[#This Row],[Discounts]]</f>
        <v>3819</v>
      </c>
      <c r="L507" s="1">
        <f ca="1">financials[[#This Row],[Units Sold]]*financials[[#This Row],[Manufacturing Price]]</f>
        <v>2680</v>
      </c>
      <c r="M507" s="1">
        <f ca="1">financials[[#This Row],[Sales]]-financials[[#This Row],[COGS]]</f>
        <v>1139</v>
      </c>
      <c r="N507" s="7">
        <f t="shared" ca="1" si="15"/>
        <v>45568</v>
      </c>
      <c r="O507" s="8">
        <f ca="1">MONTH(financials[[#This Row],[Date]])</f>
        <v>10</v>
      </c>
      <c r="P507" s="6" t="str">
        <f ca="1">TEXT(financials[[#This Row],[Date]],"MMM")</f>
        <v>Oct</v>
      </c>
      <c r="Q507">
        <f ca="1">YEAR(financials[[#This Row],[Date]])</f>
        <v>2024</v>
      </c>
      <c r="S507" s="10"/>
    </row>
    <row r="508" spans="1:19" x14ac:dyDescent="0.3">
      <c r="A508" t="s">
        <v>26</v>
      </c>
      <c r="B508" t="s">
        <v>22</v>
      </c>
      <c r="C508" s="6" t="s">
        <v>18</v>
      </c>
      <c r="D508" s="6" t="str">
        <f>CONCATENATE(financials[[#This Row],[Segment]],",",financials[[#This Row],[Country]],",",financials[[#This Row],[Product]])</f>
        <v>Enterprise,France,Carretera</v>
      </c>
      <c r="E508" s="6" t="s">
        <v>34</v>
      </c>
      <c r="F508">
        <f t="shared" ca="1" si="14"/>
        <v>187</v>
      </c>
      <c r="G508" s="1">
        <f ca="1">VLOOKUP(financials[[#This Row],[ID]],Prices!D:F,2,FALSE)</f>
        <v>12</v>
      </c>
      <c r="H508" s="1">
        <f ca="1">VLOOKUP(financials[[#This Row],[ID]],Prices!D:F,3,FALSE)</f>
        <v>35</v>
      </c>
      <c r="I508" s="1">
        <f ca="1">financials[[#This Row],[Units Sold]]*financials[[#This Row],[Sale Price]]</f>
        <v>6545</v>
      </c>
      <c r="J5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327.25</v>
      </c>
      <c r="K508" s="1">
        <f ca="1">financials[[#This Row],[Gross Sales]]-financials[[#This Row],[Discounts]]</f>
        <v>6217.75</v>
      </c>
      <c r="L508" s="1">
        <f ca="1">financials[[#This Row],[Units Sold]]*financials[[#This Row],[Manufacturing Price]]</f>
        <v>2244</v>
      </c>
      <c r="M508" s="1">
        <f ca="1">financials[[#This Row],[Sales]]-financials[[#This Row],[COGS]]</f>
        <v>3973.75</v>
      </c>
      <c r="N508" s="7">
        <f t="shared" ca="1" si="15"/>
        <v>45139</v>
      </c>
      <c r="O508" s="8">
        <f ca="1">MONTH(financials[[#This Row],[Date]])</f>
        <v>8</v>
      </c>
      <c r="P508" s="6" t="str">
        <f ca="1">TEXT(financials[[#This Row],[Date]],"MMM")</f>
        <v>Aug</v>
      </c>
      <c r="Q508">
        <f ca="1">YEAR(financials[[#This Row],[Date]])</f>
        <v>2023</v>
      </c>
      <c r="S508" s="10"/>
    </row>
    <row r="509" spans="1:19" x14ac:dyDescent="0.3">
      <c r="A509" t="s">
        <v>21</v>
      </c>
      <c r="B509" t="s">
        <v>17</v>
      </c>
      <c r="C509" s="6" t="s">
        <v>18</v>
      </c>
      <c r="D509" s="6" t="str">
        <f>CONCATENATE(financials[[#This Row],[Segment]],",",financials[[#This Row],[Country]],",",financials[[#This Row],[Product]])</f>
        <v>Midmarket,Canada,Carretera</v>
      </c>
      <c r="E509" s="6" t="s">
        <v>34</v>
      </c>
      <c r="F509">
        <f t="shared" ca="1" si="14"/>
        <v>774</v>
      </c>
      <c r="G509" s="1">
        <f ca="1">VLOOKUP(financials[[#This Row],[ID]],Prices!D:F,2,FALSE)</f>
        <v>10</v>
      </c>
      <c r="H509" s="1">
        <f ca="1">VLOOKUP(financials[[#This Row],[ID]],Prices!D:F,3,FALSE)</f>
        <v>29</v>
      </c>
      <c r="I509" s="1">
        <f ca="1">financials[[#This Row],[Units Sold]]*financials[[#This Row],[Sale Price]]</f>
        <v>22446</v>
      </c>
      <c r="J5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1122.3</v>
      </c>
      <c r="K509" s="1">
        <f ca="1">financials[[#This Row],[Gross Sales]]-financials[[#This Row],[Discounts]]</f>
        <v>21323.7</v>
      </c>
      <c r="L509" s="1">
        <f ca="1">financials[[#This Row],[Units Sold]]*financials[[#This Row],[Manufacturing Price]]</f>
        <v>7740</v>
      </c>
      <c r="M509" s="1">
        <f ca="1">financials[[#This Row],[Sales]]-financials[[#This Row],[COGS]]</f>
        <v>13583.7</v>
      </c>
      <c r="N509" s="7">
        <f t="shared" ca="1" si="15"/>
        <v>45296</v>
      </c>
      <c r="O509" s="8">
        <f ca="1">MONTH(financials[[#This Row],[Date]])</f>
        <v>1</v>
      </c>
      <c r="P509" s="6" t="str">
        <f ca="1">TEXT(financials[[#This Row],[Date]],"MMM")</f>
        <v>Jan</v>
      </c>
      <c r="Q509">
        <f ca="1">YEAR(financials[[#This Row],[Date]])</f>
        <v>2024</v>
      </c>
      <c r="S509" s="10"/>
    </row>
    <row r="510" spans="1:19" x14ac:dyDescent="0.3">
      <c r="A510" t="s">
        <v>16</v>
      </c>
      <c r="B510" t="s">
        <v>23</v>
      </c>
      <c r="C510" s="6" t="s">
        <v>18</v>
      </c>
      <c r="D510" s="6" t="str">
        <f>CONCATENATE(financials[[#This Row],[Segment]],",",financials[[#This Row],[Country]],",",financials[[#This Row],[Product]])</f>
        <v>Government,Mexico,Carretera</v>
      </c>
      <c r="E510" s="6" t="s">
        <v>34</v>
      </c>
      <c r="F510">
        <f t="shared" ca="1" si="14"/>
        <v>107</v>
      </c>
      <c r="G510" s="1">
        <f ca="1">VLOOKUP(financials[[#This Row],[ID]],Prices!D:F,2,FALSE)</f>
        <v>16</v>
      </c>
      <c r="H510" s="1">
        <f ca="1">VLOOKUP(financials[[#This Row],[ID]],Prices!D:F,3,FALSE)</f>
        <v>31</v>
      </c>
      <c r="I510" s="1">
        <f ca="1">financials[[#This Row],[Units Sold]]*financials[[#This Row],[Sale Price]]</f>
        <v>3317</v>
      </c>
      <c r="J5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165.85000000000002</v>
      </c>
      <c r="K510" s="1">
        <f ca="1">financials[[#This Row],[Gross Sales]]-financials[[#This Row],[Discounts]]</f>
        <v>3151.15</v>
      </c>
      <c r="L510" s="1">
        <f ca="1">financials[[#This Row],[Units Sold]]*financials[[#This Row],[Manufacturing Price]]</f>
        <v>1712</v>
      </c>
      <c r="M510" s="1">
        <f ca="1">financials[[#This Row],[Sales]]-financials[[#This Row],[COGS]]</f>
        <v>1439.15</v>
      </c>
      <c r="N510" s="7">
        <f t="shared" ca="1" si="15"/>
        <v>45125</v>
      </c>
      <c r="O510" s="8">
        <f ca="1">MONTH(financials[[#This Row],[Date]])</f>
        <v>7</v>
      </c>
      <c r="P510" s="6" t="str">
        <f ca="1">TEXT(financials[[#This Row],[Date]],"MMM")</f>
        <v>Jul</v>
      </c>
      <c r="Q510">
        <f ca="1">YEAR(financials[[#This Row],[Date]])</f>
        <v>2023</v>
      </c>
      <c r="S510" s="10"/>
    </row>
    <row r="511" spans="1:19" x14ac:dyDescent="0.3">
      <c r="A511" t="s">
        <v>16</v>
      </c>
      <c r="B511" t="s">
        <v>20</v>
      </c>
      <c r="C511" s="6" t="s">
        <v>24</v>
      </c>
      <c r="D511" s="6" t="str">
        <f>CONCATENATE(financials[[#This Row],[Segment]],",",financials[[#This Row],[Country]],",",financials[[#This Row],[Product]])</f>
        <v>Government,Germany,Montana</v>
      </c>
      <c r="E511" s="6" t="s">
        <v>34</v>
      </c>
      <c r="F511">
        <f t="shared" ca="1" si="14"/>
        <v>296</v>
      </c>
      <c r="G511" s="1">
        <f ca="1">VLOOKUP(financials[[#This Row],[ID]],Prices!D:F,2,FALSE)</f>
        <v>20</v>
      </c>
      <c r="H511" s="1">
        <f ca="1">VLOOKUP(financials[[#This Row],[ID]],Prices!D:F,3,FALSE)</f>
        <v>27</v>
      </c>
      <c r="I511" s="1">
        <f ca="1">financials[[#This Row],[Units Sold]]*financials[[#This Row],[Sale Price]]</f>
        <v>7992</v>
      </c>
      <c r="J5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399.6</v>
      </c>
      <c r="K511" s="1">
        <f ca="1">financials[[#This Row],[Gross Sales]]-financials[[#This Row],[Discounts]]</f>
        <v>7592.4</v>
      </c>
      <c r="L511" s="1">
        <f ca="1">financials[[#This Row],[Units Sold]]*financials[[#This Row],[Manufacturing Price]]</f>
        <v>5920</v>
      </c>
      <c r="M511" s="1">
        <f ca="1">financials[[#This Row],[Sales]]-financials[[#This Row],[COGS]]</f>
        <v>1672.3999999999996</v>
      </c>
      <c r="N511" s="7">
        <f t="shared" ca="1" si="15"/>
        <v>45272</v>
      </c>
      <c r="O511" s="8">
        <f ca="1">MONTH(financials[[#This Row],[Date]])</f>
        <v>12</v>
      </c>
      <c r="P511" s="6" t="str">
        <f ca="1">TEXT(financials[[#This Row],[Date]],"MMM")</f>
        <v>Dec</v>
      </c>
      <c r="Q511">
        <f ca="1">YEAR(financials[[#This Row],[Date]])</f>
        <v>2023</v>
      </c>
      <c r="S511" s="10"/>
    </row>
    <row r="512" spans="1:19" x14ac:dyDescent="0.3">
      <c r="A512" t="s">
        <v>16</v>
      </c>
      <c r="B512" t="s">
        <v>20</v>
      </c>
      <c r="C512" s="6" t="s">
        <v>24</v>
      </c>
      <c r="D512" s="6" t="str">
        <f>CONCATENATE(financials[[#This Row],[Segment]],",",financials[[#This Row],[Country]],",",financials[[#This Row],[Product]])</f>
        <v>Government,Germany,Montana</v>
      </c>
      <c r="E512" s="6" t="s">
        <v>34</v>
      </c>
      <c r="F512">
        <f t="shared" ca="1" si="14"/>
        <v>225</v>
      </c>
      <c r="G512" s="1">
        <f ca="1">VLOOKUP(financials[[#This Row],[ID]],Prices!D:F,2,FALSE)</f>
        <v>20</v>
      </c>
      <c r="H512" s="1">
        <f ca="1">VLOOKUP(financials[[#This Row],[ID]],Prices!D:F,3,FALSE)</f>
        <v>27</v>
      </c>
      <c r="I512" s="1">
        <f ca="1">financials[[#This Row],[Units Sold]]*financials[[#This Row],[Sale Price]]</f>
        <v>6075</v>
      </c>
      <c r="J5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303.75</v>
      </c>
      <c r="K512" s="1">
        <f ca="1">financials[[#This Row],[Gross Sales]]-financials[[#This Row],[Discounts]]</f>
        <v>5771.25</v>
      </c>
      <c r="L512" s="1">
        <f ca="1">financials[[#This Row],[Units Sold]]*financials[[#This Row],[Manufacturing Price]]</f>
        <v>4500</v>
      </c>
      <c r="M512" s="1">
        <f ca="1">financials[[#This Row],[Sales]]-financials[[#This Row],[COGS]]</f>
        <v>1271.25</v>
      </c>
      <c r="N512" s="7">
        <f t="shared" ca="1" si="15"/>
        <v>45194</v>
      </c>
      <c r="O512" s="8">
        <f ca="1">MONTH(financials[[#This Row],[Date]])</f>
        <v>9</v>
      </c>
      <c r="P512" s="6" t="str">
        <f ca="1">TEXT(financials[[#This Row],[Date]],"MMM")</f>
        <v>Sep</v>
      </c>
      <c r="Q512">
        <f ca="1">YEAR(financials[[#This Row],[Date]])</f>
        <v>2023</v>
      </c>
      <c r="S512" s="10"/>
    </row>
    <row r="513" spans="1:19" x14ac:dyDescent="0.3">
      <c r="A513" t="s">
        <v>21</v>
      </c>
      <c r="B513" t="s">
        <v>23</v>
      </c>
      <c r="C513" s="6" t="s">
        <v>24</v>
      </c>
      <c r="D513" s="6" t="str">
        <f>CONCATENATE(financials[[#This Row],[Segment]],",",financials[[#This Row],[Country]],",",financials[[#This Row],[Product]])</f>
        <v>Midmarket,Mexico,Montana</v>
      </c>
      <c r="E513" s="6" t="s">
        <v>34</v>
      </c>
      <c r="F513">
        <f t="shared" ca="1" si="14"/>
        <v>221</v>
      </c>
      <c r="G513" s="1">
        <f ca="1">VLOOKUP(financials[[#This Row],[ID]],Prices!D:F,2,FALSE)</f>
        <v>19</v>
      </c>
      <c r="H513" s="1">
        <f ca="1">VLOOKUP(financials[[#This Row],[ID]],Prices!D:F,3,FALSE)</f>
        <v>17</v>
      </c>
      <c r="I513" s="1">
        <f ca="1">financials[[#This Row],[Units Sold]]*financials[[#This Row],[Sale Price]]</f>
        <v>3757</v>
      </c>
      <c r="J5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187.85000000000002</v>
      </c>
      <c r="K513" s="1">
        <f ca="1">financials[[#This Row],[Gross Sales]]-financials[[#This Row],[Discounts]]</f>
        <v>3569.15</v>
      </c>
      <c r="L513" s="1">
        <f ca="1">financials[[#This Row],[Units Sold]]*financials[[#This Row],[Manufacturing Price]]</f>
        <v>4199</v>
      </c>
      <c r="M513" s="1">
        <f ca="1">financials[[#This Row],[Sales]]-financials[[#This Row],[COGS]]</f>
        <v>-629.84999999999991</v>
      </c>
      <c r="N513" s="7">
        <f t="shared" ca="1" si="15"/>
        <v>45695</v>
      </c>
      <c r="O513" s="8">
        <f ca="1">MONTH(financials[[#This Row],[Date]])</f>
        <v>2</v>
      </c>
      <c r="P513" s="6" t="str">
        <f ca="1">TEXT(financials[[#This Row],[Date]],"MMM")</f>
        <v>Feb</v>
      </c>
      <c r="Q513">
        <f ca="1">YEAR(financials[[#This Row],[Date]])</f>
        <v>2025</v>
      </c>
      <c r="S513" s="10"/>
    </row>
    <row r="514" spans="1:19" x14ac:dyDescent="0.3">
      <c r="A514" t="s">
        <v>27</v>
      </c>
      <c r="B514" t="s">
        <v>17</v>
      </c>
      <c r="C514" s="6" t="s">
        <v>28</v>
      </c>
      <c r="D514" s="6" t="str">
        <f>CONCATENATE(financials[[#This Row],[Segment]],",",financials[[#This Row],[Country]],",",financials[[#This Row],[Product]])</f>
        <v>Small Business,Canada,Paseo</v>
      </c>
      <c r="E514" s="6" t="s">
        <v>34</v>
      </c>
      <c r="F514">
        <f t="shared" ca="1" si="14"/>
        <v>641</v>
      </c>
      <c r="G514" s="1">
        <f ca="1">VLOOKUP(financials[[#This Row],[ID]],Prices!D:F,2,FALSE)</f>
        <v>20</v>
      </c>
      <c r="H514" s="1">
        <f ca="1">VLOOKUP(financials[[#This Row],[ID]],Prices!D:F,3,FALSE)</f>
        <v>31</v>
      </c>
      <c r="I514" s="1">
        <f ca="1">financials[[#This Row],[Units Sold]]*financials[[#This Row],[Sale Price]]</f>
        <v>19871</v>
      </c>
      <c r="J5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993.55000000000007</v>
      </c>
      <c r="K514" s="1">
        <f ca="1">financials[[#This Row],[Gross Sales]]-financials[[#This Row],[Discounts]]</f>
        <v>18877.45</v>
      </c>
      <c r="L514" s="1">
        <f ca="1">financials[[#This Row],[Units Sold]]*financials[[#This Row],[Manufacturing Price]]</f>
        <v>12820</v>
      </c>
      <c r="M514" s="1">
        <f ca="1">financials[[#This Row],[Sales]]-financials[[#This Row],[COGS]]</f>
        <v>6057.4500000000007</v>
      </c>
      <c r="N514" s="7">
        <f t="shared" ca="1" si="15"/>
        <v>45060</v>
      </c>
      <c r="O514" s="8">
        <f ca="1">MONTH(financials[[#This Row],[Date]])</f>
        <v>5</v>
      </c>
      <c r="P514" s="6" t="str">
        <f ca="1">TEXT(financials[[#This Row],[Date]],"MMM")</f>
        <v>May</v>
      </c>
      <c r="Q514">
        <f ca="1">YEAR(financials[[#This Row],[Date]])</f>
        <v>2023</v>
      </c>
      <c r="S514" s="10"/>
    </row>
    <row r="515" spans="1:19" x14ac:dyDescent="0.3">
      <c r="A515" t="s">
        <v>16</v>
      </c>
      <c r="B515" t="s">
        <v>23</v>
      </c>
      <c r="C515" s="6" t="s">
        <v>28</v>
      </c>
      <c r="D515" s="6" t="str">
        <f>CONCATENATE(financials[[#This Row],[Segment]],",",financials[[#This Row],[Country]],",",financials[[#This Row],[Product]])</f>
        <v>Government,Mexico,Paseo</v>
      </c>
      <c r="E515" s="6" t="s">
        <v>34</v>
      </c>
      <c r="F515">
        <f t="shared" ref="F515:F578" ca="1" si="16">RANDBETWEEN(10,1000)</f>
        <v>500</v>
      </c>
      <c r="G515" s="1">
        <f ca="1">VLOOKUP(financials[[#This Row],[ID]],Prices!D:F,2,FALSE)</f>
        <v>18</v>
      </c>
      <c r="H515" s="1">
        <f ca="1">VLOOKUP(financials[[#This Row],[ID]],Prices!D:F,3,FALSE)</f>
        <v>19</v>
      </c>
      <c r="I515" s="1">
        <f ca="1">financials[[#This Row],[Units Sold]]*financials[[#This Row],[Sale Price]]</f>
        <v>9500</v>
      </c>
      <c r="J5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475</v>
      </c>
      <c r="K515" s="1">
        <f ca="1">financials[[#This Row],[Gross Sales]]-financials[[#This Row],[Discounts]]</f>
        <v>9025</v>
      </c>
      <c r="L515" s="1">
        <f ca="1">financials[[#This Row],[Units Sold]]*financials[[#This Row],[Manufacturing Price]]</f>
        <v>9000</v>
      </c>
      <c r="M515" s="1">
        <f ca="1">financials[[#This Row],[Sales]]-financials[[#This Row],[COGS]]</f>
        <v>25</v>
      </c>
      <c r="N515" s="7">
        <f t="shared" ref="N515:N578" ca="1" si="17">TODAY()-RANDBETWEEN(1,732)</f>
        <v>45708</v>
      </c>
      <c r="O515" s="8">
        <f ca="1">MONTH(financials[[#This Row],[Date]])</f>
        <v>2</v>
      </c>
      <c r="P515" s="6" t="str">
        <f ca="1">TEXT(financials[[#This Row],[Date]],"MMM")</f>
        <v>Feb</v>
      </c>
      <c r="Q515">
        <f ca="1">YEAR(financials[[#This Row],[Date]])</f>
        <v>2025</v>
      </c>
      <c r="S515" s="10"/>
    </row>
    <row r="516" spans="1:19" x14ac:dyDescent="0.3">
      <c r="A516" t="s">
        <v>16</v>
      </c>
      <c r="B516" t="s">
        <v>17</v>
      </c>
      <c r="C516" s="6" t="s">
        <v>28</v>
      </c>
      <c r="D516" s="6" t="str">
        <f>CONCATENATE(financials[[#This Row],[Segment]],",",financials[[#This Row],[Country]],",",financials[[#This Row],[Product]])</f>
        <v>Government,Canada,Paseo</v>
      </c>
      <c r="E516" s="6" t="s">
        <v>34</v>
      </c>
      <c r="F516">
        <f t="shared" ca="1" si="16"/>
        <v>130</v>
      </c>
      <c r="G516" s="1">
        <f ca="1">VLOOKUP(financials[[#This Row],[ID]],Prices!D:F,2,FALSE)</f>
        <v>10</v>
      </c>
      <c r="H516" s="1">
        <f ca="1">VLOOKUP(financials[[#This Row],[ID]],Prices!D:F,3,FALSE)</f>
        <v>23</v>
      </c>
      <c r="I516" s="1">
        <f ca="1">financials[[#This Row],[Units Sold]]*financials[[#This Row],[Sale Price]]</f>
        <v>2990</v>
      </c>
      <c r="J5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149.5</v>
      </c>
      <c r="K516" s="1">
        <f ca="1">financials[[#This Row],[Gross Sales]]-financials[[#This Row],[Discounts]]</f>
        <v>2840.5</v>
      </c>
      <c r="L516" s="1">
        <f ca="1">financials[[#This Row],[Units Sold]]*financials[[#This Row],[Manufacturing Price]]</f>
        <v>1300</v>
      </c>
      <c r="M516" s="1">
        <f ca="1">financials[[#This Row],[Sales]]-financials[[#This Row],[COGS]]</f>
        <v>1540.5</v>
      </c>
      <c r="N516" s="7">
        <f t="shared" ca="1" si="17"/>
        <v>45484</v>
      </c>
      <c r="O516" s="8">
        <f ca="1">MONTH(financials[[#This Row],[Date]])</f>
        <v>7</v>
      </c>
      <c r="P516" s="6" t="str">
        <f ca="1">TEXT(financials[[#This Row],[Date]],"MMM")</f>
        <v>Jul</v>
      </c>
      <c r="Q516">
        <f ca="1">YEAR(financials[[#This Row],[Date]])</f>
        <v>2024</v>
      </c>
      <c r="S516" s="10"/>
    </row>
    <row r="517" spans="1:19" x14ac:dyDescent="0.3">
      <c r="A517" t="s">
        <v>25</v>
      </c>
      <c r="B517" t="s">
        <v>17</v>
      </c>
      <c r="C517" s="6" t="s">
        <v>28</v>
      </c>
      <c r="D517" s="6" t="str">
        <f>CONCATENATE(financials[[#This Row],[Segment]],",",financials[[#This Row],[Country]],",",financials[[#This Row],[Product]])</f>
        <v>Channel Partners,Canada,Paseo</v>
      </c>
      <c r="E517" s="6" t="s">
        <v>34</v>
      </c>
      <c r="F517">
        <f t="shared" ca="1" si="16"/>
        <v>807</v>
      </c>
      <c r="G517" s="1">
        <f ca="1">VLOOKUP(financials[[#This Row],[ID]],Prices!D:F,2,FALSE)</f>
        <v>13</v>
      </c>
      <c r="H517" s="1">
        <f ca="1">VLOOKUP(financials[[#This Row],[ID]],Prices!D:F,3,FALSE)</f>
        <v>26</v>
      </c>
      <c r="I517" s="1">
        <f ca="1">financials[[#This Row],[Units Sold]]*financials[[#This Row],[Sale Price]]</f>
        <v>20982</v>
      </c>
      <c r="J5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1049.1000000000001</v>
      </c>
      <c r="K517" s="1">
        <f ca="1">financials[[#This Row],[Gross Sales]]-financials[[#This Row],[Discounts]]</f>
        <v>19932.900000000001</v>
      </c>
      <c r="L517" s="1">
        <f ca="1">financials[[#This Row],[Units Sold]]*financials[[#This Row],[Manufacturing Price]]</f>
        <v>10491</v>
      </c>
      <c r="M517" s="1">
        <f ca="1">financials[[#This Row],[Sales]]-financials[[#This Row],[COGS]]</f>
        <v>9441.9000000000015</v>
      </c>
      <c r="N517" s="7">
        <f t="shared" ca="1" si="17"/>
        <v>45161</v>
      </c>
      <c r="O517" s="8">
        <f ca="1">MONTH(financials[[#This Row],[Date]])</f>
        <v>8</v>
      </c>
      <c r="P517" s="6" t="str">
        <f ca="1">TEXT(financials[[#This Row],[Date]],"MMM")</f>
        <v>Aug</v>
      </c>
      <c r="Q517">
        <f ca="1">YEAR(financials[[#This Row],[Date]])</f>
        <v>2023</v>
      </c>
      <c r="S517" s="10"/>
    </row>
    <row r="518" spans="1:19" x14ac:dyDescent="0.3">
      <c r="A518" t="s">
        <v>25</v>
      </c>
      <c r="B518" t="s">
        <v>22</v>
      </c>
      <c r="C518" s="6" t="s">
        <v>28</v>
      </c>
      <c r="D518" s="6" t="str">
        <f>CONCATENATE(financials[[#This Row],[Segment]],",",financials[[#This Row],[Country]],",",financials[[#This Row],[Product]])</f>
        <v>Channel Partners,France,Paseo</v>
      </c>
      <c r="E518" s="6" t="s">
        <v>34</v>
      </c>
      <c r="F518">
        <f t="shared" ca="1" si="16"/>
        <v>406</v>
      </c>
      <c r="G518" s="1">
        <f ca="1">VLOOKUP(financials[[#This Row],[ID]],Prices!D:F,2,FALSE)</f>
        <v>14</v>
      </c>
      <c r="H518" s="1">
        <f ca="1">VLOOKUP(financials[[#This Row],[ID]],Prices!D:F,3,FALSE)</f>
        <v>30</v>
      </c>
      <c r="I518" s="1">
        <f ca="1">financials[[#This Row],[Units Sold]]*financials[[#This Row],[Sale Price]]</f>
        <v>12180</v>
      </c>
      <c r="J5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609</v>
      </c>
      <c r="K518" s="1">
        <f ca="1">financials[[#This Row],[Gross Sales]]-financials[[#This Row],[Discounts]]</f>
        <v>11571</v>
      </c>
      <c r="L518" s="1">
        <f ca="1">financials[[#This Row],[Units Sold]]*financials[[#This Row],[Manufacturing Price]]</f>
        <v>5684</v>
      </c>
      <c r="M518" s="1">
        <f ca="1">financials[[#This Row],[Sales]]-financials[[#This Row],[COGS]]</f>
        <v>5887</v>
      </c>
      <c r="N518" s="7">
        <f t="shared" ca="1" si="17"/>
        <v>45320</v>
      </c>
      <c r="O518" s="8">
        <f ca="1">MONTH(financials[[#This Row],[Date]])</f>
        <v>1</v>
      </c>
      <c r="P518" s="6" t="str">
        <f ca="1">TEXT(financials[[#This Row],[Date]],"MMM")</f>
        <v>Jan</v>
      </c>
      <c r="Q518">
        <f ca="1">YEAR(financials[[#This Row],[Date]])</f>
        <v>2024</v>
      </c>
      <c r="S518" s="10"/>
    </row>
    <row r="519" spans="1:19" x14ac:dyDescent="0.3">
      <c r="A519" t="s">
        <v>16</v>
      </c>
      <c r="B519" t="s">
        <v>17</v>
      </c>
      <c r="C519" s="6" t="s">
        <v>28</v>
      </c>
      <c r="D519" s="6" t="str">
        <f>CONCATENATE(financials[[#This Row],[Segment]],",",financials[[#This Row],[Country]],",",financials[[#This Row],[Product]])</f>
        <v>Government,Canada,Paseo</v>
      </c>
      <c r="E519" s="6" t="s">
        <v>34</v>
      </c>
      <c r="F519">
        <f t="shared" ca="1" si="16"/>
        <v>264</v>
      </c>
      <c r="G519" s="1">
        <f ca="1">VLOOKUP(financials[[#This Row],[ID]],Prices!D:F,2,FALSE)</f>
        <v>10</v>
      </c>
      <c r="H519" s="1">
        <f ca="1">VLOOKUP(financials[[#This Row],[ID]],Prices!D:F,3,FALSE)</f>
        <v>23</v>
      </c>
      <c r="I519" s="1">
        <f ca="1">financials[[#This Row],[Units Sold]]*financials[[#This Row],[Sale Price]]</f>
        <v>6072</v>
      </c>
      <c r="J5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303.60000000000002</v>
      </c>
      <c r="K519" s="1">
        <f ca="1">financials[[#This Row],[Gross Sales]]-financials[[#This Row],[Discounts]]</f>
        <v>5768.4</v>
      </c>
      <c r="L519" s="1">
        <f ca="1">financials[[#This Row],[Units Sold]]*financials[[#This Row],[Manufacturing Price]]</f>
        <v>2640</v>
      </c>
      <c r="M519" s="1">
        <f ca="1">financials[[#This Row],[Sales]]-financials[[#This Row],[COGS]]</f>
        <v>3128.3999999999996</v>
      </c>
      <c r="N519" s="7">
        <f t="shared" ca="1" si="17"/>
        <v>45590</v>
      </c>
      <c r="O519" s="8">
        <f ca="1">MONTH(financials[[#This Row],[Date]])</f>
        <v>10</v>
      </c>
      <c r="P519" s="6" t="str">
        <f ca="1">TEXT(financials[[#This Row],[Date]],"MMM")</f>
        <v>Oct</v>
      </c>
      <c r="Q519">
        <f ca="1">YEAR(financials[[#This Row],[Date]])</f>
        <v>2024</v>
      </c>
      <c r="S519" s="10"/>
    </row>
    <row r="520" spans="1:19" x14ac:dyDescent="0.3">
      <c r="A520" t="s">
        <v>21</v>
      </c>
      <c r="B520" t="s">
        <v>23</v>
      </c>
      <c r="C520" s="6" t="s">
        <v>28</v>
      </c>
      <c r="D520" s="6" t="str">
        <f>CONCATENATE(financials[[#This Row],[Segment]],",",financials[[#This Row],[Country]],",",financials[[#This Row],[Product]])</f>
        <v>Midmarket,Mexico,Paseo</v>
      </c>
      <c r="E520" s="6" t="s">
        <v>34</v>
      </c>
      <c r="F520">
        <f t="shared" ca="1" si="16"/>
        <v>811</v>
      </c>
      <c r="G520" s="1">
        <f ca="1">VLOOKUP(financials[[#This Row],[ID]],Prices!D:F,2,FALSE)</f>
        <v>11</v>
      </c>
      <c r="H520" s="1">
        <f ca="1">VLOOKUP(financials[[#This Row],[ID]],Prices!D:F,3,FALSE)</f>
        <v>21</v>
      </c>
      <c r="I520" s="1">
        <f ca="1">financials[[#This Row],[Units Sold]]*financials[[#This Row],[Sale Price]]</f>
        <v>17031</v>
      </c>
      <c r="J5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851.55000000000007</v>
      </c>
      <c r="K520" s="1">
        <f ca="1">financials[[#This Row],[Gross Sales]]-financials[[#This Row],[Discounts]]</f>
        <v>16179.45</v>
      </c>
      <c r="L520" s="1">
        <f ca="1">financials[[#This Row],[Units Sold]]*financials[[#This Row],[Manufacturing Price]]</f>
        <v>8921</v>
      </c>
      <c r="M520" s="1">
        <f ca="1">financials[[#This Row],[Sales]]-financials[[#This Row],[COGS]]</f>
        <v>7258.4500000000007</v>
      </c>
      <c r="N520" s="7">
        <f t="shared" ca="1" si="17"/>
        <v>45269</v>
      </c>
      <c r="O520" s="8">
        <f ca="1">MONTH(financials[[#This Row],[Date]])</f>
        <v>12</v>
      </c>
      <c r="P520" s="6" t="str">
        <f ca="1">TEXT(financials[[#This Row],[Date]],"MMM")</f>
        <v>Dec</v>
      </c>
      <c r="Q520">
        <f ca="1">YEAR(financials[[#This Row],[Date]])</f>
        <v>2023</v>
      </c>
      <c r="S520" s="10"/>
    </row>
    <row r="521" spans="1:19" x14ac:dyDescent="0.3">
      <c r="A521" t="s">
        <v>26</v>
      </c>
      <c r="B521" t="s">
        <v>22</v>
      </c>
      <c r="C521" s="6" t="s">
        <v>28</v>
      </c>
      <c r="D521" s="6" t="str">
        <f>CONCATENATE(financials[[#This Row],[Segment]],",",financials[[#This Row],[Country]],",",financials[[#This Row],[Product]])</f>
        <v>Enterprise,France,Paseo</v>
      </c>
      <c r="E521" s="6" t="s">
        <v>34</v>
      </c>
      <c r="F521">
        <f t="shared" ca="1" si="16"/>
        <v>195</v>
      </c>
      <c r="G521" s="1">
        <f ca="1">VLOOKUP(financials[[#This Row],[ID]],Prices!D:F,2,FALSE)</f>
        <v>11</v>
      </c>
      <c r="H521" s="1">
        <f ca="1">VLOOKUP(financials[[#This Row],[ID]],Prices!D:F,3,FALSE)</f>
        <v>21</v>
      </c>
      <c r="I521" s="1">
        <f ca="1">financials[[#This Row],[Units Sold]]*financials[[#This Row],[Sale Price]]</f>
        <v>4095</v>
      </c>
      <c r="J5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204.75</v>
      </c>
      <c r="K521" s="1">
        <f ca="1">financials[[#This Row],[Gross Sales]]-financials[[#This Row],[Discounts]]</f>
        <v>3890.25</v>
      </c>
      <c r="L521" s="1">
        <f ca="1">financials[[#This Row],[Units Sold]]*financials[[#This Row],[Manufacturing Price]]</f>
        <v>2145</v>
      </c>
      <c r="M521" s="1">
        <f ca="1">financials[[#This Row],[Sales]]-financials[[#This Row],[COGS]]</f>
        <v>1745.25</v>
      </c>
      <c r="N521" s="7">
        <f t="shared" ca="1" si="17"/>
        <v>45134</v>
      </c>
      <c r="O521" s="8">
        <f ca="1">MONTH(financials[[#This Row],[Date]])</f>
        <v>7</v>
      </c>
      <c r="P521" s="6" t="str">
        <f ca="1">TEXT(financials[[#This Row],[Date]],"MMM")</f>
        <v>Jul</v>
      </c>
      <c r="Q521">
        <f ca="1">YEAR(financials[[#This Row],[Date]])</f>
        <v>2023</v>
      </c>
      <c r="S521" s="10"/>
    </row>
    <row r="522" spans="1:19" x14ac:dyDescent="0.3">
      <c r="A522" t="s">
        <v>16</v>
      </c>
      <c r="B522" t="s">
        <v>20</v>
      </c>
      <c r="C522" s="6" t="s">
        <v>28</v>
      </c>
      <c r="D522" s="6" t="str">
        <f>CONCATENATE(financials[[#This Row],[Segment]],",",financials[[#This Row],[Country]],",",financials[[#This Row],[Product]])</f>
        <v>Government,Germany,Paseo</v>
      </c>
      <c r="E522" s="6" t="s">
        <v>34</v>
      </c>
      <c r="F522">
        <f t="shared" ca="1" si="16"/>
        <v>270</v>
      </c>
      <c r="G522" s="1">
        <f ca="1">VLOOKUP(financials[[#This Row],[ID]],Prices!D:F,2,FALSE)</f>
        <v>19</v>
      </c>
      <c r="H522" s="1">
        <f ca="1">VLOOKUP(financials[[#This Row],[ID]],Prices!D:F,3,FALSE)</f>
        <v>37</v>
      </c>
      <c r="I522" s="1">
        <f ca="1">financials[[#This Row],[Units Sold]]*financials[[#This Row],[Sale Price]]</f>
        <v>9990</v>
      </c>
      <c r="J5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499.5</v>
      </c>
      <c r="K522" s="1">
        <f ca="1">financials[[#This Row],[Gross Sales]]-financials[[#This Row],[Discounts]]</f>
        <v>9490.5</v>
      </c>
      <c r="L522" s="1">
        <f ca="1">financials[[#This Row],[Units Sold]]*financials[[#This Row],[Manufacturing Price]]</f>
        <v>5130</v>
      </c>
      <c r="M522" s="1">
        <f ca="1">financials[[#This Row],[Sales]]-financials[[#This Row],[COGS]]</f>
        <v>4360.5</v>
      </c>
      <c r="N522" s="7">
        <f t="shared" ca="1" si="17"/>
        <v>45550</v>
      </c>
      <c r="O522" s="8">
        <f ca="1">MONTH(financials[[#This Row],[Date]])</f>
        <v>9</v>
      </c>
      <c r="P522" s="6" t="str">
        <f ca="1">TEXT(financials[[#This Row],[Date]],"MMM")</f>
        <v>Sep</v>
      </c>
      <c r="Q522">
        <f ca="1">YEAR(financials[[#This Row],[Date]])</f>
        <v>2024</v>
      </c>
      <c r="S522" s="10"/>
    </row>
    <row r="523" spans="1:19" x14ac:dyDescent="0.3">
      <c r="A523" t="s">
        <v>27</v>
      </c>
      <c r="B523" t="s">
        <v>17</v>
      </c>
      <c r="C523" s="6" t="s">
        <v>28</v>
      </c>
      <c r="D523" s="6" t="str">
        <f>CONCATENATE(financials[[#This Row],[Segment]],",",financials[[#This Row],[Country]],",",financials[[#This Row],[Product]])</f>
        <v>Small Business,Canada,Paseo</v>
      </c>
      <c r="E523" s="6" t="s">
        <v>34</v>
      </c>
      <c r="F523">
        <f t="shared" ca="1" si="16"/>
        <v>792</v>
      </c>
      <c r="G523" s="1">
        <f ca="1">VLOOKUP(financials[[#This Row],[ID]],Prices!D:F,2,FALSE)</f>
        <v>20</v>
      </c>
      <c r="H523" s="1">
        <f ca="1">VLOOKUP(financials[[#This Row],[ID]],Prices!D:F,3,FALSE)</f>
        <v>31</v>
      </c>
      <c r="I523" s="1">
        <f ca="1">financials[[#This Row],[Units Sold]]*financials[[#This Row],[Sale Price]]</f>
        <v>24552</v>
      </c>
      <c r="J5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1227.6000000000001</v>
      </c>
      <c r="K523" s="1">
        <f ca="1">financials[[#This Row],[Gross Sales]]-financials[[#This Row],[Discounts]]</f>
        <v>23324.400000000001</v>
      </c>
      <c r="L523" s="1">
        <f ca="1">financials[[#This Row],[Units Sold]]*financials[[#This Row],[Manufacturing Price]]</f>
        <v>15840</v>
      </c>
      <c r="M523" s="1">
        <f ca="1">financials[[#This Row],[Sales]]-financials[[#This Row],[COGS]]</f>
        <v>7484.4000000000015</v>
      </c>
      <c r="N523" s="7">
        <f t="shared" ca="1" si="17"/>
        <v>45222</v>
      </c>
      <c r="O523" s="8">
        <f ca="1">MONTH(financials[[#This Row],[Date]])</f>
        <v>10</v>
      </c>
      <c r="P523" s="6" t="str">
        <f ca="1">TEXT(financials[[#This Row],[Date]],"MMM")</f>
        <v>Oct</v>
      </c>
      <c r="Q523">
        <f ca="1">YEAR(financials[[#This Row],[Date]])</f>
        <v>2023</v>
      </c>
      <c r="S523" s="10"/>
    </row>
    <row r="524" spans="1:19" x14ac:dyDescent="0.3">
      <c r="A524" t="s">
        <v>16</v>
      </c>
      <c r="B524" t="s">
        <v>22</v>
      </c>
      <c r="C524" s="6" t="s">
        <v>29</v>
      </c>
      <c r="D524" s="6" t="str">
        <f>CONCATENATE(financials[[#This Row],[Segment]],",",financials[[#This Row],[Country]],",",financials[[#This Row],[Product]])</f>
        <v>Government,France,Velo</v>
      </c>
      <c r="E524" s="6" t="s">
        <v>34</v>
      </c>
      <c r="F524">
        <f t="shared" ca="1" si="16"/>
        <v>623</v>
      </c>
      <c r="G524" s="1">
        <f ca="1">VLOOKUP(financials[[#This Row],[ID]],Prices!D:F,2,FALSE)</f>
        <v>20</v>
      </c>
      <c r="H524" s="1">
        <f ca="1">VLOOKUP(financials[[#This Row],[ID]],Prices!D:F,3,FALSE)</f>
        <v>36</v>
      </c>
      <c r="I524" s="1">
        <f ca="1">financials[[#This Row],[Units Sold]]*financials[[#This Row],[Sale Price]]</f>
        <v>22428</v>
      </c>
      <c r="J5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1121.4000000000001</v>
      </c>
      <c r="K524" s="1">
        <f ca="1">financials[[#This Row],[Gross Sales]]-financials[[#This Row],[Discounts]]</f>
        <v>21306.6</v>
      </c>
      <c r="L524" s="1">
        <f ca="1">financials[[#This Row],[Units Sold]]*financials[[#This Row],[Manufacturing Price]]</f>
        <v>12460</v>
      </c>
      <c r="M524" s="1">
        <f ca="1">financials[[#This Row],[Sales]]-financials[[#This Row],[COGS]]</f>
        <v>8846.5999999999985</v>
      </c>
      <c r="N524" s="7">
        <f t="shared" ca="1" si="17"/>
        <v>45322</v>
      </c>
      <c r="O524" s="8">
        <f ca="1">MONTH(financials[[#This Row],[Date]])</f>
        <v>1</v>
      </c>
      <c r="P524" s="6" t="str">
        <f ca="1">TEXT(financials[[#This Row],[Date]],"MMM")</f>
        <v>Jan</v>
      </c>
      <c r="Q524">
        <f ca="1">YEAR(financials[[#This Row],[Date]])</f>
        <v>2024</v>
      </c>
      <c r="S524" s="10"/>
    </row>
    <row r="525" spans="1:19" x14ac:dyDescent="0.3">
      <c r="A525" t="s">
        <v>21</v>
      </c>
      <c r="B525" t="s">
        <v>23</v>
      </c>
      <c r="C525" s="6" t="s">
        <v>29</v>
      </c>
      <c r="D525" s="6" t="str">
        <f>CONCATENATE(financials[[#This Row],[Segment]],",",financials[[#This Row],[Country]],",",financials[[#This Row],[Product]])</f>
        <v>Midmarket,Mexico,Velo</v>
      </c>
      <c r="E525" s="6" t="s">
        <v>34</v>
      </c>
      <c r="F525">
        <f t="shared" ca="1" si="16"/>
        <v>19</v>
      </c>
      <c r="G525" s="1">
        <f ca="1">VLOOKUP(financials[[#This Row],[ID]],Prices!D:F,2,FALSE)</f>
        <v>20</v>
      </c>
      <c r="H525" s="1">
        <f ca="1">VLOOKUP(financials[[#This Row],[ID]],Prices!D:F,3,FALSE)</f>
        <v>35</v>
      </c>
      <c r="I525" s="1">
        <f ca="1">financials[[#This Row],[Units Sold]]*financials[[#This Row],[Sale Price]]</f>
        <v>665</v>
      </c>
      <c r="J5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6.65</v>
      </c>
      <c r="K525" s="1">
        <f ca="1">financials[[#This Row],[Gross Sales]]-financials[[#This Row],[Discounts]]</f>
        <v>658.35</v>
      </c>
      <c r="L525" s="1">
        <f ca="1">financials[[#This Row],[Units Sold]]*financials[[#This Row],[Manufacturing Price]]</f>
        <v>380</v>
      </c>
      <c r="M525" s="1">
        <f ca="1">financials[[#This Row],[Sales]]-financials[[#This Row],[COGS]]</f>
        <v>278.35000000000002</v>
      </c>
      <c r="N525" s="7">
        <f t="shared" ca="1" si="17"/>
        <v>45742</v>
      </c>
      <c r="O525" s="8">
        <f ca="1">MONTH(financials[[#This Row],[Date]])</f>
        <v>3</v>
      </c>
      <c r="P525" s="6" t="str">
        <f ca="1">TEXT(financials[[#This Row],[Date]],"MMM")</f>
        <v>Mar</v>
      </c>
      <c r="Q525">
        <f ca="1">YEAR(financials[[#This Row],[Date]])</f>
        <v>2025</v>
      </c>
      <c r="S525" s="10"/>
    </row>
    <row r="526" spans="1:19" x14ac:dyDescent="0.3">
      <c r="A526" t="s">
        <v>16</v>
      </c>
      <c r="B526" t="s">
        <v>23</v>
      </c>
      <c r="C526" s="6" t="s">
        <v>29</v>
      </c>
      <c r="D526" s="6" t="str">
        <f>CONCATENATE(financials[[#This Row],[Segment]],",",financials[[#This Row],[Country]],",",financials[[#This Row],[Product]])</f>
        <v>Government,Mexico,Velo</v>
      </c>
      <c r="E526" s="6" t="s">
        <v>34</v>
      </c>
      <c r="F526">
        <f t="shared" ca="1" si="16"/>
        <v>515</v>
      </c>
      <c r="G526" s="1">
        <f ca="1">VLOOKUP(financials[[#This Row],[ID]],Prices!D:F,2,FALSE)</f>
        <v>18</v>
      </c>
      <c r="H526" s="1">
        <f ca="1">VLOOKUP(financials[[#This Row],[ID]],Prices!D:F,3,FALSE)</f>
        <v>36</v>
      </c>
      <c r="I526" s="1">
        <f ca="1">financials[[#This Row],[Units Sold]]*financials[[#This Row],[Sale Price]]</f>
        <v>18540</v>
      </c>
      <c r="J5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927</v>
      </c>
      <c r="K526" s="1">
        <f ca="1">financials[[#This Row],[Gross Sales]]-financials[[#This Row],[Discounts]]</f>
        <v>17613</v>
      </c>
      <c r="L526" s="1">
        <f ca="1">financials[[#This Row],[Units Sold]]*financials[[#This Row],[Manufacturing Price]]</f>
        <v>9270</v>
      </c>
      <c r="M526" s="1">
        <f ca="1">financials[[#This Row],[Sales]]-financials[[#This Row],[COGS]]</f>
        <v>8343</v>
      </c>
      <c r="N526" s="7">
        <f t="shared" ca="1" si="17"/>
        <v>45627</v>
      </c>
      <c r="O526" s="8">
        <f ca="1">MONTH(financials[[#This Row],[Date]])</f>
        <v>12</v>
      </c>
      <c r="P526" s="6" t="str">
        <f ca="1">TEXT(financials[[#This Row],[Date]],"MMM")</f>
        <v>Dec</v>
      </c>
      <c r="Q526">
        <f ca="1">YEAR(financials[[#This Row],[Date]])</f>
        <v>2024</v>
      </c>
      <c r="S526" s="10"/>
    </row>
    <row r="527" spans="1:19" x14ac:dyDescent="0.3">
      <c r="A527" t="s">
        <v>16</v>
      </c>
      <c r="B527" t="s">
        <v>17</v>
      </c>
      <c r="C527" s="6" t="s">
        <v>29</v>
      </c>
      <c r="D527" s="6" t="str">
        <f>CONCATENATE(financials[[#This Row],[Segment]],",",financials[[#This Row],[Country]],",",financials[[#This Row],[Product]])</f>
        <v>Government,Canada,Velo</v>
      </c>
      <c r="E527" s="6" t="s">
        <v>34</v>
      </c>
      <c r="F527">
        <f t="shared" ca="1" si="16"/>
        <v>286</v>
      </c>
      <c r="G527" s="1">
        <f ca="1">VLOOKUP(financials[[#This Row],[ID]],Prices!D:F,2,FALSE)</f>
        <v>19</v>
      </c>
      <c r="H527" s="1">
        <f ca="1">VLOOKUP(financials[[#This Row],[ID]],Prices!D:F,3,FALSE)</f>
        <v>37</v>
      </c>
      <c r="I527" s="1">
        <f ca="1">financials[[#This Row],[Units Sold]]*financials[[#This Row],[Sale Price]]</f>
        <v>10582</v>
      </c>
      <c r="J5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529.1</v>
      </c>
      <c r="K527" s="1">
        <f ca="1">financials[[#This Row],[Gross Sales]]-financials[[#This Row],[Discounts]]</f>
        <v>10052.9</v>
      </c>
      <c r="L527" s="1">
        <f ca="1">financials[[#This Row],[Units Sold]]*financials[[#This Row],[Manufacturing Price]]</f>
        <v>5434</v>
      </c>
      <c r="M527" s="1">
        <f ca="1">financials[[#This Row],[Sales]]-financials[[#This Row],[COGS]]</f>
        <v>4618.8999999999996</v>
      </c>
      <c r="N527" s="7">
        <f t="shared" ca="1" si="17"/>
        <v>45482</v>
      </c>
      <c r="O527" s="8">
        <f ca="1">MONTH(financials[[#This Row],[Date]])</f>
        <v>7</v>
      </c>
      <c r="P527" s="6" t="str">
        <f ca="1">TEXT(financials[[#This Row],[Date]],"MMM")</f>
        <v>Jul</v>
      </c>
      <c r="Q527">
        <f ca="1">YEAR(financials[[#This Row],[Date]])</f>
        <v>2024</v>
      </c>
      <c r="S527" s="10"/>
    </row>
    <row r="528" spans="1:19" x14ac:dyDescent="0.3">
      <c r="A528" t="s">
        <v>25</v>
      </c>
      <c r="B528" t="s">
        <v>22</v>
      </c>
      <c r="C528" s="6" t="s">
        <v>30</v>
      </c>
      <c r="D528" s="6" t="str">
        <f>CONCATENATE(financials[[#This Row],[Segment]],",",financials[[#This Row],[Country]],",",financials[[#This Row],[Product]])</f>
        <v>Channel Partners,France,VTT</v>
      </c>
      <c r="E528" s="6" t="s">
        <v>34</v>
      </c>
      <c r="F528">
        <f t="shared" ca="1" si="16"/>
        <v>708</v>
      </c>
      <c r="G528" s="1">
        <f ca="1">VLOOKUP(financials[[#This Row],[ID]],Prices!D:F,2,FALSE)</f>
        <v>11</v>
      </c>
      <c r="H528" s="1">
        <f ca="1">VLOOKUP(financials[[#This Row],[ID]],Prices!D:F,3,FALSE)</f>
        <v>38</v>
      </c>
      <c r="I528" s="1">
        <f ca="1">financials[[#This Row],[Units Sold]]*financials[[#This Row],[Sale Price]]</f>
        <v>26904</v>
      </c>
      <c r="J5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1345.2</v>
      </c>
      <c r="K528" s="1">
        <f ca="1">financials[[#This Row],[Gross Sales]]-financials[[#This Row],[Discounts]]</f>
        <v>25558.799999999999</v>
      </c>
      <c r="L528" s="1">
        <f ca="1">financials[[#This Row],[Units Sold]]*financials[[#This Row],[Manufacturing Price]]</f>
        <v>7788</v>
      </c>
      <c r="M528" s="1">
        <f ca="1">financials[[#This Row],[Sales]]-financials[[#This Row],[COGS]]</f>
        <v>17770.8</v>
      </c>
      <c r="N528" s="7">
        <f t="shared" ca="1" si="17"/>
        <v>45466</v>
      </c>
      <c r="O528" s="8">
        <f ca="1">MONTH(financials[[#This Row],[Date]])</f>
        <v>6</v>
      </c>
      <c r="P528" s="6" t="str">
        <f ca="1">TEXT(financials[[#This Row],[Date]],"MMM")</f>
        <v>Jun</v>
      </c>
      <c r="Q528">
        <f ca="1">YEAR(financials[[#This Row],[Date]])</f>
        <v>2024</v>
      </c>
      <c r="S528" s="10"/>
    </row>
    <row r="529" spans="1:19" x14ac:dyDescent="0.3">
      <c r="A529" t="s">
        <v>26</v>
      </c>
      <c r="B529" t="s">
        <v>23</v>
      </c>
      <c r="C529" s="6" t="s">
        <v>30</v>
      </c>
      <c r="D529" s="6" t="str">
        <f>CONCATENATE(financials[[#This Row],[Segment]],",",financials[[#This Row],[Country]],",",financials[[#This Row],[Product]])</f>
        <v>Enterprise,Mexico,VTT</v>
      </c>
      <c r="E529" s="6" t="s">
        <v>34</v>
      </c>
      <c r="F529">
        <f t="shared" ca="1" si="16"/>
        <v>151</v>
      </c>
      <c r="G529" s="1">
        <f ca="1">VLOOKUP(financials[[#This Row],[ID]],Prices!D:F,2,FALSE)</f>
        <v>15</v>
      </c>
      <c r="H529" s="1">
        <f ca="1">VLOOKUP(financials[[#This Row],[ID]],Prices!D:F,3,FALSE)</f>
        <v>38</v>
      </c>
      <c r="I529" s="1">
        <f ca="1">financials[[#This Row],[Units Sold]]*financials[[#This Row],[Sale Price]]</f>
        <v>5738</v>
      </c>
      <c r="J5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286.90000000000003</v>
      </c>
      <c r="K529" s="1">
        <f ca="1">financials[[#This Row],[Gross Sales]]-financials[[#This Row],[Discounts]]</f>
        <v>5451.1</v>
      </c>
      <c r="L529" s="1">
        <f ca="1">financials[[#This Row],[Units Sold]]*financials[[#This Row],[Manufacturing Price]]</f>
        <v>2265</v>
      </c>
      <c r="M529" s="1">
        <f ca="1">financials[[#This Row],[Sales]]-financials[[#This Row],[COGS]]</f>
        <v>3186.1000000000004</v>
      </c>
      <c r="N529" s="7">
        <f t="shared" ca="1" si="17"/>
        <v>45148</v>
      </c>
      <c r="O529" s="8">
        <f ca="1">MONTH(financials[[#This Row],[Date]])</f>
        <v>8</v>
      </c>
      <c r="P529" s="6" t="str">
        <f ca="1">TEXT(financials[[#This Row],[Date]],"MMM")</f>
        <v>Aug</v>
      </c>
      <c r="Q529">
        <f ca="1">YEAR(financials[[#This Row],[Date]])</f>
        <v>2023</v>
      </c>
      <c r="S529" s="10"/>
    </row>
    <row r="530" spans="1:19" x14ac:dyDescent="0.3">
      <c r="A530" t="s">
        <v>16</v>
      </c>
      <c r="B530" t="s">
        <v>17</v>
      </c>
      <c r="C530" s="6" t="s">
        <v>30</v>
      </c>
      <c r="D530" s="6" t="str">
        <f>CONCATENATE(financials[[#This Row],[Segment]],",",financials[[#This Row],[Country]],",",financials[[#This Row],[Product]])</f>
        <v>Government,Canada,VTT</v>
      </c>
      <c r="E530" s="6" t="s">
        <v>34</v>
      </c>
      <c r="F530">
        <f t="shared" ca="1" si="16"/>
        <v>108</v>
      </c>
      <c r="G530" s="1">
        <f ca="1">VLOOKUP(financials[[#This Row],[ID]],Prices!D:F,2,FALSE)</f>
        <v>17</v>
      </c>
      <c r="H530" s="1">
        <f ca="1">VLOOKUP(financials[[#This Row],[ID]],Prices!D:F,3,FALSE)</f>
        <v>38</v>
      </c>
      <c r="I530" s="1">
        <f ca="1">financials[[#This Row],[Units Sold]]*financials[[#This Row],[Sale Price]]</f>
        <v>4104</v>
      </c>
      <c r="J5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205.20000000000002</v>
      </c>
      <c r="K530" s="1">
        <f ca="1">financials[[#This Row],[Gross Sales]]-financials[[#This Row],[Discounts]]</f>
        <v>3898.8</v>
      </c>
      <c r="L530" s="1">
        <f ca="1">financials[[#This Row],[Units Sold]]*financials[[#This Row],[Manufacturing Price]]</f>
        <v>1836</v>
      </c>
      <c r="M530" s="1">
        <f ca="1">financials[[#This Row],[Sales]]-financials[[#This Row],[COGS]]</f>
        <v>2062.8000000000002</v>
      </c>
      <c r="N530" s="7">
        <f t="shared" ca="1" si="17"/>
        <v>45558</v>
      </c>
      <c r="O530" s="8">
        <f ca="1">MONTH(financials[[#This Row],[Date]])</f>
        <v>9</v>
      </c>
      <c r="P530" s="6" t="str">
        <f ca="1">TEXT(financials[[#This Row],[Date]],"MMM")</f>
        <v>Sep</v>
      </c>
      <c r="Q530">
        <f ca="1">YEAR(financials[[#This Row],[Date]])</f>
        <v>2024</v>
      </c>
      <c r="S530" s="10"/>
    </row>
    <row r="531" spans="1:19" x14ac:dyDescent="0.3">
      <c r="A531" t="s">
        <v>26</v>
      </c>
      <c r="B531" t="s">
        <v>20</v>
      </c>
      <c r="C531" s="6" t="s">
        <v>31</v>
      </c>
      <c r="D531" s="6" t="str">
        <f>CONCATENATE(financials[[#This Row],[Segment]],",",financials[[#This Row],[Country]],",",financials[[#This Row],[Product]])</f>
        <v>Enterprise,Germany,Amarilla</v>
      </c>
      <c r="E531" s="6" t="s">
        <v>34</v>
      </c>
      <c r="F531">
        <f t="shared" ca="1" si="16"/>
        <v>234</v>
      </c>
      <c r="G531" s="1">
        <f ca="1">VLOOKUP(financials[[#This Row],[ID]],Prices!D:F,2,FALSE)</f>
        <v>13</v>
      </c>
      <c r="H531" s="1">
        <f ca="1">VLOOKUP(financials[[#This Row],[ID]],Prices!D:F,3,FALSE)</f>
        <v>21</v>
      </c>
      <c r="I531" s="1">
        <f ca="1">financials[[#This Row],[Units Sold]]*financials[[#This Row],[Sale Price]]</f>
        <v>4914</v>
      </c>
      <c r="J5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245.70000000000002</v>
      </c>
      <c r="K531" s="1">
        <f ca="1">financials[[#This Row],[Gross Sales]]-financials[[#This Row],[Discounts]]</f>
        <v>4668.3</v>
      </c>
      <c r="L531" s="1">
        <f ca="1">financials[[#This Row],[Units Sold]]*financials[[#This Row],[Manufacturing Price]]</f>
        <v>3042</v>
      </c>
      <c r="M531" s="1">
        <f ca="1">financials[[#This Row],[Sales]]-financials[[#This Row],[COGS]]</f>
        <v>1626.3000000000002</v>
      </c>
      <c r="N531" s="7">
        <f t="shared" ca="1" si="17"/>
        <v>45331</v>
      </c>
      <c r="O531" s="8">
        <f ca="1">MONTH(financials[[#This Row],[Date]])</f>
        <v>2</v>
      </c>
      <c r="P531" s="6" t="str">
        <f ca="1">TEXT(financials[[#This Row],[Date]],"MMM")</f>
        <v>Feb</v>
      </c>
      <c r="Q531">
        <f ca="1">YEAR(financials[[#This Row],[Date]])</f>
        <v>2024</v>
      </c>
      <c r="S531" s="10"/>
    </row>
    <row r="532" spans="1:19" x14ac:dyDescent="0.3">
      <c r="A532" t="s">
        <v>16</v>
      </c>
      <c r="B532" t="s">
        <v>23</v>
      </c>
      <c r="C532" s="6" t="s">
        <v>31</v>
      </c>
      <c r="D532" s="6" t="str">
        <f>CONCATENATE(financials[[#This Row],[Segment]],",",financials[[#This Row],[Country]],",",financials[[#This Row],[Product]])</f>
        <v>Government,Mexico,Amarilla</v>
      </c>
      <c r="E532" s="6" t="s">
        <v>34</v>
      </c>
      <c r="F532">
        <f t="shared" ca="1" si="16"/>
        <v>906</v>
      </c>
      <c r="G532" s="1">
        <f ca="1">VLOOKUP(financials[[#This Row],[ID]],Prices!D:F,2,FALSE)</f>
        <v>15</v>
      </c>
      <c r="H532" s="1">
        <f ca="1">VLOOKUP(financials[[#This Row],[ID]],Prices!D:F,3,FALSE)</f>
        <v>32</v>
      </c>
      <c r="I532" s="1">
        <f ca="1">financials[[#This Row],[Units Sold]]*financials[[#This Row],[Sale Price]]</f>
        <v>28992</v>
      </c>
      <c r="J5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1449.6000000000001</v>
      </c>
      <c r="K532" s="1">
        <f ca="1">financials[[#This Row],[Gross Sales]]-financials[[#This Row],[Discounts]]</f>
        <v>27542.400000000001</v>
      </c>
      <c r="L532" s="1">
        <f ca="1">financials[[#This Row],[Units Sold]]*financials[[#This Row],[Manufacturing Price]]</f>
        <v>13590</v>
      </c>
      <c r="M532" s="1">
        <f ca="1">financials[[#This Row],[Sales]]-financials[[#This Row],[COGS]]</f>
        <v>13952.400000000001</v>
      </c>
      <c r="N532" s="7">
        <f t="shared" ca="1" si="17"/>
        <v>45748</v>
      </c>
      <c r="O532" s="8">
        <f ca="1">MONTH(financials[[#This Row],[Date]])</f>
        <v>4</v>
      </c>
      <c r="P532" s="6" t="str">
        <f ca="1">TEXT(financials[[#This Row],[Date]],"MMM")</f>
        <v>Apr</v>
      </c>
      <c r="Q532">
        <f ca="1">YEAR(financials[[#This Row],[Date]])</f>
        <v>2025</v>
      </c>
      <c r="S532" s="10"/>
    </row>
    <row r="533" spans="1:19" x14ac:dyDescent="0.3">
      <c r="A533" t="s">
        <v>26</v>
      </c>
      <c r="B533" t="s">
        <v>22</v>
      </c>
      <c r="C533" s="6" t="s">
        <v>31</v>
      </c>
      <c r="D533" s="6" t="str">
        <f>CONCATENATE(financials[[#This Row],[Segment]],",",financials[[#This Row],[Country]],",",financials[[#This Row],[Product]])</f>
        <v>Enterprise,France,Amarilla</v>
      </c>
      <c r="E533" s="6" t="s">
        <v>34</v>
      </c>
      <c r="F533">
        <f t="shared" ca="1" si="16"/>
        <v>448</v>
      </c>
      <c r="G533" s="1">
        <f ca="1">VLOOKUP(financials[[#This Row],[ID]],Prices!D:F,2,FALSE)</f>
        <v>12</v>
      </c>
      <c r="H533" s="1">
        <f ca="1">VLOOKUP(financials[[#This Row],[ID]],Prices!D:F,3,FALSE)</f>
        <v>34</v>
      </c>
      <c r="I533" s="1">
        <f ca="1">financials[[#This Row],[Units Sold]]*financials[[#This Row],[Sale Price]]</f>
        <v>15232</v>
      </c>
      <c r="J5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761.6</v>
      </c>
      <c r="K533" s="1">
        <f ca="1">financials[[#This Row],[Gross Sales]]-financials[[#This Row],[Discounts]]</f>
        <v>14470.4</v>
      </c>
      <c r="L533" s="1">
        <f ca="1">financials[[#This Row],[Units Sold]]*financials[[#This Row],[Manufacturing Price]]</f>
        <v>5376</v>
      </c>
      <c r="M533" s="1">
        <f ca="1">financials[[#This Row],[Sales]]-financials[[#This Row],[COGS]]</f>
        <v>9094.4</v>
      </c>
      <c r="N533" s="7">
        <f t="shared" ca="1" si="17"/>
        <v>45072</v>
      </c>
      <c r="O533" s="8">
        <f ca="1">MONTH(financials[[#This Row],[Date]])</f>
        <v>5</v>
      </c>
      <c r="P533" s="6" t="str">
        <f ca="1">TEXT(financials[[#This Row],[Date]],"MMM")</f>
        <v>May</v>
      </c>
      <c r="Q533">
        <f ca="1">YEAR(financials[[#This Row],[Date]])</f>
        <v>2023</v>
      </c>
      <c r="S533" s="10"/>
    </row>
    <row r="534" spans="1:19" x14ac:dyDescent="0.3">
      <c r="A534" t="s">
        <v>26</v>
      </c>
      <c r="B534" t="s">
        <v>23</v>
      </c>
      <c r="C534" s="6" t="s">
        <v>31</v>
      </c>
      <c r="D534" s="6" t="str">
        <f>CONCATENATE(financials[[#This Row],[Segment]],",",financials[[#This Row],[Country]],",",financials[[#This Row],[Product]])</f>
        <v>Enterprise,Mexico,Amarilla</v>
      </c>
      <c r="E534" s="6" t="s">
        <v>34</v>
      </c>
      <c r="F534">
        <f t="shared" ca="1" si="16"/>
        <v>886</v>
      </c>
      <c r="G534" s="1">
        <f ca="1">VLOOKUP(financials[[#This Row],[ID]],Prices!D:F,2,FALSE)</f>
        <v>11</v>
      </c>
      <c r="H534" s="1">
        <f ca="1">VLOOKUP(financials[[#This Row],[ID]],Prices!D:F,3,FALSE)</f>
        <v>30</v>
      </c>
      <c r="I534" s="1">
        <f ca="1">financials[[#This Row],[Units Sold]]*financials[[#This Row],[Sale Price]]</f>
        <v>26580</v>
      </c>
      <c r="J5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1329</v>
      </c>
      <c r="K534" s="1">
        <f ca="1">financials[[#This Row],[Gross Sales]]-financials[[#This Row],[Discounts]]</f>
        <v>25251</v>
      </c>
      <c r="L534" s="1">
        <f ca="1">financials[[#This Row],[Units Sold]]*financials[[#This Row],[Manufacturing Price]]</f>
        <v>9746</v>
      </c>
      <c r="M534" s="1">
        <f ca="1">financials[[#This Row],[Sales]]-financials[[#This Row],[COGS]]</f>
        <v>15505</v>
      </c>
      <c r="N534" s="7">
        <f t="shared" ca="1" si="17"/>
        <v>45271</v>
      </c>
      <c r="O534" s="8">
        <f ca="1">MONTH(financials[[#This Row],[Date]])</f>
        <v>12</v>
      </c>
      <c r="P534" s="6" t="str">
        <f ca="1">TEXT(financials[[#This Row],[Date]],"MMM")</f>
        <v>Dec</v>
      </c>
      <c r="Q534">
        <f ca="1">YEAR(financials[[#This Row],[Date]])</f>
        <v>2023</v>
      </c>
      <c r="S534" s="10"/>
    </row>
    <row r="535" spans="1:19" x14ac:dyDescent="0.3">
      <c r="A535" t="s">
        <v>16</v>
      </c>
      <c r="B535" t="s">
        <v>23</v>
      </c>
      <c r="C535" s="6" t="s">
        <v>31</v>
      </c>
      <c r="D535" s="6" t="str">
        <f>CONCATENATE(financials[[#This Row],[Segment]],",",financials[[#This Row],[Country]],",",financials[[#This Row],[Product]])</f>
        <v>Government,Mexico,Amarilla</v>
      </c>
      <c r="E535" s="6" t="s">
        <v>34</v>
      </c>
      <c r="F535">
        <f t="shared" ca="1" si="16"/>
        <v>353</v>
      </c>
      <c r="G535" s="1">
        <f ca="1">VLOOKUP(financials[[#This Row],[ID]],Prices!D:F,2,FALSE)</f>
        <v>15</v>
      </c>
      <c r="H535" s="1">
        <f ca="1">VLOOKUP(financials[[#This Row],[ID]],Prices!D:F,3,FALSE)</f>
        <v>32</v>
      </c>
      <c r="I535" s="1">
        <f ca="1">financials[[#This Row],[Units Sold]]*financials[[#This Row],[Sale Price]]</f>
        <v>11296</v>
      </c>
      <c r="J5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564.80000000000007</v>
      </c>
      <c r="K535" s="1">
        <f ca="1">financials[[#This Row],[Gross Sales]]-financials[[#This Row],[Discounts]]</f>
        <v>10731.2</v>
      </c>
      <c r="L535" s="1">
        <f ca="1">financials[[#This Row],[Units Sold]]*financials[[#This Row],[Manufacturing Price]]</f>
        <v>5295</v>
      </c>
      <c r="M535" s="1">
        <f ca="1">financials[[#This Row],[Sales]]-financials[[#This Row],[COGS]]</f>
        <v>5436.2000000000007</v>
      </c>
      <c r="N535" s="7">
        <f t="shared" ca="1" si="17"/>
        <v>45516</v>
      </c>
      <c r="O535" s="8">
        <f ca="1">MONTH(financials[[#This Row],[Date]])</f>
        <v>8</v>
      </c>
      <c r="P535" s="6" t="str">
        <f ca="1">TEXT(financials[[#This Row],[Date]],"MMM")</f>
        <v>Aug</v>
      </c>
      <c r="Q535">
        <f ca="1">YEAR(financials[[#This Row],[Date]])</f>
        <v>2024</v>
      </c>
      <c r="S535" s="10"/>
    </row>
    <row r="536" spans="1:19" x14ac:dyDescent="0.3">
      <c r="A536" t="s">
        <v>21</v>
      </c>
      <c r="B536" t="s">
        <v>23</v>
      </c>
      <c r="C536" s="6" t="s">
        <v>31</v>
      </c>
      <c r="D536" s="6" t="str">
        <f>CONCATENATE(financials[[#This Row],[Segment]],",",financials[[#This Row],[Country]],",",financials[[#This Row],[Product]])</f>
        <v>Midmarket,Mexico,Amarilla</v>
      </c>
      <c r="E536" s="6" t="s">
        <v>34</v>
      </c>
      <c r="F536">
        <f t="shared" ca="1" si="16"/>
        <v>329</v>
      </c>
      <c r="G536" s="1">
        <f ca="1">VLOOKUP(financials[[#This Row],[ID]],Prices!D:F,2,FALSE)</f>
        <v>13</v>
      </c>
      <c r="H536" s="1">
        <f ca="1">VLOOKUP(financials[[#This Row],[ID]],Prices!D:F,3,FALSE)</f>
        <v>29</v>
      </c>
      <c r="I536" s="1">
        <f ca="1">financials[[#This Row],[Units Sold]]*financials[[#This Row],[Sale Price]]</f>
        <v>9541</v>
      </c>
      <c r="J5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477.05</v>
      </c>
      <c r="K536" s="1">
        <f ca="1">financials[[#This Row],[Gross Sales]]-financials[[#This Row],[Discounts]]</f>
        <v>9063.9500000000007</v>
      </c>
      <c r="L536" s="1">
        <f ca="1">financials[[#This Row],[Units Sold]]*financials[[#This Row],[Manufacturing Price]]</f>
        <v>4277</v>
      </c>
      <c r="M536" s="1">
        <f ca="1">financials[[#This Row],[Sales]]-financials[[#This Row],[COGS]]</f>
        <v>4786.9500000000007</v>
      </c>
      <c r="N536" s="7">
        <f t="shared" ca="1" si="17"/>
        <v>45079</v>
      </c>
      <c r="O536" s="8">
        <f ca="1">MONTH(financials[[#This Row],[Date]])</f>
        <v>6</v>
      </c>
      <c r="P536" s="6" t="str">
        <f ca="1">TEXT(financials[[#This Row],[Date]],"MMM")</f>
        <v>Jun</v>
      </c>
      <c r="Q536">
        <f ca="1">YEAR(financials[[#This Row],[Date]])</f>
        <v>2023</v>
      </c>
      <c r="S536" s="10"/>
    </row>
    <row r="537" spans="1:19" x14ac:dyDescent="0.3">
      <c r="A537" t="s">
        <v>16</v>
      </c>
      <c r="B537" t="s">
        <v>36</v>
      </c>
      <c r="C537" s="6" t="s">
        <v>28</v>
      </c>
      <c r="D537" s="6" t="str">
        <f>CONCATENATE(financials[[#This Row],[Segment]],",",financials[[#This Row],[Country]],",",financials[[#This Row],[Product]])</f>
        <v>Government,USA,Paseo</v>
      </c>
      <c r="E537" s="6" t="s">
        <v>34</v>
      </c>
      <c r="F537">
        <f t="shared" ca="1" si="16"/>
        <v>232</v>
      </c>
      <c r="G537" s="1">
        <f ca="1">VLOOKUP(financials[[#This Row],[ID]],Prices!D:F,2,FALSE)</f>
        <v>17</v>
      </c>
      <c r="H537" s="1">
        <f ca="1">VLOOKUP(financials[[#This Row],[ID]],Prices!D:F,3,FALSE)</f>
        <v>36</v>
      </c>
      <c r="I537" s="1">
        <f ca="1">financials[[#This Row],[Units Sold]]*financials[[#This Row],[Sale Price]]</f>
        <v>8352</v>
      </c>
      <c r="J5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417.6</v>
      </c>
      <c r="K537" s="1">
        <f ca="1">financials[[#This Row],[Gross Sales]]-financials[[#This Row],[Discounts]]</f>
        <v>7934.4</v>
      </c>
      <c r="L537" s="1">
        <f ca="1">financials[[#This Row],[Units Sold]]*financials[[#This Row],[Manufacturing Price]]</f>
        <v>3944</v>
      </c>
      <c r="M537" s="1">
        <f ca="1">financials[[#This Row],[Sales]]-financials[[#This Row],[COGS]]</f>
        <v>3990.3999999999996</v>
      </c>
      <c r="N537" s="7">
        <f t="shared" ca="1" si="17"/>
        <v>45371</v>
      </c>
      <c r="O537" s="8">
        <f ca="1">MONTH(financials[[#This Row],[Date]])</f>
        <v>3</v>
      </c>
      <c r="P537" s="6" t="str">
        <f ca="1">TEXT(financials[[#This Row],[Date]],"MMM")</f>
        <v>Mar</v>
      </c>
      <c r="Q537">
        <f ca="1">YEAR(financials[[#This Row],[Date]])</f>
        <v>2024</v>
      </c>
      <c r="S537" s="10"/>
    </row>
    <row r="538" spans="1:19" x14ac:dyDescent="0.3">
      <c r="A538" t="s">
        <v>16</v>
      </c>
      <c r="B538" t="s">
        <v>23</v>
      </c>
      <c r="C538" s="6" t="s">
        <v>18</v>
      </c>
      <c r="D538" s="6" t="str">
        <f>CONCATENATE(financials[[#This Row],[Segment]],",",financials[[#This Row],[Country]],",",financials[[#This Row],[Product]])</f>
        <v>Government,Mexico,Carretera</v>
      </c>
      <c r="E538" s="6" t="s">
        <v>34</v>
      </c>
      <c r="F538">
        <f t="shared" ca="1" si="16"/>
        <v>162</v>
      </c>
      <c r="G538" s="1">
        <f ca="1">VLOOKUP(financials[[#This Row],[ID]],Prices!D:F,2,FALSE)</f>
        <v>16</v>
      </c>
      <c r="H538" s="1">
        <f ca="1">VLOOKUP(financials[[#This Row],[ID]],Prices!D:F,3,FALSE)</f>
        <v>31</v>
      </c>
      <c r="I538" s="1">
        <f ca="1">financials[[#This Row],[Units Sold]]*financials[[#This Row],[Sale Price]]</f>
        <v>5022</v>
      </c>
      <c r="J5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251.10000000000002</v>
      </c>
      <c r="K538" s="1">
        <f ca="1">financials[[#This Row],[Gross Sales]]-financials[[#This Row],[Discounts]]</f>
        <v>4770.8999999999996</v>
      </c>
      <c r="L538" s="1">
        <f ca="1">financials[[#This Row],[Units Sold]]*financials[[#This Row],[Manufacturing Price]]</f>
        <v>2592</v>
      </c>
      <c r="M538" s="1">
        <f ca="1">financials[[#This Row],[Sales]]-financials[[#This Row],[COGS]]</f>
        <v>2178.8999999999996</v>
      </c>
      <c r="N538" s="7">
        <f t="shared" ca="1" si="17"/>
        <v>45711</v>
      </c>
      <c r="O538" s="8">
        <f ca="1">MONTH(financials[[#This Row],[Date]])</f>
        <v>2</v>
      </c>
      <c r="P538" s="6" t="str">
        <f ca="1">TEXT(financials[[#This Row],[Date]],"MMM")</f>
        <v>Feb</v>
      </c>
      <c r="Q538">
        <f ca="1">YEAR(financials[[#This Row],[Date]])</f>
        <v>2025</v>
      </c>
      <c r="S538" s="10"/>
    </row>
    <row r="539" spans="1:19" x14ac:dyDescent="0.3">
      <c r="A539" t="s">
        <v>26</v>
      </c>
      <c r="B539" t="s">
        <v>17</v>
      </c>
      <c r="C539" s="6" t="s">
        <v>18</v>
      </c>
      <c r="D539" s="6" t="str">
        <f>CONCATENATE(financials[[#This Row],[Segment]],",",financials[[#This Row],[Country]],",",financials[[#This Row],[Product]])</f>
        <v>Enterprise,Canada,Carretera</v>
      </c>
      <c r="E539" s="6" t="s">
        <v>34</v>
      </c>
      <c r="F539">
        <f t="shared" ca="1" si="16"/>
        <v>434</v>
      </c>
      <c r="G539" s="1">
        <f ca="1">VLOOKUP(financials[[#This Row],[ID]],Prices!D:F,2,FALSE)</f>
        <v>11</v>
      </c>
      <c r="H539" s="1">
        <f ca="1">VLOOKUP(financials[[#This Row],[ID]],Prices!D:F,3,FALSE)</f>
        <v>30</v>
      </c>
      <c r="I539" s="1">
        <f ca="1">financials[[#This Row],[Units Sold]]*financials[[#This Row],[Sale Price]]</f>
        <v>13020</v>
      </c>
      <c r="J5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651</v>
      </c>
      <c r="K539" s="1">
        <f ca="1">financials[[#This Row],[Gross Sales]]-financials[[#This Row],[Discounts]]</f>
        <v>12369</v>
      </c>
      <c r="L539" s="1">
        <f ca="1">financials[[#This Row],[Units Sold]]*financials[[#This Row],[Manufacturing Price]]</f>
        <v>4774</v>
      </c>
      <c r="M539" s="1">
        <f ca="1">financials[[#This Row],[Sales]]-financials[[#This Row],[COGS]]</f>
        <v>7595</v>
      </c>
      <c r="N539" s="7">
        <f t="shared" ca="1" si="17"/>
        <v>45345</v>
      </c>
      <c r="O539" s="8">
        <f ca="1">MONTH(financials[[#This Row],[Date]])</f>
        <v>2</v>
      </c>
      <c r="P539" s="6" t="str">
        <f ca="1">TEXT(financials[[#This Row],[Date]],"MMM")</f>
        <v>Feb</v>
      </c>
      <c r="Q539">
        <f ca="1">YEAR(financials[[#This Row],[Date]])</f>
        <v>2024</v>
      </c>
      <c r="S539" s="10"/>
    </row>
    <row r="540" spans="1:19" x14ac:dyDescent="0.3">
      <c r="A540" t="s">
        <v>26</v>
      </c>
      <c r="B540" t="s">
        <v>23</v>
      </c>
      <c r="C540" s="6" t="s">
        <v>18</v>
      </c>
      <c r="D540" s="6" t="str">
        <f>CONCATENATE(financials[[#This Row],[Segment]],",",financials[[#This Row],[Country]],",",financials[[#This Row],[Product]])</f>
        <v>Enterprise,Mexico,Carretera</v>
      </c>
      <c r="E540" s="6" t="s">
        <v>34</v>
      </c>
      <c r="F540">
        <f t="shared" ca="1" si="16"/>
        <v>375</v>
      </c>
      <c r="G540" s="1">
        <f ca="1">VLOOKUP(financials[[#This Row],[ID]],Prices!D:F,2,FALSE)</f>
        <v>17</v>
      </c>
      <c r="H540" s="1">
        <f ca="1">VLOOKUP(financials[[#This Row],[ID]],Prices!D:F,3,FALSE)</f>
        <v>23</v>
      </c>
      <c r="I540" s="1">
        <f ca="1">financials[[#This Row],[Units Sold]]*financials[[#This Row],[Sale Price]]</f>
        <v>8625</v>
      </c>
      <c r="J5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431.25</v>
      </c>
      <c r="K540" s="1">
        <f ca="1">financials[[#This Row],[Gross Sales]]-financials[[#This Row],[Discounts]]</f>
        <v>8193.75</v>
      </c>
      <c r="L540" s="1">
        <f ca="1">financials[[#This Row],[Units Sold]]*financials[[#This Row],[Manufacturing Price]]</f>
        <v>6375</v>
      </c>
      <c r="M540" s="1">
        <f ca="1">financials[[#This Row],[Sales]]-financials[[#This Row],[COGS]]</f>
        <v>1818.75</v>
      </c>
      <c r="N540" s="7">
        <f t="shared" ca="1" si="17"/>
        <v>45483</v>
      </c>
      <c r="O540" s="8">
        <f ca="1">MONTH(financials[[#This Row],[Date]])</f>
        <v>7</v>
      </c>
      <c r="P540" s="6" t="str">
        <f ca="1">TEXT(financials[[#This Row],[Date]],"MMM")</f>
        <v>Jul</v>
      </c>
      <c r="Q540">
        <f ca="1">YEAR(financials[[#This Row],[Date]])</f>
        <v>2024</v>
      </c>
      <c r="S540" s="10"/>
    </row>
    <row r="541" spans="1:19" x14ac:dyDescent="0.3">
      <c r="A541" t="s">
        <v>21</v>
      </c>
      <c r="B541" t="s">
        <v>17</v>
      </c>
      <c r="C541" s="6" t="s">
        <v>18</v>
      </c>
      <c r="D541" s="6" t="str">
        <f>CONCATENATE(financials[[#This Row],[Segment]],",",financials[[#This Row],[Country]],",",financials[[#This Row],[Product]])</f>
        <v>Midmarket,Canada,Carretera</v>
      </c>
      <c r="E541" s="6" t="s">
        <v>34</v>
      </c>
      <c r="F541">
        <f t="shared" ca="1" si="16"/>
        <v>757</v>
      </c>
      <c r="G541" s="1">
        <f ca="1">VLOOKUP(financials[[#This Row],[ID]],Prices!D:F,2,FALSE)</f>
        <v>10</v>
      </c>
      <c r="H541" s="1">
        <f ca="1">VLOOKUP(financials[[#This Row],[ID]],Prices!D:F,3,FALSE)</f>
        <v>29</v>
      </c>
      <c r="I541" s="1">
        <f ca="1">financials[[#This Row],[Units Sold]]*financials[[#This Row],[Sale Price]]</f>
        <v>21953</v>
      </c>
      <c r="J5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1097.6500000000001</v>
      </c>
      <c r="K541" s="1">
        <f ca="1">financials[[#This Row],[Gross Sales]]-financials[[#This Row],[Discounts]]</f>
        <v>20855.349999999999</v>
      </c>
      <c r="L541" s="1">
        <f ca="1">financials[[#This Row],[Units Sold]]*financials[[#This Row],[Manufacturing Price]]</f>
        <v>7570</v>
      </c>
      <c r="M541" s="1">
        <f ca="1">financials[[#This Row],[Sales]]-financials[[#This Row],[COGS]]</f>
        <v>13285.349999999999</v>
      </c>
      <c r="N541" s="7">
        <f t="shared" ca="1" si="17"/>
        <v>45209</v>
      </c>
      <c r="O541" s="8">
        <f ca="1">MONTH(financials[[#This Row],[Date]])</f>
        <v>10</v>
      </c>
      <c r="P541" s="6" t="str">
        <f ca="1">TEXT(financials[[#This Row],[Date]],"MMM")</f>
        <v>Oct</v>
      </c>
      <c r="Q541">
        <f ca="1">YEAR(financials[[#This Row],[Date]])</f>
        <v>2023</v>
      </c>
      <c r="S541" s="10"/>
    </row>
    <row r="542" spans="1:19" x14ac:dyDescent="0.3">
      <c r="A542" t="s">
        <v>21</v>
      </c>
      <c r="B542" t="s">
        <v>36</v>
      </c>
      <c r="C542" s="6" t="s">
        <v>24</v>
      </c>
      <c r="D542" s="6" t="str">
        <f>CONCATENATE(financials[[#This Row],[Segment]],",",financials[[#This Row],[Country]],",",financials[[#This Row],[Product]])</f>
        <v>Midmarket,USA,Montana</v>
      </c>
      <c r="E542" s="6" t="s">
        <v>34</v>
      </c>
      <c r="F542">
        <f t="shared" ca="1" si="16"/>
        <v>915</v>
      </c>
      <c r="G542" s="1">
        <f ca="1">VLOOKUP(financials[[#This Row],[ID]],Prices!D:F,2,FALSE)</f>
        <v>10</v>
      </c>
      <c r="H542" s="1">
        <f ca="1">VLOOKUP(financials[[#This Row],[ID]],Prices!D:F,3,FALSE)</f>
        <v>24</v>
      </c>
      <c r="I542" s="1">
        <f ca="1">financials[[#This Row],[Units Sold]]*financials[[#This Row],[Sale Price]]</f>
        <v>21960</v>
      </c>
      <c r="J5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1098</v>
      </c>
      <c r="K542" s="1">
        <f ca="1">financials[[#This Row],[Gross Sales]]-financials[[#This Row],[Discounts]]</f>
        <v>20862</v>
      </c>
      <c r="L542" s="1">
        <f ca="1">financials[[#This Row],[Units Sold]]*financials[[#This Row],[Manufacturing Price]]</f>
        <v>9150</v>
      </c>
      <c r="M542" s="1">
        <f ca="1">financials[[#This Row],[Sales]]-financials[[#This Row],[COGS]]</f>
        <v>11712</v>
      </c>
      <c r="N542" s="7">
        <f t="shared" ca="1" si="17"/>
        <v>45171</v>
      </c>
      <c r="O542" s="8">
        <f ca="1">MONTH(financials[[#This Row],[Date]])</f>
        <v>9</v>
      </c>
      <c r="P542" s="6" t="str">
        <f ca="1">TEXT(financials[[#This Row],[Date]],"MMM")</f>
        <v>Sep</v>
      </c>
      <c r="Q542">
        <f ca="1">YEAR(financials[[#This Row],[Date]])</f>
        <v>2023</v>
      </c>
      <c r="S542" s="10"/>
    </row>
    <row r="543" spans="1:19" x14ac:dyDescent="0.3">
      <c r="A543" t="s">
        <v>27</v>
      </c>
      <c r="B543" t="s">
        <v>22</v>
      </c>
      <c r="C543" s="6" t="s">
        <v>24</v>
      </c>
      <c r="D543" s="6" t="str">
        <f>CONCATENATE(financials[[#This Row],[Segment]],",",financials[[#This Row],[Country]],",",financials[[#This Row],[Product]])</f>
        <v>Small Business,France,Montana</v>
      </c>
      <c r="E543" s="6" t="s">
        <v>34</v>
      </c>
      <c r="F543">
        <f t="shared" ca="1" si="16"/>
        <v>811</v>
      </c>
      <c r="G543" s="1">
        <f ca="1">VLOOKUP(financials[[#This Row],[ID]],Prices!D:F,2,FALSE)</f>
        <v>14</v>
      </c>
      <c r="H543" s="1">
        <f ca="1">VLOOKUP(financials[[#This Row],[ID]],Prices!D:F,3,FALSE)</f>
        <v>35</v>
      </c>
      <c r="I543" s="1">
        <f ca="1">financials[[#This Row],[Units Sold]]*financials[[#This Row],[Sale Price]]</f>
        <v>28385</v>
      </c>
      <c r="J5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1419.25</v>
      </c>
      <c r="K543" s="1">
        <f ca="1">financials[[#This Row],[Gross Sales]]-financials[[#This Row],[Discounts]]</f>
        <v>26965.75</v>
      </c>
      <c r="L543" s="1">
        <f ca="1">financials[[#This Row],[Units Sold]]*financials[[#This Row],[Manufacturing Price]]</f>
        <v>11354</v>
      </c>
      <c r="M543" s="1">
        <f ca="1">financials[[#This Row],[Sales]]-financials[[#This Row],[COGS]]</f>
        <v>15611.75</v>
      </c>
      <c r="N543" s="7">
        <f t="shared" ca="1" si="17"/>
        <v>45191</v>
      </c>
      <c r="O543" s="8">
        <f ca="1">MONTH(financials[[#This Row],[Date]])</f>
        <v>9</v>
      </c>
      <c r="P543" s="6" t="str">
        <f ca="1">TEXT(financials[[#This Row],[Date]],"MMM")</f>
        <v>Sep</v>
      </c>
      <c r="Q543">
        <f ca="1">YEAR(financials[[#This Row],[Date]])</f>
        <v>2023</v>
      </c>
      <c r="S543" s="10"/>
    </row>
    <row r="544" spans="1:19" x14ac:dyDescent="0.3">
      <c r="A544" t="s">
        <v>16</v>
      </c>
      <c r="B544" t="s">
        <v>23</v>
      </c>
      <c r="C544" s="6" t="s">
        <v>24</v>
      </c>
      <c r="D544" s="6" t="str">
        <f>CONCATENATE(financials[[#This Row],[Segment]],",",financials[[#This Row],[Country]],",",financials[[#This Row],[Product]])</f>
        <v>Government,Mexico,Montana</v>
      </c>
      <c r="E544" s="6" t="s">
        <v>34</v>
      </c>
      <c r="F544">
        <f t="shared" ca="1" si="16"/>
        <v>508</v>
      </c>
      <c r="G544" s="1">
        <f ca="1">VLOOKUP(financials[[#This Row],[ID]],Prices!D:F,2,FALSE)</f>
        <v>19</v>
      </c>
      <c r="H544" s="1">
        <f ca="1">VLOOKUP(financials[[#This Row],[ID]],Prices!D:F,3,FALSE)</f>
        <v>20</v>
      </c>
      <c r="I544" s="1">
        <f ca="1">financials[[#This Row],[Units Sold]]*financials[[#This Row],[Sale Price]]</f>
        <v>10160</v>
      </c>
      <c r="J5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508</v>
      </c>
      <c r="K544" s="1">
        <f ca="1">financials[[#This Row],[Gross Sales]]-financials[[#This Row],[Discounts]]</f>
        <v>9652</v>
      </c>
      <c r="L544" s="1">
        <f ca="1">financials[[#This Row],[Units Sold]]*financials[[#This Row],[Manufacturing Price]]</f>
        <v>9652</v>
      </c>
      <c r="M544" s="1">
        <f ca="1">financials[[#This Row],[Sales]]-financials[[#This Row],[COGS]]</f>
        <v>0</v>
      </c>
      <c r="N544" s="7">
        <f t="shared" ca="1" si="17"/>
        <v>45578</v>
      </c>
      <c r="O544" s="8">
        <f ca="1">MONTH(financials[[#This Row],[Date]])</f>
        <v>10</v>
      </c>
      <c r="P544" s="6" t="str">
        <f ca="1">TEXT(financials[[#This Row],[Date]],"MMM")</f>
        <v>Oct</v>
      </c>
      <c r="Q544">
        <f ca="1">YEAR(financials[[#This Row],[Date]])</f>
        <v>2024</v>
      </c>
      <c r="S544" s="10"/>
    </row>
    <row r="545" spans="1:19" x14ac:dyDescent="0.3">
      <c r="A545" t="s">
        <v>16</v>
      </c>
      <c r="B545" t="s">
        <v>17</v>
      </c>
      <c r="C545" s="6" t="s">
        <v>24</v>
      </c>
      <c r="D545" s="6" t="str">
        <f>CONCATENATE(financials[[#This Row],[Segment]],",",financials[[#This Row],[Country]],",",financials[[#This Row],[Product]])</f>
        <v>Government,Canada,Montana</v>
      </c>
      <c r="E545" s="6" t="s">
        <v>34</v>
      </c>
      <c r="F545">
        <f t="shared" ca="1" si="16"/>
        <v>817</v>
      </c>
      <c r="G545" s="1">
        <f ca="1">VLOOKUP(financials[[#This Row],[ID]],Prices!D:F,2,FALSE)</f>
        <v>12</v>
      </c>
      <c r="H545" s="1">
        <f ca="1">VLOOKUP(financials[[#This Row],[ID]],Prices!D:F,3,FALSE)</f>
        <v>30</v>
      </c>
      <c r="I545" s="1">
        <f ca="1">financials[[#This Row],[Units Sold]]*financials[[#This Row],[Sale Price]]</f>
        <v>24510</v>
      </c>
      <c r="J5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1225.5</v>
      </c>
      <c r="K545" s="1">
        <f ca="1">financials[[#This Row],[Gross Sales]]-financials[[#This Row],[Discounts]]</f>
        <v>23284.5</v>
      </c>
      <c r="L545" s="1">
        <f ca="1">financials[[#This Row],[Units Sold]]*financials[[#This Row],[Manufacturing Price]]</f>
        <v>9804</v>
      </c>
      <c r="M545" s="1">
        <f ca="1">financials[[#This Row],[Sales]]-financials[[#This Row],[COGS]]</f>
        <v>13480.5</v>
      </c>
      <c r="N545" s="7">
        <f t="shared" ca="1" si="17"/>
        <v>45522</v>
      </c>
      <c r="O545" s="8">
        <f ca="1">MONTH(financials[[#This Row],[Date]])</f>
        <v>8</v>
      </c>
      <c r="P545" s="6" t="str">
        <f ca="1">TEXT(financials[[#This Row],[Date]],"MMM")</f>
        <v>Aug</v>
      </c>
      <c r="Q545">
        <f ca="1">YEAR(financials[[#This Row],[Date]])</f>
        <v>2024</v>
      </c>
      <c r="S545" s="10"/>
    </row>
    <row r="546" spans="1:19" x14ac:dyDescent="0.3">
      <c r="A546" t="s">
        <v>16</v>
      </c>
      <c r="B546" t="s">
        <v>23</v>
      </c>
      <c r="C546" s="6" t="s">
        <v>24</v>
      </c>
      <c r="D546" s="6" t="str">
        <f>CONCATENATE(financials[[#This Row],[Segment]],",",financials[[#This Row],[Country]],",",financials[[#This Row],[Product]])</f>
        <v>Government,Mexico,Montana</v>
      </c>
      <c r="E546" s="6" t="s">
        <v>34</v>
      </c>
      <c r="F546">
        <f t="shared" ca="1" si="16"/>
        <v>833</v>
      </c>
      <c r="G546" s="1">
        <f ca="1">VLOOKUP(financials[[#This Row],[ID]],Prices!D:F,2,FALSE)</f>
        <v>19</v>
      </c>
      <c r="H546" s="1">
        <f ca="1">VLOOKUP(financials[[#This Row],[ID]],Prices!D:F,3,FALSE)</f>
        <v>20</v>
      </c>
      <c r="I546" s="1">
        <f ca="1">financials[[#This Row],[Units Sold]]*financials[[#This Row],[Sale Price]]</f>
        <v>16660</v>
      </c>
      <c r="J5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833</v>
      </c>
      <c r="K546" s="1">
        <f ca="1">financials[[#This Row],[Gross Sales]]-financials[[#This Row],[Discounts]]</f>
        <v>15827</v>
      </c>
      <c r="L546" s="1">
        <f ca="1">financials[[#This Row],[Units Sold]]*financials[[#This Row],[Manufacturing Price]]</f>
        <v>15827</v>
      </c>
      <c r="M546" s="1">
        <f ca="1">financials[[#This Row],[Sales]]-financials[[#This Row],[COGS]]</f>
        <v>0</v>
      </c>
      <c r="N546" s="7">
        <f t="shared" ca="1" si="17"/>
        <v>45612</v>
      </c>
      <c r="O546" s="8">
        <f ca="1">MONTH(financials[[#This Row],[Date]])</f>
        <v>11</v>
      </c>
      <c r="P546" s="6" t="str">
        <f ca="1">TEXT(financials[[#This Row],[Date]],"MMM")</f>
        <v>Nov</v>
      </c>
      <c r="Q546">
        <f ca="1">YEAR(financials[[#This Row],[Date]])</f>
        <v>2024</v>
      </c>
      <c r="S546" s="10"/>
    </row>
    <row r="547" spans="1:19" x14ac:dyDescent="0.3">
      <c r="A547" t="s">
        <v>27</v>
      </c>
      <c r="B547" t="s">
        <v>22</v>
      </c>
      <c r="C547" s="6" t="s">
        <v>24</v>
      </c>
      <c r="D547" s="6" t="str">
        <f>CONCATENATE(financials[[#This Row],[Segment]],",",financials[[#This Row],[Country]],",",financials[[#This Row],[Product]])</f>
        <v>Small Business,France,Montana</v>
      </c>
      <c r="E547" s="6" t="s">
        <v>34</v>
      </c>
      <c r="F547">
        <f t="shared" ca="1" si="16"/>
        <v>782</v>
      </c>
      <c r="G547" s="1">
        <f ca="1">VLOOKUP(financials[[#This Row],[ID]],Prices!D:F,2,FALSE)</f>
        <v>14</v>
      </c>
      <c r="H547" s="1">
        <f ca="1">VLOOKUP(financials[[#This Row],[ID]],Prices!D:F,3,FALSE)</f>
        <v>35</v>
      </c>
      <c r="I547" s="1">
        <f ca="1">financials[[#This Row],[Units Sold]]*financials[[#This Row],[Sale Price]]</f>
        <v>27370</v>
      </c>
      <c r="J5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1368.5</v>
      </c>
      <c r="K547" s="1">
        <f ca="1">financials[[#This Row],[Gross Sales]]-financials[[#This Row],[Discounts]]</f>
        <v>26001.5</v>
      </c>
      <c r="L547" s="1">
        <f ca="1">financials[[#This Row],[Units Sold]]*financials[[#This Row],[Manufacturing Price]]</f>
        <v>10948</v>
      </c>
      <c r="M547" s="1">
        <f ca="1">financials[[#This Row],[Sales]]-financials[[#This Row],[COGS]]</f>
        <v>15053.5</v>
      </c>
      <c r="N547" s="7">
        <f t="shared" ca="1" si="17"/>
        <v>45722</v>
      </c>
      <c r="O547" s="8">
        <f ca="1">MONTH(financials[[#This Row],[Date]])</f>
        <v>3</v>
      </c>
      <c r="P547" s="6" t="str">
        <f ca="1">TEXT(financials[[#This Row],[Date]],"MMM")</f>
        <v>Mar</v>
      </c>
      <c r="Q547">
        <f ca="1">YEAR(financials[[#This Row],[Date]])</f>
        <v>2025</v>
      </c>
      <c r="S547" s="10"/>
    </row>
    <row r="548" spans="1:19" x14ac:dyDescent="0.3">
      <c r="A548" t="s">
        <v>27</v>
      </c>
      <c r="B548" t="s">
        <v>36</v>
      </c>
      <c r="C548" s="6" t="s">
        <v>28</v>
      </c>
      <c r="D548" s="6" t="str">
        <f>CONCATENATE(financials[[#This Row],[Segment]],",",financials[[#This Row],[Country]],",",financials[[#This Row],[Product]])</f>
        <v>Small Business,USA,Paseo</v>
      </c>
      <c r="E548" s="6" t="s">
        <v>34</v>
      </c>
      <c r="F548">
        <f t="shared" ca="1" si="16"/>
        <v>450</v>
      </c>
      <c r="G548" s="1">
        <f ca="1">VLOOKUP(financials[[#This Row],[ID]],Prices!D:F,2,FALSE)</f>
        <v>17</v>
      </c>
      <c r="H548" s="1">
        <f ca="1">VLOOKUP(financials[[#This Row],[ID]],Prices!D:F,3,FALSE)</f>
        <v>23</v>
      </c>
      <c r="I548" s="1">
        <f ca="1">financials[[#This Row],[Units Sold]]*financials[[#This Row],[Sale Price]]</f>
        <v>10350</v>
      </c>
      <c r="J5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517.5</v>
      </c>
      <c r="K548" s="1">
        <f ca="1">financials[[#This Row],[Gross Sales]]-financials[[#This Row],[Discounts]]</f>
        <v>9832.5</v>
      </c>
      <c r="L548" s="1">
        <f ca="1">financials[[#This Row],[Units Sold]]*financials[[#This Row],[Manufacturing Price]]</f>
        <v>7650</v>
      </c>
      <c r="M548" s="1">
        <f ca="1">financials[[#This Row],[Sales]]-financials[[#This Row],[COGS]]</f>
        <v>2182.5</v>
      </c>
      <c r="N548" s="7">
        <f t="shared" ca="1" si="17"/>
        <v>45446</v>
      </c>
      <c r="O548" s="8">
        <f ca="1">MONTH(financials[[#This Row],[Date]])</f>
        <v>6</v>
      </c>
      <c r="P548" s="6" t="str">
        <f ca="1">TEXT(financials[[#This Row],[Date]],"MMM")</f>
        <v>Jun</v>
      </c>
      <c r="Q548">
        <f ca="1">YEAR(financials[[#This Row],[Date]])</f>
        <v>2024</v>
      </c>
      <c r="S548" s="10"/>
    </row>
    <row r="549" spans="1:19" x14ac:dyDescent="0.3">
      <c r="A549" t="s">
        <v>16</v>
      </c>
      <c r="B549" t="s">
        <v>23</v>
      </c>
      <c r="C549" s="6" t="s">
        <v>28</v>
      </c>
      <c r="D549" s="6" t="str">
        <f>CONCATENATE(financials[[#This Row],[Segment]],",",financials[[#This Row],[Country]],",",financials[[#This Row],[Product]])</f>
        <v>Government,Mexico,Paseo</v>
      </c>
      <c r="E549" s="6" t="s">
        <v>34</v>
      </c>
      <c r="F549">
        <f t="shared" ca="1" si="16"/>
        <v>556</v>
      </c>
      <c r="G549" s="1">
        <f ca="1">VLOOKUP(financials[[#This Row],[ID]],Prices!D:F,2,FALSE)</f>
        <v>18</v>
      </c>
      <c r="H549" s="1">
        <f ca="1">VLOOKUP(financials[[#This Row],[ID]],Prices!D:F,3,FALSE)</f>
        <v>19</v>
      </c>
      <c r="I549" s="1">
        <f ca="1">financials[[#This Row],[Units Sold]]*financials[[#This Row],[Sale Price]]</f>
        <v>10564</v>
      </c>
      <c r="J5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528.20000000000005</v>
      </c>
      <c r="K549" s="1">
        <f ca="1">financials[[#This Row],[Gross Sales]]-financials[[#This Row],[Discounts]]</f>
        <v>10035.799999999999</v>
      </c>
      <c r="L549" s="1">
        <f ca="1">financials[[#This Row],[Units Sold]]*financials[[#This Row],[Manufacturing Price]]</f>
        <v>10008</v>
      </c>
      <c r="M549" s="1">
        <f ca="1">financials[[#This Row],[Sales]]-financials[[#This Row],[COGS]]</f>
        <v>27.799999999999272</v>
      </c>
      <c r="N549" s="7">
        <f t="shared" ca="1" si="17"/>
        <v>45100</v>
      </c>
      <c r="O549" s="8">
        <f ca="1">MONTH(financials[[#This Row],[Date]])</f>
        <v>6</v>
      </c>
      <c r="P549" s="6" t="str">
        <f ca="1">TEXT(financials[[#This Row],[Date]],"MMM")</f>
        <v>Jun</v>
      </c>
      <c r="Q549">
        <f ca="1">YEAR(financials[[#This Row],[Date]])</f>
        <v>2023</v>
      </c>
      <c r="S549" s="10"/>
    </row>
    <row r="550" spans="1:19" x14ac:dyDescent="0.3">
      <c r="A550" t="s">
        <v>26</v>
      </c>
      <c r="B550" t="s">
        <v>23</v>
      </c>
      <c r="C550" s="6" t="s">
        <v>28</v>
      </c>
      <c r="D550" s="6" t="str">
        <f>CONCATENATE(financials[[#This Row],[Segment]],",",financials[[#This Row],[Country]],",",financials[[#This Row],[Product]])</f>
        <v>Enterprise,Mexico,Paseo</v>
      </c>
      <c r="E550" s="6" t="s">
        <v>34</v>
      </c>
      <c r="F550">
        <f t="shared" ca="1" si="16"/>
        <v>748</v>
      </c>
      <c r="G550" s="1">
        <f ca="1">VLOOKUP(financials[[#This Row],[ID]],Prices!D:F,2,FALSE)</f>
        <v>17</v>
      </c>
      <c r="H550" s="1">
        <f ca="1">VLOOKUP(financials[[#This Row],[ID]],Prices!D:F,3,FALSE)</f>
        <v>27</v>
      </c>
      <c r="I550" s="1">
        <f ca="1">financials[[#This Row],[Units Sold]]*financials[[#This Row],[Sale Price]]</f>
        <v>20196</v>
      </c>
      <c r="J5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1009.8000000000001</v>
      </c>
      <c r="K550" s="1">
        <f ca="1">financials[[#This Row],[Gross Sales]]-financials[[#This Row],[Discounts]]</f>
        <v>19186.2</v>
      </c>
      <c r="L550" s="1">
        <f ca="1">financials[[#This Row],[Units Sold]]*financials[[#This Row],[Manufacturing Price]]</f>
        <v>12716</v>
      </c>
      <c r="M550" s="1">
        <f ca="1">financials[[#This Row],[Sales]]-financials[[#This Row],[COGS]]</f>
        <v>6470.2000000000007</v>
      </c>
      <c r="N550" s="7">
        <f t="shared" ca="1" si="17"/>
        <v>45083</v>
      </c>
      <c r="O550" s="8">
        <f ca="1">MONTH(financials[[#This Row],[Date]])</f>
        <v>6</v>
      </c>
      <c r="P550" s="6" t="str">
        <f ca="1">TEXT(financials[[#This Row],[Date]],"MMM")</f>
        <v>Jun</v>
      </c>
      <c r="Q550">
        <f ca="1">YEAR(financials[[#This Row],[Date]])</f>
        <v>2023</v>
      </c>
      <c r="S550" s="10"/>
    </row>
    <row r="551" spans="1:19" x14ac:dyDescent="0.3">
      <c r="A551" t="s">
        <v>16</v>
      </c>
      <c r="B551" t="s">
        <v>23</v>
      </c>
      <c r="C551" s="6" t="s">
        <v>28</v>
      </c>
      <c r="D551" s="6" t="str">
        <f>CONCATENATE(financials[[#This Row],[Segment]],",",financials[[#This Row],[Country]],",",financials[[#This Row],[Product]])</f>
        <v>Government,Mexico,Paseo</v>
      </c>
      <c r="E551" s="6" t="s">
        <v>34</v>
      </c>
      <c r="F551">
        <f t="shared" ca="1" si="16"/>
        <v>905</v>
      </c>
      <c r="G551" s="1">
        <f ca="1">VLOOKUP(financials[[#This Row],[ID]],Prices!D:F,2,FALSE)</f>
        <v>18</v>
      </c>
      <c r="H551" s="1">
        <f ca="1">VLOOKUP(financials[[#This Row],[ID]],Prices!D:F,3,FALSE)</f>
        <v>19</v>
      </c>
      <c r="I551" s="1">
        <f ca="1">financials[[#This Row],[Units Sold]]*financials[[#This Row],[Sale Price]]</f>
        <v>17195</v>
      </c>
      <c r="J5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859.75</v>
      </c>
      <c r="K551" s="1">
        <f ca="1">financials[[#This Row],[Gross Sales]]-financials[[#This Row],[Discounts]]</f>
        <v>16335.25</v>
      </c>
      <c r="L551" s="1">
        <f ca="1">financials[[#This Row],[Units Sold]]*financials[[#This Row],[Manufacturing Price]]</f>
        <v>16290</v>
      </c>
      <c r="M551" s="1">
        <f ca="1">financials[[#This Row],[Sales]]-financials[[#This Row],[COGS]]</f>
        <v>45.25</v>
      </c>
      <c r="N551" s="7">
        <f t="shared" ca="1" si="17"/>
        <v>45315</v>
      </c>
      <c r="O551" s="8">
        <f ca="1">MONTH(financials[[#This Row],[Date]])</f>
        <v>1</v>
      </c>
      <c r="P551" s="6" t="str">
        <f ca="1">TEXT(financials[[#This Row],[Date]],"MMM")</f>
        <v>Jan</v>
      </c>
      <c r="Q551">
        <f ca="1">YEAR(financials[[#This Row],[Date]])</f>
        <v>2024</v>
      </c>
      <c r="S551" s="10"/>
    </row>
    <row r="552" spans="1:19" x14ac:dyDescent="0.3">
      <c r="A552" t="s">
        <v>16</v>
      </c>
      <c r="B552" t="s">
        <v>23</v>
      </c>
      <c r="C552" s="6" t="s">
        <v>28</v>
      </c>
      <c r="D552" s="6" t="str">
        <f>CONCATENATE(financials[[#This Row],[Segment]],",",financials[[#This Row],[Country]],",",financials[[#This Row],[Product]])</f>
        <v>Government,Mexico,Paseo</v>
      </c>
      <c r="E552" s="6" t="s">
        <v>34</v>
      </c>
      <c r="F552">
        <f t="shared" ca="1" si="16"/>
        <v>293</v>
      </c>
      <c r="G552" s="1">
        <f ca="1">VLOOKUP(financials[[#This Row],[ID]],Prices!D:F,2,FALSE)</f>
        <v>18</v>
      </c>
      <c r="H552" s="1">
        <f ca="1">VLOOKUP(financials[[#This Row],[ID]],Prices!D:F,3,FALSE)</f>
        <v>19</v>
      </c>
      <c r="I552" s="1">
        <f ca="1">financials[[#This Row],[Units Sold]]*financials[[#This Row],[Sale Price]]</f>
        <v>5567</v>
      </c>
      <c r="J5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278.35000000000002</v>
      </c>
      <c r="K552" s="1">
        <f ca="1">financials[[#This Row],[Gross Sales]]-financials[[#This Row],[Discounts]]</f>
        <v>5288.65</v>
      </c>
      <c r="L552" s="1">
        <f ca="1">financials[[#This Row],[Units Sold]]*financials[[#This Row],[Manufacturing Price]]</f>
        <v>5274</v>
      </c>
      <c r="M552" s="1">
        <f ca="1">financials[[#This Row],[Sales]]-financials[[#This Row],[COGS]]</f>
        <v>14.649999999999636</v>
      </c>
      <c r="N552" s="7">
        <f t="shared" ca="1" si="17"/>
        <v>45747</v>
      </c>
      <c r="O552" s="8">
        <f ca="1">MONTH(financials[[#This Row],[Date]])</f>
        <v>3</v>
      </c>
      <c r="P552" s="6" t="str">
        <f ca="1">TEXT(financials[[#This Row],[Date]],"MMM")</f>
        <v>Mar</v>
      </c>
      <c r="Q552">
        <f ca="1">YEAR(financials[[#This Row],[Date]])</f>
        <v>2025</v>
      </c>
      <c r="S552" s="10"/>
    </row>
    <row r="553" spans="1:19" x14ac:dyDescent="0.3">
      <c r="A553" t="s">
        <v>16</v>
      </c>
      <c r="B553" t="s">
        <v>22</v>
      </c>
      <c r="C553" s="6" t="s">
        <v>28</v>
      </c>
      <c r="D553" s="6" t="str">
        <f>CONCATENATE(financials[[#This Row],[Segment]],",",financials[[#This Row],[Country]],",",financials[[#This Row],[Product]])</f>
        <v>Government,France,Paseo</v>
      </c>
      <c r="E553" s="6" t="s">
        <v>34</v>
      </c>
      <c r="F553">
        <f t="shared" ca="1" si="16"/>
        <v>461</v>
      </c>
      <c r="G553" s="1">
        <f ca="1">VLOOKUP(financials[[#This Row],[ID]],Prices!D:F,2,FALSE)</f>
        <v>14</v>
      </c>
      <c r="H553" s="1">
        <f ca="1">VLOOKUP(financials[[#This Row],[ID]],Prices!D:F,3,FALSE)</f>
        <v>18</v>
      </c>
      <c r="I553" s="1">
        <f ca="1">financials[[#This Row],[Units Sold]]*financials[[#This Row],[Sale Price]]</f>
        <v>8298</v>
      </c>
      <c r="J5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414.90000000000003</v>
      </c>
      <c r="K553" s="1">
        <f ca="1">financials[[#This Row],[Gross Sales]]-financials[[#This Row],[Discounts]]</f>
        <v>7883.1</v>
      </c>
      <c r="L553" s="1">
        <f ca="1">financials[[#This Row],[Units Sold]]*financials[[#This Row],[Manufacturing Price]]</f>
        <v>6454</v>
      </c>
      <c r="M553" s="1">
        <f ca="1">financials[[#This Row],[Sales]]-financials[[#This Row],[COGS]]</f>
        <v>1429.1000000000004</v>
      </c>
      <c r="N553" s="7">
        <f t="shared" ca="1" si="17"/>
        <v>45282</v>
      </c>
      <c r="O553" s="8">
        <f ca="1">MONTH(financials[[#This Row],[Date]])</f>
        <v>12</v>
      </c>
      <c r="P553" s="6" t="str">
        <f ca="1">TEXT(financials[[#This Row],[Date]],"MMM")</f>
        <v>Dec</v>
      </c>
      <c r="Q553">
        <f ca="1">YEAR(financials[[#This Row],[Date]])</f>
        <v>2023</v>
      </c>
      <c r="S553" s="10"/>
    </row>
    <row r="554" spans="1:19" x14ac:dyDescent="0.3">
      <c r="A554" t="s">
        <v>27</v>
      </c>
      <c r="B554" t="s">
        <v>20</v>
      </c>
      <c r="C554" s="6" t="s">
        <v>28</v>
      </c>
      <c r="D554" s="6" t="str">
        <f>CONCATENATE(financials[[#This Row],[Segment]],",",financials[[#This Row],[Country]],",",financials[[#This Row],[Product]])</f>
        <v>Small Business,Germany,Paseo</v>
      </c>
      <c r="E554" s="6" t="s">
        <v>34</v>
      </c>
      <c r="F554">
        <f t="shared" ca="1" si="16"/>
        <v>960</v>
      </c>
      <c r="G554" s="1">
        <f ca="1">VLOOKUP(financials[[#This Row],[ID]],Prices!D:F,2,FALSE)</f>
        <v>19</v>
      </c>
      <c r="H554" s="1">
        <f ca="1">VLOOKUP(financials[[#This Row],[ID]],Prices!D:F,3,FALSE)</f>
        <v>25</v>
      </c>
      <c r="I554" s="1">
        <f ca="1">financials[[#This Row],[Units Sold]]*financials[[#This Row],[Sale Price]]</f>
        <v>24000</v>
      </c>
      <c r="J5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1200</v>
      </c>
      <c r="K554" s="1">
        <f ca="1">financials[[#This Row],[Gross Sales]]-financials[[#This Row],[Discounts]]</f>
        <v>22800</v>
      </c>
      <c r="L554" s="1">
        <f ca="1">financials[[#This Row],[Units Sold]]*financials[[#This Row],[Manufacturing Price]]</f>
        <v>18240</v>
      </c>
      <c r="M554" s="1">
        <f ca="1">financials[[#This Row],[Sales]]-financials[[#This Row],[COGS]]</f>
        <v>4560</v>
      </c>
      <c r="N554" s="7">
        <f t="shared" ca="1" si="17"/>
        <v>45389</v>
      </c>
      <c r="O554" s="8">
        <f ca="1">MONTH(financials[[#This Row],[Date]])</f>
        <v>4</v>
      </c>
      <c r="P554" s="6" t="str">
        <f ca="1">TEXT(financials[[#This Row],[Date]],"MMM")</f>
        <v>Apr</v>
      </c>
      <c r="Q554">
        <f ca="1">YEAR(financials[[#This Row],[Date]])</f>
        <v>2024</v>
      </c>
      <c r="S554" s="10"/>
    </row>
    <row r="555" spans="1:19" x14ac:dyDescent="0.3">
      <c r="A555" t="s">
        <v>27</v>
      </c>
      <c r="B555" t="s">
        <v>23</v>
      </c>
      <c r="C555" s="6" t="s">
        <v>28</v>
      </c>
      <c r="D555" s="6" t="str">
        <f>CONCATENATE(financials[[#This Row],[Segment]],",",financials[[#This Row],[Country]],",",financials[[#This Row],[Product]])</f>
        <v>Small Business,Mexico,Paseo</v>
      </c>
      <c r="E555" s="6" t="s">
        <v>34</v>
      </c>
      <c r="F555">
        <f t="shared" ca="1" si="16"/>
        <v>429</v>
      </c>
      <c r="G555" s="1">
        <f ca="1">VLOOKUP(financials[[#This Row],[ID]],Prices!D:F,2,FALSE)</f>
        <v>20</v>
      </c>
      <c r="H555" s="1">
        <f ca="1">VLOOKUP(financials[[#This Row],[ID]],Prices!D:F,3,FALSE)</f>
        <v>20</v>
      </c>
      <c r="I555" s="1">
        <f ca="1">financials[[#This Row],[Units Sold]]*financials[[#This Row],[Sale Price]]</f>
        <v>8580</v>
      </c>
      <c r="J5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429</v>
      </c>
      <c r="K555" s="1">
        <f ca="1">financials[[#This Row],[Gross Sales]]-financials[[#This Row],[Discounts]]</f>
        <v>8151</v>
      </c>
      <c r="L555" s="1">
        <f ca="1">financials[[#This Row],[Units Sold]]*financials[[#This Row],[Manufacturing Price]]</f>
        <v>8580</v>
      </c>
      <c r="M555" s="1">
        <f ca="1">financials[[#This Row],[Sales]]-financials[[#This Row],[COGS]]</f>
        <v>-429</v>
      </c>
      <c r="N555" s="7">
        <f t="shared" ca="1" si="17"/>
        <v>45277</v>
      </c>
      <c r="O555" s="8">
        <f ca="1">MONTH(financials[[#This Row],[Date]])</f>
        <v>12</v>
      </c>
      <c r="P555" s="6" t="str">
        <f ca="1">TEXT(financials[[#This Row],[Date]],"MMM")</f>
        <v>Dec</v>
      </c>
      <c r="Q555">
        <f ca="1">YEAR(financials[[#This Row],[Date]])</f>
        <v>2023</v>
      </c>
      <c r="S555" s="10"/>
    </row>
    <row r="556" spans="1:19" x14ac:dyDescent="0.3">
      <c r="A556" t="s">
        <v>16</v>
      </c>
      <c r="B556" t="s">
        <v>23</v>
      </c>
      <c r="C556" s="6" t="s">
        <v>28</v>
      </c>
      <c r="D556" s="6" t="str">
        <f>CONCATENATE(financials[[#This Row],[Segment]],",",financials[[#This Row],[Country]],",",financials[[#This Row],[Product]])</f>
        <v>Government,Mexico,Paseo</v>
      </c>
      <c r="E556" s="6" t="s">
        <v>34</v>
      </c>
      <c r="F556">
        <f t="shared" ca="1" si="16"/>
        <v>918</v>
      </c>
      <c r="G556" s="1">
        <f ca="1">VLOOKUP(financials[[#This Row],[ID]],Prices!D:F,2,FALSE)</f>
        <v>18</v>
      </c>
      <c r="H556" s="1">
        <f ca="1">VLOOKUP(financials[[#This Row],[ID]],Prices!D:F,3,FALSE)</f>
        <v>19</v>
      </c>
      <c r="I556" s="1">
        <f ca="1">financials[[#This Row],[Units Sold]]*financials[[#This Row],[Sale Price]]</f>
        <v>17442</v>
      </c>
      <c r="J5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872.1</v>
      </c>
      <c r="K556" s="1">
        <f ca="1">financials[[#This Row],[Gross Sales]]-financials[[#This Row],[Discounts]]</f>
        <v>16569.900000000001</v>
      </c>
      <c r="L556" s="1">
        <f ca="1">financials[[#This Row],[Units Sold]]*financials[[#This Row],[Manufacturing Price]]</f>
        <v>16524</v>
      </c>
      <c r="M556" s="1">
        <f ca="1">financials[[#This Row],[Sales]]-financials[[#This Row],[COGS]]</f>
        <v>45.900000000001455</v>
      </c>
      <c r="N556" s="7">
        <f t="shared" ca="1" si="17"/>
        <v>45075</v>
      </c>
      <c r="O556" s="8">
        <f ca="1">MONTH(financials[[#This Row],[Date]])</f>
        <v>5</v>
      </c>
      <c r="P556" s="6" t="str">
        <f ca="1">TEXT(financials[[#This Row],[Date]],"MMM")</f>
        <v>May</v>
      </c>
      <c r="Q556">
        <f ca="1">YEAR(financials[[#This Row],[Date]])</f>
        <v>2023</v>
      </c>
      <c r="S556" s="10"/>
    </row>
    <row r="557" spans="1:19" x14ac:dyDescent="0.3">
      <c r="A557" t="s">
        <v>21</v>
      </c>
      <c r="B557" t="s">
        <v>23</v>
      </c>
      <c r="C557" s="6" t="s">
        <v>28</v>
      </c>
      <c r="D557" s="6" t="str">
        <f>CONCATENATE(financials[[#This Row],[Segment]],",",financials[[#This Row],[Country]],",",financials[[#This Row],[Product]])</f>
        <v>Midmarket,Mexico,Paseo</v>
      </c>
      <c r="E557" s="6" t="s">
        <v>34</v>
      </c>
      <c r="F557">
        <f t="shared" ca="1" si="16"/>
        <v>336</v>
      </c>
      <c r="G557" s="1">
        <f ca="1">VLOOKUP(financials[[#This Row],[ID]],Prices!D:F,2,FALSE)</f>
        <v>11</v>
      </c>
      <c r="H557" s="1">
        <f ca="1">VLOOKUP(financials[[#This Row],[ID]],Prices!D:F,3,FALSE)</f>
        <v>21</v>
      </c>
      <c r="I557" s="1">
        <f ca="1">financials[[#This Row],[Units Sold]]*financials[[#This Row],[Sale Price]]</f>
        <v>7056</v>
      </c>
      <c r="J5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352.8</v>
      </c>
      <c r="K557" s="1">
        <f ca="1">financials[[#This Row],[Gross Sales]]-financials[[#This Row],[Discounts]]</f>
        <v>6703.2</v>
      </c>
      <c r="L557" s="1">
        <f ca="1">financials[[#This Row],[Units Sold]]*financials[[#This Row],[Manufacturing Price]]</f>
        <v>3696</v>
      </c>
      <c r="M557" s="1">
        <f ca="1">financials[[#This Row],[Sales]]-financials[[#This Row],[COGS]]</f>
        <v>3007.2</v>
      </c>
      <c r="N557" s="7">
        <f t="shared" ca="1" si="17"/>
        <v>45355</v>
      </c>
      <c r="O557" s="8">
        <f ca="1">MONTH(financials[[#This Row],[Date]])</f>
        <v>3</v>
      </c>
      <c r="P557" s="6" t="str">
        <f ca="1">TEXT(financials[[#This Row],[Date]],"MMM")</f>
        <v>Mar</v>
      </c>
      <c r="Q557">
        <f ca="1">YEAR(financials[[#This Row],[Date]])</f>
        <v>2024</v>
      </c>
      <c r="S557" s="10"/>
    </row>
    <row r="558" spans="1:19" x14ac:dyDescent="0.3">
      <c r="A558" t="s">
        <v>16</v>
      </c>
      <c r="B558" t="s">
        <v>23</v>
      </c>
      <c r="C558" s="6" t="s">
        <v>28</v>
      </c>
      <c r="D558" s="6" t="str">
        <f>CONCATENATE(financials[[#This Row],[Segment]],",",financials[[#This Row],[Country]],",",financials[[#This Row],[Product]])</f>
        <v>Government,Mexico,Paseo</v>
      </c>
      <c r="E558" s="6" t="s">
        <v>34</v>
      </c>
      <c r="F558">
        <f t="shared" ca="1" si="16"/>
        <v>599</v>
      </c>
      <c r="G558" s="1">
        <f ca="1">VLOOKUP(financials[[#This Row],[ID]],Prices!D:F,2,FALSE)</f>
        <v>18</v>
      </c>
      <c r="H558" s="1">
        <f ca="1">VLOOKUP(financials[[#This Row],[ID]],Prices!D:F,3,FALSE)</f>
        <v>19</v>
      </c>
      <c r="I558" s="1">
        <f ca="1">financials[[#This Row],[Units Sold]]*financials[[#This Row],[Sale Price]]</f>
        <v>11381</v>
      </c>
      <c r="J5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569.05000000000007</v>
      </c>
      <c r="K558" s="1">
        <f ca="1">financials[[#This Row],[Gross Sales]]-financials[[#This Row],[Discounts]]</f>
        <v>10811.95</v>
      </c>
      <c r="L558" s="1">
        <f ca="1">financials[[#This Row],[Units Sold]]*financials[[#This Row],[Manufacturing Price]]</f>
        <v>10782</v>
      </c>
      <c r="M558" s="1">
        <f ca="1">financials[[#This Row],[Sales]]-financials[[#This Row],[COGS]]</f>
        <v>29.950000000000728</v>
      </c>
      <c r="N558" s="7">
        <f t="shared" ca="1" si="17"/>
        <v>45095</v>
      </c>
      <c r="O558" s="8">
        <f ca="1">MONTH(financials[[#This Row],[Date]])</f>
        <v>6</v>
      </c>
      <c r="P558" s="6" t="str">
        <f ca="1">TEXT(financials[[#This Row],[Date]],"MMM")</f>
        <v>Jun</v>
      </c>
      <c r="Q558">
        <f ca="1">YEAR(financials[[#This Row],[Date]])</f>
        <v>2023</v>
      </c>
      <c r="S558" s="10"/>
    </row>
    <row r="559" spans="1:19" x14ac:dyDescent="0.3">
      <c r="A559" t="s">
        <v>16</v>
      </c>
      <c r="B559" t="s">
        <v>23</v>
      </c>
      <c r="C559" s="6" t="s">
        <v>29</v>
      </c>
      <c r="D559" s="6" t="str">
        <f>CONCATENATE(financials[[#This Row],[Segment]],",",financials[[#This Row],[Country]],",",financials[[#This Row],[Product]])</f>
        <v>Government,Mexico,Velo</v>
      </c>
      <c r="E559" s="6" t="s">
        <v>34</v>
      </c>
      <c r="F559">
        <f t="shared" ca="1" si="16"/>
        <v>945</v>
      </c>
      <c r="G559" s="1">
        <f ca="1">VLOOKUP(financials[[#This Row],[ID]],Prices!D:F,2,FALSE)</f>
        <v>18</v>
      </c>
      <c r="H559" s="1">
        <f ca="1">VLOOKUP(financials[[#This Row],[ID]],Prices!D:F,3,FALSE)</f>
        <v>36</v>
      </c>
      <c r="I559" s="1">
        <f ca="1">financials[[#This Row],[Units Sold]]*financials[[#This Row],[Sale Price]]</f>
        <v>34020</v>
      </c>
      <c r="J5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1701</v>
      </c>
      <c r="K559" s="1">
        <f ca="1">financials[[#This Row],[Gross Sales]]-financials[[#This Row],[Discounts]]</f>
        <v>32319</v>
      </c>
      <c r="L559" s="1">
        <f ca="1">financials[[#This Row],[Units Sold]]*financials[[#This Row],[Manufacturing Price]]</f>
        <v>17010</v>
      </c>
      <c r="M559" s="1">
        <f ca="1">financials[[#This Row],[Sales]]-financials[[#This Row],[COGS]]</f>
        <v>15309</v>
      </c>
      <c r="N559" s="7">
        <f t="shared" ca="1" si="17"/>
        <v>45569</v>
      </c>
      <c r="O559" s="8">
        <f ca="1">MONTH(financials[[#This Row],[Date]])</f>
        <v>10</v>
      </c>
      <c r="P559" s="6" t="str">
        <f ca="1">TEXT(financials[[#This Row],[Date]],"MMM")</f>
        <v>Oct</v>
      </c>
      <c r="Q559">
        <f ca="1">YEAR(financials[[#This Row],[Date]])</f>
        <v>2024</v>
      </c>
      <c r="S559" s="10"/>
    </row>
    <row r="560" spans="1:19" x14ac:dyDescent="0.3">
      <c r="A560" t="s">
        <v>16</v>
      </c>
      <c r="B560" t="s">
        <v>36</v>
      </c>
      <c r="C560" s="6" t="s">
        <v>29</v>
      </c>
      <c r="D560" s="6" t="str">
        <f>CONCATENATE(financials[[#This Row],[Segment]],",",financials[[#This Row],[Country]],",",financials[[#This Row],[Product]])</f>
        <v>Government,USA,Velo</v>
      </c>
      <c r="E560" s="6" t="s">
        <v>34</v>
      </c>
      <c r="F560">
        <f t="shared" ca="1" si="16"/>
        <v>831</v>
      </c>
      <c r="G560" s="1">
        <f ca="1">VLOOKUP(financials[[#This Row],[ID]],Prices!D:F,2,FALSE)</f>
        <v>18</v>
      </c>
      <c r="H560" s="1">
        <f ca="1">VLOOKUP(financials[[#This Row],[ID]],Prices!D:F,3,FALSE)</f>
        <v>38</v>
      </c>
      <c r="I560" s="1">
        <f ca="1">financials[[#This Row],[Units Sold]]*financials[[#This Row],[Sale Price]]</f>
        <v>31578</v>
      </c>
      <c r="J5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1578.9</v>
      </c>
      <c r="K560" s="1">
        <f ca="1">financials[[#This Row],[Gross Sales]]-financials[[#This Row],[Discounts]]</f>
        <v>29999.1</v>
      </c>
      <c r="L560" s="1">
        <f ca="1">financials[[#This Row],[Units Sold]]*financials[[#This Row],[Manufacturing Price]]</f>
        <v>14958</v>
      </c>
      <c r="M560" s="1">
        <f ca="1">financials[[#This Row],[Sales]]-financials[[#This Row],[COGS]]</f>
        <v>15041.099999999999</v>
      </c>
      <c r="N560" s="7">
        <f t="shared" ca="1" si="17"/>
        <v>45357</v>
      </c>
      <c r="O560" s="8">
        <f ca="1">MONTH(financials[[#This Row],[Date]])</f>
        <v>3</v>
      </c>
      <c r="P560" s="6" t="str">
        <f ca="1">TEXT(financials[[#This Row],[Date]],"MMM")</f>
        <v>Mar</v>
      </c>
      <c r="Q560">
        <f ca="1">YEAR(financials[[#This Row],[Date]])</f>
        <v>2024</v>
      </c>
      <c r="S560" s="10"/>
    </row>
    <row r="561" spans="1:19" x14ac:dyDescent="0.3">
      <c r="A561" t="s">
        <v>16</v>
      </c>
      <c r="B561" t="s">
        <v>23</v>
      </c>
      <c r="C561" s="6" t="s">
        <v>29</v>
      </c>
      <c r="D561" s="6" t="str">
        <f>CONCATENATE(financials[[#This Row],[Segment]],",",financials[[#This Row],[Country]],",",financials[[#This Row],[Product]])</f>
        <v>Government,Mexico,Velo</v>
      </c>
      <c r="E561" s="6" t="s">
        <v>34</v>
      </c>
      <c r="F561">
        <f t="shared" ca="1" si="16"/>
        <v>565</v>
      </c>
      <c r="G561" s="1">
        <f ca="1">VLOOKUP(financials[[#This Row],[ID]],Prices!D:F,2,FALSE)</f>
        <v>18</v>
      </c>
      <c r="H561" s="1">
        <f ca="1">VLOOKUP(financials[[#This Row],[ID]],Prices!D:F,3,FALSE)</f>
        <v>36</v>
      </c>
      <c r="I561" s="1">
        <f ca="1">financials[[#This Row],[Units Sold]]*financials[[#This Row],[Sale Price]]</f>
        <v>20340</v>
      </c>
      <c r="J5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1017</v>
      </c>
      <c r="K561" s="1">
        <f ca="1">financials[[#This Row],[Gross Sales]]-financials[[#This Row],[Discounts]]</f>
        <v>19323</v>
      </c>
      <c r="L561" s="1">
        <f ca="1">financials[[#This Row],[Units Sold]]*financials[[#This Row],[Manufacturing Price]]</f>
        <v>10170</v>
      </c>
      <c r="M561" s="1">
        <f ca="1">financials[[#This Row],[Sales]]-financials[[#This Row],[COGS]]</f>
        <v>9153</v>
      </c>
      <c r="N561" s="7">
        <f t="shared" ca="1" si="17"/>
        <v>45099</v>
      </c>
      <c r="O561" s="8">
        <f ca="1">MONTH(financials[[#This Row],[Date]])</f>
        <v>6</v>
      </c>
      <c r="P561" s="6" t="str">
        <f ca="1">TEXT(financials[[#This Row],[Date]],"MMM")</f>
        <v>Jun</v>
      </c>
      <c r="Q561">
        <f ca="1">YEAR(financials[[#This Row],[Date]])</f>
        <v>2023</v>
      </c>
      <c r="S561" s="10"/>
    </row>
    <row r="562" spans="1:19" x14ac:dyDescent="0.3">
      <c r="A562" t="s">
        <v>25</v>
      </c>
      <c r="B562" t="s">
        <v>17</v>
      </c>
      <c r="C562" s="6" t="s">
        <v>30</v>
      </c>
      <c r="D562" s="6" t="str">
        <f>CONCATENATE(financials[[#This Row],[Segment]],",",financials[[#This Row],[Country]],",",financials[[#This Row],[Product]])</f>
        <v>Channel Partners,Canada,VTT</v>
      </c>
      <c r="E562" s="6" t="s">
        <v>34</v>
      </c>
      <c r="F562">
        <f t="shared" ca="1" si="16"/>
        <v>124</v>
      </c>
      <c r="G562" s="1">
        <f ca="1">VLOOKUP(financials[[#This Row],[ID]],Prices!D:F,2,FALSE)</f>
        <v>12</v>
      </c>
      <c r="H562" s="1">
        <f ca="1">VLOOKUP(financials[[#This Row],[ID]],Prices!D:F,3,FALSE)</f>
        <v>27</v>
      </c>
      <c r="I562" s="1">
        <f ca="1">financials[[#This Row],[Units Sold]]*financials[[#This Row],[Sale Price]]</f>
        <v>3348</v>
      </c>
      <c r="J5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167.4</v>
      </c>
      <c r="K562" s="1">
        <f ca="1">financials[[#This Row],[Gross Sales]]-financials[[#This Row],[Discounts]]</f>
        <v>3180.6</v>
      </c>
      <c r="L562" s="1">
        <f ca="1">financials[[#This Row],[Units Sold]]*financials[[#This Row],[Manufacturing Price]]</f>
        <v>1488</v>
      </c>
      <c r="M562" s="1">
        <f ca="1">financials[[#This Row],[Sales]]-financials[[#This Row],[COGS]]</f>
        <v>1692.6</v>
      </c>
      <c r="N562" s="7">
        <f t="shared" ca="1" si="17"/>
        <v>45171</v>
      </c>
      <c r="O562" s="8">
        <f ca="1">MONTH(financials[[#This Row],[Date]])</f>
        <v>9</v>
      </c>
      <c r="P562" s="6" t="str">
        <f ca="1">TEXT(financials[[#This Row],[Date]],"MMM")</f>
        <v>Sep</v>
      </c>
      <c r="Q562">
        <f ca="1">YEAR(financials[[#This Row],[Date]])</f>
        <v>2023</v>
      </c>
      <c r="S562" s="10"/>
    </row>
    <row r="563" spans="1:19" x14ac:dyDescent="0.3">
      <c r="A563" t="s">
        <v>21</v>
      </c>
      <c r="B563" t="s">
        <v>22</v>
      </c>
      <c r="C563" s="6" t="s">
        <v>30</v>
      </c>
      <c r="D563" s="6" t="str">
        <f>CONCATENATE(financials[[#This Row],[Segment]],",",financials[[#This Row],[Country]],",",financials[[#This Row],[Product]])</f>
        <v>Midmarket,France,VTT</v>
      </c>
      <c r="E563" s="6" t="s">
        <v>34</v>
      </c>
      <c r="F563">
        <f t="shared" ca="1" si="16"/>
        <v>115</v>
      </c>
      <c r="G563" s="1">
        <f ca="1">VLOOKUP(financials[[#This Row],[ID]],Prices!D:F,2,FALSE)</f>
        <v>11</v>
      </c>
      <c r="H563" s="1">
        <f ca="1">VLOOKUP(financials[[#This Row],[ID]],Prices!D:F,3,FALSE)</f>
        <v>25</v>
      </c>
      <c r="I563" s="1">
        <f ca="1">financials[[#This Row],[Units Sold]]*financials[[#This Row],[Sale Price]]</f>
        <v>2875</v>
      </c>
      <c r="J5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143.75</v>
      </c>
      <c r="K563" s="1">
        <f ca="1">financials[[#This Row],[Gross Sales]]-financials[[#This Row],[Discounts]]</f>
        <v>2731.25</v>
      </c>
      <c r="L563" s="1">
        <f ca="1">financials[[#This Row],[Units Sold]]*financials[[#This Row],[Manufacturing Price]]</f>
        <v>1265</v>
      </c>
      <c r="M563" s="1">
        <f ca="1">financials[[#This Row],[Sales]]-financials[[#This Row],[COGS]]</f>
        <v>1466.25</v>
      </c>
      <c r="N563" s="7">
        <f t="shared" ca="1" si="17"/>
        <v>45226</v>
      </c>
      <c r="O563" s="8">
        <f ca="1">MONTH(financials[[#This Row],[Date]])</f>
        <v>10</v>
      </c>
      <c r="P563" s="6" t="str">
        <f ca="1">TEXT(financials[[#This Row],[Date]],"MMM")</f>
        <v>Oct</v>
      </c>
      <c r="Q563">
        <f ca="1">YEAR(financials[[#This Row],[Date]])</f>
        <v>2023</v>
      </c>
      <c r="S563" s="10"/>
    </row>
    <row r="564" spans="1:19" x14ac:dyDescent="0.3">
      <c r="A564" t="s">
        <v>16</v>
      </c>
      <c r="B564" t="s">
        <v>17</v>
      </c>
      <c r="C564" s="6" t="s">
        <v>30</v>
      </c>
      <c r="D564" s="6" t="str">
        <f>CONCATENATE(financials[[#This Row],[Segment]],",",financials[[#This Row],[Country]],",",financials[[#This Row],[Product]])</f>
        <v>Government,Canada,VTT</v>
      </c>
      <c r="E564" s="6" t="s">
        <v>34</v>
      </c>
      <c r="F564">
        <f t="shared" ca="1" si="16"/>
        <v>634</v>
      </c>
      <c r="G564" s="1">
        <f ca="1">VLOOKUP(financials[[#This Row],[ID]],Prices!D:F,2,FALSE)</f>
        <v>17</v>
      </c>
      <c r="H564" s="1">
        <f ca="1">VLOOKUP(financials[[#This Row],[ID]],Prices!D:F,3,FALSE)</f>
        <v>38</v>
      </c>
      <c r="I564" s="1">
        <f ca="1">financials[[#This Row],[Units Sold]]*financials[[#This Row],[Sale Price]]</f>
        <v>24092</v>
      </c>
      <c r="J5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1204.6000000000001</v>
      </c>
      <c r="K564" s="1">
        <f ca="1">financials[[#This Row],[Gross Sales]]-financials[[#This Row],[Discounts]]</f>
        <v>22887.4</v>
      </c>
      <c r="L564" s="1">
        <f ca="1">financials[[#This Row],[Units Sold]]*financials[[#This Row],[Manufacturing Price]]</f>
        <v>10778</v>
      </c>
      <c r="M564" s="1">
        <f ca="1">financials[[#This Row],[Sales]]-financials[[#This Row],[COGS]]</f>
        <v>12109.400000000001</v>
      </c>
      <c r="N564" s="7">
        <f t="shared" ca="1" si="17"/>
        <v>45135</v>
      </c>
      <c r="O564" s="8">
        <f ca="1">MONTH(financials[[#This Row],[Date]])</f>
        <v>7</v>
      </c>
      <c r="P564" s="6" t="str">
        <f ca="1">TEXT(financials[[#This Row],[Date]],"MMM")</f>
        <v>Jul</v>
      </c>
      <c r="Q564">
        <f ca="1">YEAR(financials[[#This Row],[Date]])</f>
        <v>2023</v>
      </c>
      <c r="S564" s="10"/>
    </row>
    <row r="565" spans="1:19" x14ac:dyDescent="0.3">
      <c r="A565" t="s">
        <v>16</v>
      </c>
      <c r="B565" t="s">
        <v>36</v>
      </c>
      <c r="C565" s="6" t="s">
        <v>30</v>
      </c>
      <c r="D565" s="6" t="str">
        <f>CONCATENATE(financials[[#This Row],[Segment]],",",financials[[#This Row],[Country]],",",financials[[#This Row],[Product]])</f>
        <v>Government,USA,VTT</v>
      </c>
      <c r="E565" s="6" t="s">
        <v>34</v>
      </c>
      <c r="F565">
        <f t="shared" ca="1" si="16"/>
        <v>215</v>
      </c>
      <c r="G565" s="1">
        <f ca="1">VLOOKUP(financials[[#This Row],[ID]],Prices!D:F,2,FALSE)</f>
        <v>13</v>
      </c>
      <c r="H565" s="1">
        <f ca="1">VLOOKUP(financials[[#This Row],[ID]],Prices!D:F,3,FALSE)</f>
        <v>31</v>
      </c>
      <c r="I565" s="1">
        <f ca="1">financials[[#This Row],[Units Sold]]*financials[[#This Row],[Sale Price]]</f>
        <v>6665</v>
      </c>
      <c r="J5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333.25</v>
      </c>
      <c r="K565" s="1">
        <f ca="1">financials[[#This Row],[Gross Sales]]-financials[[#This Row],[Discounts]]</f>
        <v>6331.75</v>
      </c>
      <c r="L565" s="1">
        <f ca="1">financials[[#This Row],[Units Sold]]*financials[[#This Row],[Manufacturing Price]]</f>
        <v>2795</v>
      </c>
      <c r="M565" s="1">
        <f ca="1">financials[[#This Row],[Sales]]-financials[[#This Row],[COGS]]</f>
        <v>3536.75</v>
      </c>
      <c r="N565" s="7">
        <f t="shared" ca="1" si="17"/>
        <v>45216</v>
      </c>
      <c r="O565" s="8">
        <f ca="1">MONTH(financials[[#This Row],[Date]])</f>
        <v>10</v>
      </c>
      <c r="P565" s="6" t="str">
        <f ca="1">TEXT(financials[[#This Row],[Date]],"MMM")</f>
        <v>Oct</v>
      </c>
      <c r="Q565">
        <f ca="1">YEAR(financials[[#This Row],[Date]])</f>
        <v>2023</v>
      </c>
      <c r="S565" s="10"/>
    </row>
    <row r="566" spans="1:19" x14ac:dyDescent="0.3">
      <c r="A566" t="s">
        <v>26</v>
      </c>
      <c r="B566" t="s">
        <v>36</v>
      </c>
      <c r="C566" s="6" t="s">
        <v>30</v>
      </c>
      <c r="D566" s="6" t="str">
        <f>CONCATENATE(financials[[#This Row],[Segment]],",",financials[[#This Row],[Country]],",",financials[[#This Row],[Product]])</f>
        <v>Enterprise,USA,VTT</v>
      </c>
      <c r="E566" s="6" t="s">
        <v>34</v>
      </c>
      <c r="F566">
        <f t="shared" ca="1" si="16"/>
        <v>139</v>
      </c>
      <c r="G566" s="1">
        <f ca="1">VLOOKUP(financials[[#This Row],[ID]],Prices!D:F,2,FALSE)</f>
        <v>18</v>
      </c>
      <c r="H566" s="1">
        <f ca="1">VLOOKUP(financials[[#This Row],[ID]],Prices!D:F,3,FALSE)</f>
        <v>26</v>
      </c>
      <c r="I566" s="1">
        <f ca="1">financials[[#This Row],[Units Sold]]*financials[[#This Row],[Sale Price]]</f>
        <v>3614</v>
      </c>
      <c r="J5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180.70000000000002</v>
      </c>
      <c r="K566" s="1">
        <f ca="1">financials[[#This Row],[Gross Sales]]-financials[[#This Row],[Discounts]]</f>
        <v>3433.3</v>
      </c>
      <c r="L566" s="1">
        <f ca="1">financials[[#This Row],[Units Sold]]*financials[[#This Row],[Manufacturing Price]]</f>
        <v>2502</v>
      </c>
      <c r="M566" s="1">
        <f ca="1">financials[[#This Row],[Sales]]-financials[[#This Row],[COGS]]</f>
        <v>931.30000000000018</v>
      </c>
      <c r="N566" s="7">
        <f t="shared" ca="1" si="17"/>
        <v>45340</v>
      </c>
      <c r="O566" s="8">
        <f ca="1">MONTH(financials[[#This Row],[Date]])</f>
        <v>2</v>
      </c>
      <c r="P566" s="6" t="str">
        <f ca="1">TEXT(financials[[#This Row],[Date]],"MMM")</f>
        <v>Feb</v>
      </c>
      <c r="Q566">
        <f ca="1">YEAR(financials[[#This Row],[Date]])</f>
        <v>2024</v>
      </c>
      <c r="S566" s="10"/>
    </row>
    <row r="567" spans="1:19" x14ac:dyDescent="0.3">
      <c r="A567" t="s">
        <v>16</v>
      </c>
      <c r="B567" t="s">
        <v>23</v>
      </c>
      <c r="C567" s="6" t="s">
        <v>30</v>
      </c>
      <c r="D567" s="6" t="str">
        <f>CONCATENATE(financials[[#This Row],[Segment]],",",financials[[#This Row],[Country]],",",financials[[#This Row],[Product]])</f>
        <v>Government,Mexico,VTT</v>
      </c>
      <c r="E567" s="6" t="s">
        <v>34</v>
      </c>
      <c r="F567">
        <f t="shared" ca="1" si="16"/>
        <v>638</v>
      </c>
      <c r="G567" s="1">
        <f ca="1">VLOOKUP(financials[[#This Row],[ID]],Prices!D:F,2,FALSE)</f>
        <v>18</v>
      </c>
      <c r="H567" s="1">
        <f ca="1">VLOOKUP(financials[[#This Row],[ID]],Prices!D:F,3,FALSE)</f>
        <v>20</v>
      </c>
      <c r="I567" s="1">
        <f ca="1">financials[[#This Row],[Units Sold]]*financials[[#This Row],[Sale Price]]</f>
        <v>12760</v>
      </c>
      <c r="J5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638</v>
      </c>
      <c r="K567" s="1">
        <f ca="1">financials[[#This Row],[Gross Sales]]-financials[[#This Row],[Discounts]]</f>
        <v>12122</v>
      </c>
      <c r="L567" s="1">
        <f ca="1">financials[[#This Row],[Units Sold]]*financials[[#This Row],[Manufacturing Price]]</f>
        <v>11484</v>
      </c>
      <c r="M567" s="1">
        <f ca="1">financials[[#This Row],[Sales]]-financials[[#This Row],[COGS]]</f>
        <v>638</v>
      </c>
      <c r="N567" s="7">
        <f t="shared" ca="1" si="17"/>
        <v>45074</v>
      </c>
      <c r="O567" s="8">
        <f ca="1">MONTH(financials[[#This Row],[Date]])</f>
        <v>5</v>
      </c>
      <c r="P567" s="6" t="str">
        <f ca="1">TEXT(financials[[#This Row],[Date]],"MMM")</f>
        <v>May</v>
      </c>
      <c r="Q567">
        <f ca="1">YEAR(financials[[#This Row],[Date]])</f>
        <v>2023</v>
      </c>
      <c r="S567" s="10"/>
    </row>
    <row r="568" spans="1:19" x14ac:dyDescent="0.3">
      <c r="A568" t="s">
        <v>16</v>
      </c>
      <c r="B568" t="s">
        <v>36</v>
      </c>
      <c r="C568" s="6" t="s">
        <v>31</v>
      </c>
      <c r="D568" s="6" t="str">
        <f>CONCATENATE(financials[[#This Row],[Segment]],",",financials[[#This Row],[Country]],",",financials[[#This Row],[Product]])</f>
        <v>Government,USA,Amarilla</v>
      </c>
      <c r="E568" s="6" t="s">
        <v>34</v>
      </c>
      <c r="F568">
        <f t="shared" ca="1" si="16"/>
        <v>757</v>
      </c>
      <c r="G568" s="1">
        <f ca="1">VLOOKUP(financials[[#This Row],[ID]],Prices!D:F,2,FALSE)</f>
        <v>20</v>
      </c>
      <c r="H568" s="1">
        <f ca="1">VLOOKUP(financials[[#This Row],[ID]],Prices!D:F,3,FALSE)</f>
        <v>37</v>
      </c>
      <c r="I568" s="1">
        <f ca="1">financials[[#This Row],[Units Sold]]*financials[[#This Row],[Sale Price]]</f>
        <v>28009</v>
      </c>
      <c r="J5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1400.45</v>
      </c>
      <c r="K568" s="1">
        <f ca="1">financials[[#This Row],[Gross Sales]]-financials[[#This Row],[Discounts]]</f>
        <v>26608.55</v>
      </c>
      <c r="L568" s="1">
        <f ca="1">financials[[#This Row],[Units Sold]]*financials[[#This Row],[Manufacturing Price]]</f>
        <v>15140</v>
      </c>
      <c r="M568" s="1">
        <f ca="1">financials[[#This Row],[Sales]]-financials[[#This Row],[COGS]]</f>
        <v>11468.55</v>
      </c>
      <c r="N568" s="7">
        <f t="shared" ca="1" si="17"/>
        <v>45077</v>
      </c>
      <c r="O568" s="8">
        <f ca="1">MONTH(financials[[#This Row],[Date]])</f>
        <v>5</v>
      </c>
      <c r="P568" s="6" t="str">
        <f ca="1">TEXT(financials[[#This Row],[Date]],"MMM")</f>
        <v>May</v>
      </c>
      <c r="Q568">
        <f ca="1">YEAR(financials[[#This Row],[Date]])</f>
        <v>2023</v>
      </c>
      <c r="S568" s="10"/>
    </row>
    <row r="569" spans="1:19" x14ac:dyDescent="0.3">
      <c r="A569" t="s">
        <v>16</v>
      </c>
      <c r="B569" t="s">
        <v>22</v>
      </c>
      <c r="C569" s="6" t="s">
        <v>31</v>
      </c>
      <c r="D569" s="6" t="str">
        <f>CONCATENATE(financials[[#This Row],[Segment]],",",financials[[#This Row],[Country]],",",financials[[#This Row],[Product]])</f>
        <v>Government,France,Amarilla</v>
      </c>
      <c r="E569" s="6" t="s">
        <v>34</v>
      </c>
      <c r="F569">
        <f t="shared" ca="1" si="16"/>
        <v>501</v>
      </c>
      <c r="G569" s="1">
        <f ca="1">VLOOKUP(financials[[#This Row],[ID]],Prices!D:F,2,FALSE)</f>
        <v>10</v>
      </c>
      <c r="H569" s="1">
        <f ca="1">VLOOKUP(financials[[#This Row],[ID]],Prices!D:F,3,FALSE)</f>
        <v>25</v>
      </c>
      <c r="I569" s="1">
        <f ca="1">financials[[#This Row],[Units Sold]]*financials[[#This Row],[Sale Price]]</f>
        <v>12525</v>
      </c>
      <c r="J5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626.25</v>
      </c>
      <c r="K569" s="1">
        <f ca="1">financials[[#This Row],[Gross Sales]]-financials[[#This Row],[Discounts]]</f>
        <v>11898.75</v>
      </c>
      <c r="L569" s="1">
        <f ca="1">financials[[#This Row],[Units Sold]]*financials[[#This Row],[Manufacturing Price]]</f>
        <v>5010</v>
      </c>
      <c r="M569" s="1">
        <f ca="1">financials[[#This Row],[Sales]]-financials[[#This Row],[COGS]]</f>
        <v>6888.75</v>
      </c>
      <c r="N569" s="7">
        <f t="shared" ca="1" si="17"/>
        <v>45269</v>
      </c>
      <c r="O569" s="8">
        <f ca="1">MONTH(financials[[#This Row],[Date]])</f>
        <v>12</v>
      </c>
      <c r="P569" s="6" t="str">
        <f ca="1">TEXT(financials[[#This Row],[Date]],"MMM")</f>
        <v>Dec</v>
      </c>
      <c r="Q569">
        <f ca="1">YEAR(financials[[#This Row],[Date]])</f>
        <v>2023</v>
      </c>
      <c r="S569" s="10"/>
    </row>
    <row r="570" spans="1:19" x14ac:dyDescent="0.3">
      <c r="A570" t="s">
        <v>16</v>
      </c>
      <c r="B570" t="s">
        <v>17</v>
      </c>
      <c r="C570" s="6" t="s">
        <v>31</v>
      </c>
      <c r="D570" s="6" t="str">
        <f>CONCATENATE(financials[[#This Row],[Segment]],",",financials[[#This Row],[Country]],",",financials[[#This Row],[Product]])</f>
        <v>Government,Canada,Amarilla</v>
      </c>
      <c r="E570" s="6" t="s">
        <v>34</v>
      </c>
      <c r="F570">
        <f t="shared" ca="1" si="16"/>
        <v>542</v>
      </c>
      <c r="G570" s="1">
        <f ca="1">VLOOKUP(financials[[#This Row],[ID]],Prices!D:F,2,FALSE)</f>
        <v>11</v>
      </c>
      <c r="H570" s="1">
        <f ca="1">VLOOKUP(financials[[#This Row],[ID]],Prices!D:F,3,FALSE)</f>
        <v>29</v>
      </c>
      <c r="I570" s="1">
        <f ca="1">financials[[#This Row],[Units Sold]]*financials[[#This Row],[Sale Price]]</f>
        <v>15718</v>
      </c>
      <c r="J5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785.90000000000009</v>
      </c>
      <c r="K570" s="1">
        <f ca="1">financials[[#This Row],[Gross Sales]]-financials[[#This Row],[Discounts]]</f>
        <v>14932.1</v>
      </c>
      <c r="L570" s="1">
        <f ca="1">financials[[#This Row],[Units Sold]]*financials[[#This Row],[Manufacturing Price]]</f>
        <v>5962</v>
      </c>
      <c r="M570" s="1">
        <f ca="1">financials[[#This Row],[Sales]]-financials[[#This Row],[COGS]]</f>
        <v>8970.1</v>
      </c>
      <c r="N570" s="7">
        <f t="shared" ca="1" si="17"/>
        <v>45594</v>
      </c>
      <c r="O570" s="8">
        <f ca="1">MONTH(financials[[#This Row],[Date]])</f>
        <v>10</v>
      </c>
      <c r="P570" s="6" t="str">
        <f ca="1">TEXT(financials[[#This Row],[Date]],"MMM")</f>
        <v>Oct</v>
      </c>
      <c r="Q570">
        <f ca="1">YEAR(financials[[#This Row],[Date]])</f>
        <v>2024</v>
      </c>
      <c r="S570" s="10"/>
    </row>
    <row r="571" spans="1:19" x14ac:dyDescent="0.3">
      <c r="A571" t="s">
        <v>21</v>
      </c>
      <c r="B571" t="s">
        <v>36</v>
      </c>
      <c r="C571" s="6" t="s">
        <v>31</v>
      </c>
      <c r="D571" s="6" t="str">
        <f>CONCATENATE(financials[[#This Row],[Segment]],",",financials[[#This Row],[Country]],",",financials[[#This Row],[Product]])</f>
        <v>Midmarket,USA,Amarilla</v>
      </c>
      <c r="E571" s="6" t="s">
        <v>34</v>
      </c>
      <c r="F571">
        <f t="shared" ca="1" si="16"/>
        <v>188</v>
      </c>
      <c r="G571" s="1">
        <f ca="1">VLOOKUP(financials[[#This Row],[ID]],Prices!D:F,2,FALSE)</f>
        <v>12</v>
      </c>
      <c r="H571" s="1">
        <f ca="1">VLOOKUP(financials[[#This Row],[ID]],Prices!D:F,3,FALSE)</f>
        <v>21</v>
      </c>
      <c r="I571" s="1">
        <f ca="1">financials[[#This Row],[Units Sold]]*financials[[#This Row],[Sale Price]]</f>
        <v>3948</v>
      </c>
      <c r="J5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197.4</v>
      </c>
      <c r="K571" s="1">
        <f ca="1">financials[[#This Row],[Gross Sales]]-financials[[#This Row],[Discounts]]</f>
        <v>3750.6</v>
      </c>
      <c r="L571" s="1">
        <f ca="1">financials[[#This Row],[Units Sold]]*financials[[#This Row],[Manufacturing Price]]</f>
        <v>2256</v>
      </c>
      <c r="M571" s="1">
        <f ca="1">financials[[#This Row],[Sales]]-financials[[#This Row],[COGS]]</f>
        <v>1494.6</v>
      </c>
      <c r="N571" s="7">
        <f t="shared" ca="1" si="17"/>
        <v>45678</v>
      </c>
      <c r="O571" s="8">
        <f ca="1">MONTH(financials[[#This Row],[Date]])</f>
        <v>1</v>
      </c>
      <c r="P571" s="6" t="str">
        <f ca="1">TEXT(financials[[#This Row],[Date]],"MMM")</f>
        <v>Jan</v>
      </c>
      <c r="Q571">
        <f ca="1">YEAR(financials[[#This Row],[Date]])</f>
        <v>2025</v>
      </c>
      <c r="S571" s="10"/>
    </row>
    <row r="572" spans="1:19" x14ac:dyDescent="0.3">
      <c r="A572" t="s">
        <v>16</v>
      </c>
      <c r="B572" t="s">
        <v>22</v>
      </c>
      <c r="C572" s="6" t="s">
        <v>18</v>
      </c>
      <c r="D572" s="6" t="str">
        <f>CONCATENATE(financials[[#This Row],[Segment]],",",financials[[#This Row],[Country]],",",financials[[#This Row],[Product]])</f>
        <v>Government,France,Carretera</v>
      </c>
      <c r="E572" s="6" t="s">
        <v>34</v>
      </c>
      <c r="F572">
        <f t="shared" ca="1" si="16"/>
        <v>613</v>
      </c>
      <c r="G572" s="1">
        <f ca="1">VLOOKUP(financials[[#This Row],[ID]],Prices!D:F,2,FALSE)</f>
        <v>12</v>
      </c>
      <c r="H572" s="1">
        <f ca="1">VLOOKUP(financials[[#This Row],[ID]],Prices!D:F,3,FALSE)</f>
        <v>38</v>
      </c>
      <c r="I572" s="1">
        <f ca="1">financials[[#This Row],[Units Sold]]*financials[[#This Row],[Sale Price]]</f>
        <v>23294</v>
      </c>
      <c r="J5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1164.7</v>
      </c>
      <c r="K572" s="1">
        <f ca="1">financials[[#This Row],[Gross Sales]]-financials[[#This Row],[Discounts]]</f>
        <v>22129.3</v>
      </c>
      <c r="L572" s="1">
        <f ca="1">financials[[#This Row],[Units Sold]]*financials[[#This Row],[Manufacturing Price]]</f>
        <v>7356</v>
      </c>
      <c r="M572" s="1">
        <f ca="1">financials[[#This Row],[Sales]]-financials[[#This Row],[COGS]]</f>
        <v>14773.3</v>
      </c>
      <c r="N572" s="7">
        <f t="shared" ca="1" si="17"/>
        <v>45335</v>
      </c>
      <c r="O572" s="8">
        <f ca="1">MONTH(financials[[#This Row],[Date]])</f>
        <v>2</v>
      </c>
      <c r="P572" s="6" t="str">
        <f ca="1">TEXT(financials[[#This Row],[Date]],"MMM")</f>
        <v>Feb</v>
      </c>
      <c r="Q572">
        <f ca="1">YEAR(financials[[#This Row],[Date]])</f>
        <v>2024</v>
      </c>
      <c r="S572" s="10"/>
    </row>
    <row r="573" spans="1:19" x14ac:dyDescent="0.3">
      <c r="A573" t="s">
        <v>25</v>
      </c>
      <c r="B573" t="s">
        <v>23</v>
      </c>
      <c r="C573" s="6" t="s">
        <v>24</v>
      </c>
      <c r="D573" s="6" t="str">
        <f>CONCATENATE(financials[[#This Row],[Segment]],",",financials[[#This Row],[Country]],",",financials[[#This Row],[Product]])</f>
        <v>Channel Partners,Mexico,Montana</v>
      </c>
      <c r="E573" s="6" t="s">
        <v>34</v>
      </c>
      <c r="F573">
        <f t="shared" ca="1" si="16"/>
        <v>501</v>
      </c>
      <c r="G573" s="1">
        <f ca="1">VLOOKUP(financials[[#This Row],[ID]],Prices!D:F,2,FALSE)</f>
        <v>15</v>
      </c>
      <c r="H573" s="1">
        <f ca="1">VLOOKUP(financials[[#This Row],[ID]],Prices!D:F,3,FALSE)</f>
        <v>17</v>
      </c>
      <c r="I573" s="1">
        <f ca="1">financials[[#This Row],[Units Sold]]*financials[[#This Row],[Sale Price]]</f>
        <v>8517</v>
      </c>
      <c r="J5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425.85</v>
      </c>
      <c r="K573" s="1">
        <f ca="1">financials[[#This Row],[Gross Sales]]-financials[[#This Row],[Discounts]]</f>
        <v>8091.15</v>
      </c>
      <c r="L573" s="1">
        <f ca="1">financials[[#This Row],[Units Sold]]*financials[[#This Row],[Manufacturing Price]]</f>
        <v>7515</v>
      </c>
      <c r="M573" s="1">
        <f ca="1">financials[[#This Row],[Sales]]-financials[[#This Row],[COGS]]</f>
        <v>576.14999999999964</v>
      </c>
      <c r="N573" s="7">
        <f t="shared" ca="1" si="17"/>
        <v>45567</v>
      </c>
      <c r="O573" s="8">
        <f ca="1">MONTH(financials[[#This Row],[Date]])</f>
        <v>10</v>
      </c>
      <c r="P573" s="6" t="str">
        <f ca="1">TEXT(financials[[#This Row],[Date]],"MMM")</f>
        <v>Oct</v>
      </c>
      <c r="Q573">
        <f ca="1">YEAR(financials[[#This Row],[Date]])</f>
        <v>2024</v>
      </c>
      <c r="S573" s="10"/>
    </row>
    <row r="574" spans="1:19" x14ac:dyDescent="0.3">
      <c r="A574" t="s">
        <v>16</v>
      </c>
      <c r="B574" t="s">
        <v>20</v>
      </c>
      <c r="C574" s="6" t="s">
        <v>28</v>
      </c>
      <c r="D574" s="6" t="str">
        <f>CONCATENATE(financials[[#This Row],[Segment]],",",financials[[#This Row],[Country]],",",financials[[#This Row],[Product]])</f>
        <v>Government,Germany,Paseo</v>
      </c>
      <c r="E574" s="6" t="s">
        <v>34</v>
      </c>
      <c r="F574">
        <f t="shared" ca="1" si="16"/>
        <v>998</v>
      </c>
      <c r="G574" s="1">
        <f ca="1">VLOOKUP(financials[[#This Row],[ID]],Prices!D:F,2,FALSE)</f>
        <v>19</v>
      </c>
      <c r="H574" s="1">
        <f ca="1">VLOOKUP(financials[[#This Row],[ID]],Prices!D:F,3,FALSE)</f>
        <v>37</v>
      </c>
      <c r="I574" s="1">
        <f ca="1">financials[[#This Row],[Units Sold]]*financials[[#This Row],[Sale Price]]</f>
        <v>36926</v>
      </c>
      <c r="J5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1846.3000000000002</v>
      </c>
      <c r="K574" s="1">
        <f ca="1">financials[[#This Row],[Gross Sales]]-financials[[#This Row],[Discounts]]</f>
        <v>35079.699999999997</v>
      </c>
      <c r="L574" s="1">
        <f ca="1">financials[[#This Row],[Units Sold]]*financials[[#This Row],[Manufacturing Price]]</f>
        <v>18962</v>
      </c>
      <c r="M574" s="1">
        <f ca="1">financials[[#This Row],[Sales]]-financials[[#This Row],[COGS]]</f>
        <v>16117.699999999997</v>
      </c>
      <c r="N574" s="7">
        <f t="shared" ca="1" si="17"/>
        <v>45219</v>
      </c>
      <c r="O574" s="8">
        <f ca="1">MONTH(financials[[#This Row],[Date]])</f>
        <v>10</v>
      </c>
      <c r="P574" s="6" t="str">
        <f ca="1">TEXT(financials[[#This Row],[Date]],"MMM")</f>
        <v>Oct</v>
      </c>
      <c r="Q574">
        <f ca="1">YEAR(financials[[#This Row],[Date]])</f>
        <v>2023</v>
      </c>
      <c r="S574" s="10"/>
    </row>
    <row r="575" spans="1:19" x14ac:dyDescent="0.3">
      <c r="A575" t="s">
        <v>16</v>
      </c>
      <c r="B575" t="s">
        <v>22</v>
      </c>
      <c r="C575" s="6" t="s">
        <v>30</v>
      </c>
      <c r="D575" s="6" t="str">
        <f>CONCATENATE(financials[[#This Row],[Segment]],",",financials[[#This Row],[Country]],",",financials[[#This Row],[Product]])</f>
        <v>Government,France,VTT</v>
      </c>
      <c r="E575" s="6" t="s">
        <v>34</v>
      </c>
      <c r="F575">
        <f t="shared" ca="1" si="16"/>
        <v>713</v>
      </c>
      <c r="G575" s="1">
        <f ca="1">VLOOKUP(financials[[#This Row],[ID]],Prices!D:F,2,FALSE)</f>
        <v>18</v>
      </c>
      <c r="H575" s="1">
        <f ca="1">VLOOKUP(financials[[#This Row],[ID]],Prices!D:F,3,FALSE)</f>
        <v>32</v>
      </c>
      <c r="I575" s="1">
        <f ca="1">financials[[#This Row],[Units Sold]]*financials[[#This Row],[Sale Price]]</f>
        <v>22816</v>
      </c>
      <c r="J5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1140.8</v>
      </c>
      <c r="K575" s="1">
        <f ca="1">financials[[#This Row],[Gross Sales]]-financials[[#This Row],[Discounts]]</f>
        <v>21675.200000000001</v>
      </c>
      <c r="L575" s="1">
        <f ca="1">financials[[#This Row],[Units Sold]]*financials[[#This Row],[Manufacturing Price]]</f>
        <v>12834</v>
      </c>
      <c r="M575" s="1">
        <f ca="1">financials[[#This Row],[Sales]]-financials[[#This Row],[COGS]]</f>
        <v>8841.2000000000007</v>
      </c>
      <c r="N575" s="7">
        <f t="shared" ca="1" si="17"/>
        <v>45593</v>
      </c>
      <c r="O575" s="8">
        <f ca="1">MONTH(financials[[#This Row],[Date]])</f>
        <v>10</v>
      </c>
      <c r="P575" s="6" t="str">
        <f ca="1">TEXT(financials[[#This Row],[Date]],"MMM")</f>
        <v>Oct</v>
      </c>
      <c r="Q575">
        <f ca="1">YEAR(financials[[#This Row],[Date]])</f>
        <v>2024</v>
      </c>
      <c r="S575" s="10"/>
    </row>
    <row r="576" spans="1:19" x14ac:dyDescent="0.3">
      <c r="A576" t="s">
        <v>16</v>
      </c>
      <c r="B576" t="s">
        <v>20</v>
      </c>
      <c r="C576" s="6" t="s">
        <v>30</v>
      </c>
      <c r="D576" s="6" t="str">
        <f>CONCATENATE(financials[[#This Row],[Segment]],",",financials[[#This Row],[Country]],",",financials[[#This Row],[Product]])</f>
        <v>Government,Germany,VTT</v>
      </c>
      <c r="E576" s="6" t="s">
        <v>34</v>
      </c>
      <c r="F576">
        <f t="shared" ca="1" si="16"/>
        <v>658</v>
      </c>
      <c r="G576" s="1">
        <f ca="1">VLOOKUP(financials[[#This Row],[ID]],Prices!D:F,2,FALSE)</f>
        <v>16</v>
      </c>
      <c r="H576" s="1">
        <f ca="1">VLOOKUP(financials[[#This Row],[ID]],Prices!D:F,3,FALSE)</f>
        <v>20</v>
      </c>
      <c r="I576" s="1">
        <f ca="1">financials[[#This Row],[Units Sold]]*financials[[#This Row],[Sale Price]]</f>
        <v>13160</v>
      </c>
      <c r="J5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658</v>
      </c>
      <c r="K576" s="1">
        <f ca="1">financials[[#This Row],[Gross Sales]]-financials[[#This Row],[Discounts]]</f>
        <v>12502</v>
      </c>
      <c r="L576" s="1">
        <f ca="1">financials[[#This Row],[Units Sold]]*financials[[#This Row],[Manufacturing Price]]</f>
        <v>10528</v>
      </c>
      <c r="M576" s="1">
        <f ca="1">financials[[#This Row],[Sales]]-financials[[#This Row],[COGS]]</f>
        <v>1974</v>
      </c>
      <c r="N576" s="7">
        <f t="shared" ca="1" si="17"/>
        <v>45244</v>
      </c>
      <c r="O576" s="8">
        <f ca="1">MONTH(financials[[#This Row],[Date]])</f>
        <v>11</v>
      </c>
      <c r="P576" s="6" t="str">
        <f ca="1">TEXT(financials[[#This Row],[Date]],"MMM")</f>
        <v>Nov</v>
      </c>
      <c r="Q576">
        <f ca="1">YEAR(financials[[#This Row],[Date]])</f>
        <v>2023</v>
      </c>
      <c r="S576" s="10"/>
    </row>
    <row r="577" spans="1:19" x14ac:dyDescent="0.3">
      <c r="A577" t="s">
        <v>25</v>
      </c>
      <c r="B577" t="s">
        <v>17</v>
      </c>
      <c r="C577" s="6" t="s">
        <v>31</v>
      </c>
      <c r="D577" s="6" t="str">
        <f>CONCATENATE(financials[[#This Row],[Segment]],",",financials[[#This Row],[Country]],",",financials[[#This Row],[Product]])</f>
        <v>Channel Partners,Canada,Amarilla</v>
      </c>
      <c r="E577" s="6" t="s">
        <v>34</v>
      </c>
      <c r="F577">
        <f t="shared" ca="1" si="16"/>
        <v>664</v>
      </c>
      <c r="G577" s="1">
        <f ca="1">VLOOKUP(financials[[#This Row],[ID]],Prices!D:F,2,FALSE)</f>
        <v>13</v>
      </c>
      <c r="H577" s="1">
        <f ca="1">VLOOKUP(financials[[#This Row],[ID]],Prices!D:F,3,FALSE)</f>
        <v>19</v>
      </c>
      <c r="I577" s="1">
        <f ca="1">financials[[#This Row],[Units Sold]]*financials[[#This Row],[Sale Price]]</f>
        <v>12616</v>
      </c>
      <c r="J5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630.80000000000007</v>
      </c>
      <c r="K577" s="1">
        <f ca="1">financials[[#This Row],[Gross Sales]]-financials[[#This Row],[Discounts]]</f>
        <v>11985.2</v>
      </c>
      <c r="L577" s="1">
        <f ca="1">financials[[#This Row],[Units Sold]]*financials[[#This Row],[Manufacturing Price]]</f>
        <v>8632</v>
      </c>
      <c r="M577" s="1">
        <f ca="1">financials[[#This Row],[Sales]]-financials[[#This Row],[COGS]]</f>
        <v>3353.2000000000007</v>
      </c>
      <c r="N577" s="7">
        <f t="shared" ca="1" si="17"/>
        <v>45595</v>
      </c>
      <c r="O577" s="8">
        <f ca="1">MONTH(financials[[#This Row],[Date]])</f>
        <v>10</v>
      </c>
      <c r="P577" s="6" t="str">
        <f ca="1">TEXT(financials[[#This Row],[Date]],"MMM")</f>
        <v>Oct</v>
      </c>
      <c r="Q577">
        <f ca="1">YEAR(financials[[#This Row],[Date]])</f>
        <v>2024</v>
      </c>
      <c r="S577" s="10"/>
    </row>
    <row r="578" spans="1:19" x14ac:dyDescent="0.3">
      <c r="A578" t="s">
        <v>21</v>
      </c>
      <c r="B578" t="s">
        <v>36</v>
      </c>
      <c r="C578" s="6" t="s">
        <v>18</v>
      </c>
      <c r="D578" s="6" t="str">
        <f>CONCATENATE(financials[[#This Row],[Segment]],",",financials[[#This Row],[Country]],",",financials[[#This Row],[Product]])</f>
        <v>Midmarket,USA,Carretera</v>
      </c>
      <c r="E578" s="6" t="s">
        <v>34</v>
      </c>
      <c r="F578">
        <f t="shared" ca="1" si="16"/>
        <v>107</v>
      </c>
      <c r="G578" s="1">
        <f ca="1">VLOOKUP(financials[[#This Row],[ID]],Prices!D:F,2,FALSE)</f>
        <v>13</v>
      </c>
      <c r="H578" s="1">
        <f ca="1">VLOOKUP(financials[[#This Row],[ID]],Prices!D:F,3,FALSE)</f>
        <v>21</v>
      </c>
      <c r="I578" s="1">
        <f ca="1">financials[[#This Row],[Units Sold]]*financials[[#This Row],[Sale Price]]</f>
        <v>2247</v>
      </c>
      <c r="J5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112.35000000000001</v>
      </c>
      <c r="K578" s="1">
        <f ca="1">financials[[#This Row],[Gross Sales]]-financials[[#This Row],[Discounts]]</f>
        <v>2134.65</v>
      </c>
      <c r="L578" s="1">
        <f ca="1">financials[[#This Row],[Units Sold]]*financials[[#This Row],[Manufacturing Price]]</f>
        <v>1391</v>
      </c>
      <c r="M578" s="1">
        <f ca="1">financials[[#This Row],[Sales]]-financials[[#This Row],[COGS]]</f>
        <v>743.65000000000009</v>
      </c>
      <c r="N578" s="7">
        <f t="shared" ca="1" si="17"/>
        <v>45315</v>
      </c>
      <c r="O578" s="8">
        <f ca="1">MONTH(financials[[#This Row],[Date]])</f>
        <v>1</v>
      </c>
      <c r="P578" s="6" t="str">
        <f ca="1">TEXT(financials[[#This Row],[Date]],"MMM")</f>
        <v>Jan</v>
      </c>
      <c r="Q578">
        <f ca="1">YEAR(financials[[#This Row],[Date]])</f>
        <v>2024</v>
      </c>
      <c r="S578" s="10"/>
    </row>
    <row r="579" spans="1:19" x14ac:dyDescent="0.3">
      <c r="A579" t="s">
        <v>21</v>
      </c>
      <c r="B579" t="s">
        <v>36</v>
      </c>
      <c r="C579" s="6" t="s">
        <v>30</v>
      </c>
      <c r="D579" s="6" t="str">
        <f>CONCATENATE(financials[[#This Row],[Segment]],",",financials[[#This Row],[Country]],",",financials[[#This Row],[Product]])</f>
        <v>Midmarket,USA,VTT</v>
      </c>
      <c r="E579" s="6" t="s">
        <v>34</v>
      </c>
      <c r="F579">
        <f t="shared" ref="F579:F642" ca="1" si="18">RANDBETWEEN(10,1000)</f>
        <v>999</v>
      </c>
      <c r="G579" s="1">
        <f ca="1">VLOOKUP(financials[[#This Row],[ID]],Prices!D:F,2,FALSE)</f>
        <v>15</v>
      </c>
      <c r="H579" s="1">
        <f ca="1">VLOOKUP(financials[[#This Row],[ID]],Prices!D:F,3,FALSE)</f>
        <v>27</v>
      </c>
      <c r="I579" s="1">
        <f ca="1">financials[[#This Row],[Units Sold]]*financials[[#This Row],[Sale Price]]</f>
        <v>26973</v>
      </c>
      <c r="J5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1348.65</v>
      </c>
      <c r="K579" s="1">
        <f ca="1">financials[[#This Row],[Gross Sales]]-financials[[#This Row],[Discounts]]</f>
        <v>25624.35</v>
      </c>
      <c r="L579" s="1">
        <f ca="1">financials[[#This Row],[Units Sold]]*financials[[#This Row],[Manufacturing Price]]</f>
        <v>14985</v>
      </c>
      <c r="M579" s="1">
        <f ca="1">financials[[#This Row],[Sales]]-financials[[#This Row],[COGS]]</f>
        <v>10639.349999999999</v>
      </c>
      <c r="N579" s="7">
        <f t="shared" ref="N579:N642" ca="1" si="19">TODAY()-RANDBETWEEN(1,732)</f>
        <v>45746</v>
      </c>
      <c r="O579" s="8">
        <f ca="1">MONTH(financials[[#This Row],[Date]])</f>
        <v>3</v>
      </c>
      <c r="P579" s="6" t="str">
        <f ca="1">TEXT(financials[[#This Row],[Date]],"MMM")</f>
        <v>Mar</v>
      </c>
      <c r="Q579">
        <f ca="1">YEAR(financials[[#This Row],[Date]])</f>
        <v>2025</v>
      </c>
      <c r="S579" s="10"/>
    </row>
    <row r="580" spans="1:19" x14ac:dyDescent="0.3">
      <c r="A580" t="s">
        <v>16</v>
      </c>
      <c r="B580" t="s">
        <v>17</v>
      </c>
      <c r="C580" s="6" t="s">
        <v>18</v>
      </c>
      <c r="D580" s="6" t="str">
        <f>CONCATENATE(financials[[#This Row],[Segment]],",",financials[[#This Row],[Country]],",",financials[[#This Row],[Product]])</f>
        <v>Government,Canada,Carretera</v>
      </c>
      <c r="E580" s="6" t="s">
        <v>34</v>
      </c>
      <c r="F580">
        <f t="shared" ca="1" si="18"/>
        <v>583</v>
      </c>
      <c r="G580" s="1">
        <f ca="1">VLOOKUP(financials[[#This Row],[ID]],Prices!D:F,2,FALSE)</f>
        <v>20</v>
      </c>
      <c r="H580" s="1">
        <f ca="1">VLOOKUP(financials[[#This Row],[ID]],Prices!D:F,3,FALSE)</f>
        <v>29</v>
      </c>
      <c r="I580" s="1">
        <f ca="1">financials[[#This Row],[Units Sold]]*financials[[#This Row],[Sale Price]]</f>
        <v>16907</v>
      </c>
      <c r="J5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845.35</v>
      </c>
      <c r="K580" s="1">
        <f ca="1">financials[[#This Row],[Gross Sales]]-financials[[#This Row],[Discounts]]</f>
        <v>16061.65</v>
      </c>
      <c r="L580" s="1">
        <f ca="1">financials[[#This Row],[Units Sold]]*financials[[#This Row],[Manufacturing Price]]</f>
        <v>11660</v>
      </c>
      <c r="M580" s="1">
        <f ca="1">financials[[#This Row],[Sales]]-financials[[#This Row],[COGS]]</f>
        <v>4401.6499999999996</v>
      </c>
      <c r="N580" s="7">
        <f t="shared" ca="1" si="19"/>
        <v>45241</v>
      </c>
      <c r="O580" s="8">
        <f ca="1">MONTH(financials[[#This Row],[Date]])</f>
        <v>11</v>
      </c>
      <c r="P580" s="6" t="str">
        <f ca="1">TEXT(financials[[#This Row],[Date]],"MMM")</f>
        <v>Nov</v>
      </c>
      <c r="Q580">
        <f ca="1">YEAR(financials[[#This Row],[Date]])</f>
        <v>2023</v>
      </c>
      <c r="S580" s="10"/>
    </row>
    <row r="581" spans="1:19" x14ac:dyDescent="0.3">
      <c r="A581" t="s">
        <v>16</v>
      </c>
      <c r="B581" t="s">
        <v>22</v>
      </c>
      <c r="C581" s="6" t="s">
        <v>18</v>
      </c>
      <c r="D581" s="6" t="str">
        <f>CONCATENATE(financials[[#This Row],[Segment]],",",financials[[#This Row],[Country]],",",financials[[#This Row],[Product]])</f>
        <v>Government,France,Carretera</v>
      </c>
      <c r="E581" s="6" t="s">
        <v>34</v>
      </c>
      <c r="F581">
        <f t="shared" ca="1" si="18"/>
        <v>713</v>
      </c>
      <c r="G581" s="1">
        <f ca="1">VLOOKUP(financials[[#This Row],[ID]],Prices!D:F,2,FALSE)</f>
        <v>12</v>
      </c>
      <c r="H581" s="1">
        <f ca="1">VLOOKUP(financials[[#This Row],[ID]],Prices!D:F,3,FALSE)</f>
        <v>38</v>
      </c>
      <c r="I581" s="1">
        <f ca="1">financials[[#This Row],[Units Sold]]*financials[[#This Row],[Sale Price]]</f>
        <v>27094</v>
      </c>
      <c r="J5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1354.7</v>
      </c>
      <c r="K581" s="1">
        <f ca="1">financials[[#This Row],[Gross Sales]]-financials[[#This Row],[Discounts]]</f>
        <v>25739.3</v>
      </c>
      <c r="L581" s="1">
        <f ca="1">financials[[#This Row],[Units Sold]]*financials[[#This Row],[Manufacturing Price]]</f>
        <v>8556</v>
      </c>
      <c r="M581" s="1">
        <f ca="1">financials[[#This Row],[Sales]]-financials[[#This Row],[COGS]]</f>
        <v>17183.3</v>
      </c>
      <c r="N581" s="7">
        <f t="shared" ca="1" si="19"/>
        <v>45386</v>
      </c>
      <c r="O581" s="8">
        <f ca="1">MONTH(financials[[#This Row],[Date]])</f>
        <v>4</v>
      </c>
      <c r="P581" s="6" t="str">
        <f ca="1">TEXT(financials[[#This Row],[Date]],"MMM")</f>
        <v>Apr</v>
      </c>
      <c r="Q581">
        <f ca="1">YEAR(financials[[#This Row],[Date]])</f>
        <v>2024</v>
      </c>
      <c r="S581" s="10"/>
    </row>
    <row r="582" spans="1:19" x14ac:dyDescent="0.3">
      <c r="A582" t="s">
        <v>16</v>
      </c>
      <c r="B582" t="s">
        <v>20</v>
      </c>
      <c r="C582" s="6" t="s">
        <v>18</v>
      </c>
      <c r="D582" s="6" t="str">
        <f>CONCATENATE(financials[[#This Row],[Segment]],",",financials[[#This Row],[Country]],",",financials[[#This Row],[Product]])</f>
        <v>Government,Germany,Carretera</v>
      </c>
      <c r="E582" s="6" t="s">
        <v>34</v>
      </c>
      <c r="F582">
        <f t="shared" ca="1" si="18"/>
        <v>881</v>
      </c>
      <c r="G582" s="1">
        <f ca="1">VLOOKUP(financials[[#This Row],[ID]],Prices!D:F,2,FALSE)</f>
        <v>13</v>
      </c>
      <c r="H582" s="1">
        <f ca="1">VLOOKUP(financials[[#This Row],[ID]],Prices!D:F,3,FALSE)</f>
        <v>22</v>
      </c>
      <c r="I582" s="1">
        <f ca="1">financials[[#This Row],[Units Sold]]*financials[[#This Row],[Sale Price]]</f>
        <v>19382</v>
      </c>
      <c r="J5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969.1</v>
      </c>
      <c r="K582" s="1">
        <f ca="1">financials[[#This Row],[Gross Sales]]-financials[[#This Row],[Discounts]]</f>
        <v>18412.900000000001</v>
      </c>
      <c r="L582" s="1">
        <f ca="1">financials[[#This Row],[Units Sold]]*financials[[#This Row],[Manufacturing Price]]</f>
        <v>11453</v>
      </c>
      <c r="M582" s="1">
        <f ca="1">financials[[#This Row],[Sales]]-financials[[#This Row],[COGS]]</f>
        <v>6959.9000000000015</v>
      </c>
      <c r="N582" s="7">
        <f t="shared" ca="1" si="19"/>
        <v>45488</v>
      </c>
      <c r="O582" s="8">
        <f ca="1">MONTH(financials[[#This Row],[Date]])</f>
        <v>7</v>
      </c>
      <c r="P582" s="6" t="str">
        <f ca="1">TEXT(financials[[#This Row],[Date]],"MMM")</f>
        <v>Jul</v>
      </c>
      <c r="Q582">
        <f ca="1">YEAR(financials[[#This Row],[Date]])</f>
        <v>2024</v>
      </c>
      <c r="S582" s="10"/>
    </row>
    <row r="583" spans="1:19" x14ac:dyDescent="0.3">
      <c r="A583" t="s">
        <v>16</v>
      </c>
      <c r="B583" t="s">
        <v>36</v>
      </c>
      <c r="C583" s="6" t="s">
        <v>24</v>
      </c>
      <c r="D583" s="6" t="str">
        <f>CONCATENATE(financials[[#This Row],[Segment]],",",financials[[#This Row],[Country]],",",financials[[#This Row],[Product]])</f>
        <v>Government,USA,Montana</v>
      </c>
      <c r="E583" s="6" t="s">
        <v>34</v>
      </c>
      <c r="F583">
        <f t="shared" ca="1" si="18"/>
        <v>952</v>
      </c>
      <c r="G583" s="1">
        <f ca="1">VLOOKUP(financials[[#This Row],[ID]],Prices!D:F,2,FALSE)</f>
        <v>10</v>
      </c>
      <c r="H583" s="1">
        <f ca="1">VLOOKUP(financials[[#This Row],[ID]],Prices!D:F,3,FALSE)</f>
        <v>34</v>
      </c>
      <c r="I583" s="1">
        <f ca="1">financials[[#This Row],[Units Sold]]*financials[[#This Row],[Sale Price]]</f>
        <v>32368</v>
      </c>
      <c r="J5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1618.4</v>
      </c>
      <c r="K583" s="1">
        <f ca="1">financials[[#This Row],[Gross Sales]]-financials[[#This Row],[Discounts]]</f>
        <v>30749.599999999999</v>
      </c>
      <c r="L583" s="1">
        <f ca="1">financials[[#This Row],[Units Sold]]*financials[[#This Row],[Manufacturing Price]]</f>
        <v>9520</v>
      </c>
      <c r="M583" s="1">
        <f ca="1">financials[[#This Row],[Sales]]-financials[[#This Row],[COGS]]</f>
        <v>21229.599999999999</v>
      </c>
      <c r="N583" s="7">
        <f t="shared" ca="1" si="19"/>
        <v>45149</v>
      </c>
      <c r="O583" s="8">
        <f ca="1">MONTH(financials[[#This Row],[Date]])</f>
        <v>8</v>
      </c>
      <c r="P583" s="6" t="str">
        <f ca="1">TEXT(financials[[#This Row],[Date]],"MMM")</f>
        <v>Aug</v>
      </c>
      <c r="Q583">
        <f ca="1">YEAR(financials[[#This Row],[Date]])</f>
        <v>2023</v>
      </c>
      <c r="S583" s="10"/>
    </row>
    <row r="584" spans="1:19" x14ac:dyDescent="0.3">
      <c r="A584" t="s">
        <v>16</v>
      </c>
      <c r="B584" t="s">
        <v>36</v>
      </c>
      <c r="C584" s="6" t="s">
        <v>24</v>
      </c>
      <c r="D584" s="6" t="str">
        <f>CONCATENATE(financials[[#This Row],[Segment]],",",financials[[#This Row],[Country]],",",financials[[#This Row],[Product]])</f>
        <v>Government,USA,Montana</v>
      </c>
      <c r="E584" s="6" t="s">
        <v>34</v>
      </c>
      <c r="F584">
        <f t="shared" ca="1" si="18"/>
        <v>769</v>
      </c>
      <c r="G584" s="1">
        <f ca="1">VLOOKUP(financials[[#This Row],[ID]],Prices!D:F,2,FALSE)</f>
        <v>10</v>
      </c>
      <c r="H584" s="1">
        <f ca="1">VLOOKUP(financials[[#This Row],[ID]],Prices!D:F,3,FALSE)</f>
        <v>34</v>
      </c>
      <c r="I584" s="1">
        <f ca="1">financials[[#This Row],[Units Sold]]*financials[[#This Row],[Sale Price]]</f>
        <v>26146</v>
      </c>
      <c r="J5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1307.3000000000002</v>
      </c>
      <c r="K584" s="1">
        <f ca="1">financials[[#This Row],[Gross Sales]]-financials[[#This Row],[Discounts]]</f>
        <v>24838.7</v>
      </c>
      <c r="L584" s="1">
        <f ca="1">financials[[#This Row],[Units Sold]]*financials[[#This Row],[Manufacturing Price]]</f>
        <v>7690</v>
      </c>
      <c r="M584" s="1">
        <f ca="1">financials[[#This Row],[Sales]]-financials[[#This Row],[COGS]]</f>
        <v>17148.7</v>
      </c>
      <c r="N584" s="7">
        <f t="shared" ca="1" si="19"/>
        <v>45205</v>
      </c>
      <c r="O584" s="8">
        <f ca="1">MONTH(financials[[#This Row],[Date]])</f>
        <v>10</v>
      </c>
      <c r="P584" s="6" t="str">
        <f ca="1">TEXT(financials[[#This Row],[Date]],"MMM")</f>
        <v>Oct</v>
      </c>
      <c r="Q584">
        <f ca="1">YEAR(financials[[#This Row],[Date]])</f>
        <v>2023</v>
      </c>
      <c r="S584" s="10"/>
    </row>
    <row r="585" spans="1:19" x14ac:dyDescent="0.3">
      <c r="A585" t="s">
        <v>25</v>
      </c>
      <c r="B585" t="s">
        <v>23</v>
      </c>
      <c r="C585" s="6" t="s">
        <v>24</v>
      </c>
      <c r="D585" s="6" t="str">
        <f>CONCATENATE(financials[[#This Row],[Segment]],",",financials[[#This Row],[Country]],",",financials[[#This Row],[Product]])</f>
        <v>Channel Partners,Mexico,Montana</v>
      </c>
      <c r="E585" s="6" t="s">
        <v>34</v>
      </c>
      <c r="F585">
        <f t="shared" ca="1" si="18"/>
        <v>357</v>
      </c>
      <c r="G585" s="1">
        <f ca="1">VLOOKUP(financials[[#This Row],[ID]],Prices!D:F,2,FALSE)</f>
        <v>15</v>
      </c>
      <c r="H585" s="1">
        <f ca="1">VLOOKUP(financials[[#This Row],[ID]],Prices!D:F,3,FALSE)</f>
        <v>17</v>
      </c>
      <c r="I585" s="1">
        <f ca="1">financials[[#This Row],[Units Sold]]*financials[[#This Row],[Sale Price]]</f>
        <v>6069</v>
      </c>
      <c r="J5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303.45</v>
      </c>
      <c r="K585" s="1">
        <f ca="1">financials[[#This Row],[Gross Sales]]-financials[[#This Row],[Discounts]]</f>
        <v>5765.55</v>
      </c>
      <c r="L585" s="1">
        <f ca="1">financials[[#This Row],[Units Sold]]*financials[[#This Row],[Manufacturing Price]]</f>
        <v>5355</v>
      </c>
      <c r="M585" s="1">
        <f ca="1">financials[[#This Row],[Sales]]-financials[[#This Row],[COGS]]</f>
        <v>410.55000000000018</v>
      </c>
      <c r="N585" s="7">
        <f t="shared" ca="1" si="19"/>
        <v>45347</v>
      </c>
      <c r="O585" s="8">
        <f ca="1">MONTH(financials[[#This Row],[Date]])</f>
        <v>2</v>
      </c>
      <c r="P585" s="6" t="str">
        <f ca="1">TEXT(financials[[#This Row],[Date]],"MMM")</f>
        <v>Feb</v>
      </c>
      <c r="Q585">
        <f ca="1">YEAR(financials[[#This Row],[Date]])</f>
        <v>2024</v>
      </c>
      <c r="S585" s="10"/>
    </row>
    <row r="586" spans="1:19" x14ac:dyDescent="0.3">
      <c r="A586" t="s">
        <v>16</v>
      </c>
      <c r="B586" t="s">
        <v>23</v>
      </c>
      <c r="C586" s="6" t="s">
        <v>24</v>
      </c>
      <c r="D586" s="6" t="str">
        <f>CONCATENATE(financials[[#This Row],[Segment]],",",financials[[#This Row],[Country]],",",financials[[#This Row],[Product]])</f>
        <v>Government,Mexico,Montana</v>
      </c>
      <c r="E586" s="6" t="s">
        <v>34</v>
      </c>
      <c r="F586">
        <f t="shared" ca="1" si="18"/>
        <v>145</v>
      </c>
      <c r="G586" s="1">
        <f ca="1">VLOOKUP(financials[[#This Row],[ID]],Prices!D:F,2,FALSE)</f>
        <v>19</v>
      </c>
      <c r="H586" s="1">
        <f ca="1">VLOOKUP(financials[[#This Row],[ID]],Prices!D:F,3,FALSE)</f>
        <v>20</v>
      </c>
      <c r="I586" s="1">
        <f ca="1">financials[[#This Row],[Units Sold]]*financials[[#This Row],[Sale Price]]</f>
        <v>2900</v>
      </c>
      <c r="J5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145</v>
      </c>
      <c r="K586" s="1">
        <f ca="1">financials[[#This Row],[Gross Sales]]-financials[[#This Row],[Discounts]]</f>
        <v>2755</v>
      </c>
      <c r="L586" s="1">
        <f ca="1">financials[[#This Row],[Units Sold]]*financials[[#This Row],[Manufacturing Price]]</f>
        <v>2755</v>
      </c>
      <c r="M586" s="1">
        <f ca="1">financials[[#This Row],[Sales]]-financials[[#This Row],[COGS]]</f>
        <v>0</v>
      </c>
      <c r="N586" s="7">
        <f t="shared" ca="1" si="19"/>
        <v>45195</v>
      </c>
      <c r="O586" s="8">
        <f ca="1">MONTH(financials[[#This Row],[Date]])</f>
        <v>9</v>
      </c>
      <c r="P586" s="6" t="str">
        <f ca="1">TEXT(financials[[#This Row],[Date]],"MMM")</f>
        <v>Sep</v>
      </c>
      <c r="Q586">
        <f ca="1">YEAR(financials[[#This Row],[Date]])</f>
        <v>2023</v>
      </c>
      <c r="S586" s="10"/>
    </row>
    <row r="587" spans="1:19" x14ac:dyDescent="0.3">
      <c r="A587" t="s">
        <v>16</v>
      </c>
      <c r="B587" t="s">
        <v>17</v>
      </c>
      <c r="C587" s="6" t="s">
        <v>24</v>
      </c>
      <c r="D587" s="6" t="str">
        <f>CONCATENATE(financials[[#This Row],[Segment]],",",financials[[#This Row],[Country]],",",financials[[#This Row],[Product]])</f>
        <v>Government,Canada,Montana</v>
      </c>
      <c r="E587" s="6" t="s">
        <v>34</v>
      </c>
      <c r="F587">
        <f t="shared" ca="1" si="18"/>
        <v>837</v>
      </c>
      <c r="G587" s="1">
        <f ca="1">VLOOKUP(financials[[#This Row],[ID]],Prices!D:F,2,FALSE)</f>
        <v>12</v>
      </c>
      <c r="H587" s="1">
        <f ca="1">VLOOKUP(financials[[#This Row],[ID]],Prices!D:F,3,FALSE)</f>
        <v>30</v>
      </c>
      <c r="I587" s="1">
        <f ca="1">financials[[#This Row],[Units Sold]]*financials[[#This Row],[Sale Price]]</f>
        <v>25110</v>
      </c>
      <c r="J5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1255.5</v>
      </c>
      <c r="K587" s="1">
        <f ca="1">financials[[#This Row],[Gross Sales]]-financials[[#This Row],[Discounts]]</f>
        <v>23854.5</v>
      </c>
      <c r="L587" s="1">
        <f ca="1">financials[[#This Row],[Units Sold]]*financials[[#This Row],[Manufacturing Price]]</f>
        <v>10044</v>
      </c>
      <c r="M587" s="1">
        <f ca="1">financials[[#This Row],[Sales]]-financials[[#This Row],[COGS]]</f>
        <v>13810.5</v>
      </c>
      <c r="N587" s="7">
        <f t="shared" ca="1" si="19"/>
        <v>45591</v>
      </c>
      <c r="O587" s="8">
        <f ca="1">MONTH(financials[[#This Row],[Date]])</f>
        <v>10</v>
      </c>
      <c r="P587" s="6" t="str">
        <f ca="1">TEXT(financials[[#This Row],[Date]],"MMM")</f>
        <v>Oct</v>
      </c>
      <c r="Q587">
        <f ca="1">YEAR(financials[[#This Row],[Date]])</f>
        <v>2024</v>
      </c>
      <c r="S587" s="10"/>
    </row>
    <row r="588" spans="1:19" x14ac:dyDescent="0.3">
      <c r="A588" t="s">
        <v>16</v>
      </c>
      <c r="B588" t="s">
        <v>36</v>
      </c>
      <c r="C588" s="6" t="s">
        <v>28</v>
      </c>
      <c r="D588" s="6" t="str">
        <f>CONCATENATE(financials[[#This Row],[Segment]],",",financials[[#This Row],[Country]],",",financials[[#This Row],[Product]])</f>
        <v>Government,USA,Paseo</v>
      </c>
      <c r="E588" s="6" t="s">
        <v>34</v>
      </c>
      <c r="F588">
        <f t="shared" ca="1" si="18"/>
        <v>569</v>
      </c>
      <c r="G588" s="1">
        <f ca="1">VLOOKUP(financials[[#This Row],[ID]],Prices!D:F,2,FALSE)</f>
        <v>17</v>
      </c>
      <c r="H588" s="1">
        <f ca="1">VLOOKUP(financials[[#This Row],[ID]],Prices!D:F,3,FALSE)</f>
        <v>36</v>
      </c>
      <c r="I588" s="1">
        <f ca="1">financials[[#This Row],[Units Sold]]*financials[[#This Row],[Sale Price]]</f>
        <v>20484</v>
      </c>
      <c r="J5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1024.2</v>
      </c>
      <c r="K588" s="1">
        <f ca="1">financials[[#This Row],[Gross Sales]]-financials[[#This Row],[Discounts]]</f>
        <v>19459.8</v>
      </c>
      <c r="L588" s="1">
        <f ca="1">financials[[#This Row],[Units Sold]]*financials[[#This Row],[Manufacturing Price]]</f>
        <v>9673</v>
      </c>
      <c r="M588" s="1">
        <f ca="1">financials[[#This Row],[Sales]]-financials[[#This Row],[COGS]]</f>
        <v>9786.7999999999993</v>
      </c>
      <c r="N588" s="7">
        <f t="shared" ca="1" si="19"/>
        <v>45169</v>
      </c>
      <c r="O588" s="8">
        <f ca="1">MONTH(financials[[#This Row],[Date]])</f>
        <v>8</v>
      </c>
      <c r="P588" s="6" t="str">
        <f ca="1">TEXT(financials[[#This Row],[Date]],"MMM")</f>
        <v>Aug</v>
      </c>
      <c r="Q588">
        <f ca="1">YEAR(financials[[#This Row],[Date]])</f>
        <v>2023</v>
      </c>
      <c r="S588" s="10"/>
    </row>
    <row r="589" spans="1:19" x14ac:dyDescent="0.3">
      <c r="A589" t="s">
        <v>27</v>
      </c>
      <c r="B589" t="s">
        <v>20</v>
      </c>
      <c r="C589" s="6" t="s">
        <v>28</v>
      </c>
      <c r="D589" s="6" t="str">
        <f>CONCATENATE(financials[[#This Row],[Segment]],",",financials[[#This Row],[Country]],",",financials[[#This Row],[Product]])</f>
        <v>Small Business,Germany,Paseo</v>
      </c>
      <c r="E589" s="6" t="s">
        <v>34</v>
      </c>
      <c r="F589">
        <f t="shared" ca="1" si="18"/>
        <v>467</v>
      </c>
      <c r="G589" s="1">
        <f ca="1">VLOOKUP(financials[[#This Row],[ID]],Prices!D:F,2,FALSE)</f>
        <v>19</v>
      </c>
      <c r="H589" s="1">
        <f ca="1">VLOOKUP(financials[[#This Row],[ID]],Prices!D:F,3,FALSE)</f>
        <v>25</v>
      </c>
      <c r="I589" s="1">
        <f ca="1">financials[[#This Row],[Units Sold]]*financials[[#This Row],[Sale Price]]</f>
        <v>11675</v>
      </c>
      <c r="J5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583.75</v>
      </c>
      <c r="K589" s="1">
        <f ca="1">financials[[#This Row],[Gross Sales]]-financials[[#This Row],[Discounts]]</f>
        <v>11091.25</v>
      </c>
      <c r="L589" s="1">
        <f ca="1">financials[[#This Row],[Units Sold]]*financials[[#This Row],[Manufacturing Price]]</f>
        <v>8873</v>
      </c>
      <c r="M589" s="1">
        <f ca="1">financials[[#This Row],[Sales]]-financials[[#This Row],[COGS]]</f>
        <v>2218.25</v>
      </c>
      <c r="N589" s="7">
        <f t="shared" ca="1" si="19"/>
        <v>45503</v>
      </c>
      <c r="O589" s="8">
        <f ca="1">MONTH(financials[[#This Row],[Date]])</f>
        <v>7</v>
      </c>
      <c r="P589" s="6" t="str">
        <f ca="1">TEXT(financials[[#This Row],[Date]],"MMM")</f>
        <v>Jul</v>
      </c>
      <c r="Q589">
        <f ca="1">YEAR(financials[[#This Row],[Date]])</f>
        <v>2024</v>
      </c>
      <c r="S589" s="10"/>
    </row>
    <row r="590" spans="1:19" x14ac:dyDescent="0.3">
      <c r="A590" t="s">
        <v>16</v>
      </c>
      <c r="B590" t="s">
        <v>36</v>
      </c>
      <c r="C590" s="6" t="s">
        <v>28</v>
      </c>
      <c r="D590" s="6" t="str">
        <f>CONCATENATE(financials[[#This Row],[Segment]],",",financials[[#This Row],[Country]],",",financials[[#This Row],[Product]])</f>
        <v>Government,USA,Paseo</v>
      </c>
      <c r="E590" s="6" t="s">
        <v>34</v>
      </c>
      <c r="F590">
        <f t="shared" ca="1" si="18"/>
        <v>377</v>
      </c>
      <c r="G590" s="1">
        <f ca="1">VLOOKUP(financials[[#This Row],[ID]],Prices!D:F,2,FALSE)</f>
        <v>17</v>
      </c>
      <c r="H590" s="1">
        <f ca="1">VLOOKUP(financials[[#This Row],[ID]],Prices!D:F,3,FALSE)</f>
        <v>36</v>
      </c>
      <c r="I590" s="1">
        <f ca="1">financials[[#This Row],[Units Sold]]*financials[[#This Row],[Sale Price]]</f>
        <v>13572</v>
      </c>
      <c r="J5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678.6</v>
      </c>
      <c r="K590" s="1">
        <f ca="1">financials[[#This Row],[Gross Sales]]-financials[[#This Row],[Discounts]]</f>
        <v>12893.4</v>
      </c>
      <c r="L590" s="1">
        <f ca="1">financials[[#This Row],[Units Sold]]*financials[[#This Row],[Manufacturing Price]]</f>
        <v>6409</v>
      </c>
      <c r="M590" s="1">
        <f ca="1">financials[[#This Row],[Sales]]-financials[[#This Row],[COGS]]</f>
        <v>6484.4</v>
      </c>
      <c r="N590" s="7">
        <f t="shared" ca="1" si="19"/>
        <v>45078</v>
      </c>
      <c r="O590" s="8">
        <f ca="1">MONTH(financials[[#This Row],[Date]])</f>
        <v>6</v>
      </c>
      <c r="P590" s="6" t="str">
        <f ca="1">TEXT(financials[[#This Row],[Date]],"MMM")</f>
        <v>Jun</v>
      </c>
      <c r="Q590">
        <f ca="1">YEAR(financials[[#This Row],[Date]])</f>
        <v>2023</v>
      </c>
      <c r="S590" s="10"/>
    </row>
    <row r="591" spans="1:19" x14ac:dyDescent="0.3">
      <c r="A591" t="s">
        <v>16</v>
      </c>
      <c r="B591" t="s">
        <v>20</v>
      </c>
      <c r="C591" s="6" t="s">
        <v>28</v>
      </c>
      <c r="D591" s="6" t="str">
        <f>CONCATENATE(financials[[#This Row],[Segment]],",",financials[[#This Row],[Country]],",",financials[[#This Row],[Product]])</f>
        <v>Government,Germany,Paseo</v>
      </c>
      <c r="E591" s="6" t="s">
        <v>34</v>
      </c>
      <c r="F591">
        <f t="shared" ca="1" si="18"/>
        <v>399</v>
      </c>
      <c r="G591" s="1">
        <f ca="1">VLOOKUP(financials[[#This Row],[ID]],Prices!D:F,2,FALSE)</f>
        <v>19</v>
      </c>
      <c r="H591" s="1">
        <f ca="1">VLOOKUP(financials[[#This Row],[ID]],Prices!D:F,3,FALSE)</f>
        <v>37</v>
      </c>
      <c r="I591" s="1">
        <f ca="1">financials[[#This Row],[Units Sold]]*financials[[#This Row],[Sale Price]]</f>
        <v>14763</v>
      </c>
      <c r="J5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738.15000000000009</v>
      </c>
      <c r="K591" s="1">
        <f ca="1">financials[[#This Row],[Gross Sales]]-financials[[#This Row],[Discounts]]</f>
        <v>14024.85</v>
      </c>
      <c r="L591" s="1">
        <f ca="1">financials[[#This Row],[Units Sold]]*financials[[#This Row],[Manufacturing Price]]</f>
        <v>7581</v>
      </c>
      <c r="M591" s="1">
        <f ca="1">financials[[#This Row],[Sales]]-financials[[#This Row],[COGS]]</f>
        <v>6443.85</v>
      </c>
      <c r="N591" s="7">
        <f t="shared" ca="1" si="19"/>
        <v>45269</v>
      </c>
      <c r="O591" s="8">
        <f ca="1">MONTH(financials[[#This Row],[Date]])</f>
        <v>12</v>
      </c>
      <c r="P591" s="6" t="str">
        <f ca="1">TEXT(financials[[#This Row],[Date]],"MMM")</f>
        <v>Dec</v>
      </c>
      <c r="Q591">
        <f ca="1">YEAR(financials[[#This Row],[Date]])</f>
        <v>2023</v>
      </c>
      <c r="S591" s="10"/>
    </row>
    <row r="592" spans="1:19" x14ac:dyDescent="0.3">
      <c r="A592" t="s">
        <v>16</v>
      </c>
      <c r="B592" t="s">
        <v>17</v>
      </c>
      <c r="C592" s="6" t="s">
        <v>28</v>
      </c>
      <c r="D592" s="6" t="str">
        <f>CONCATENATE(financials[[#This Row],[Segment]],",",financials[[#This Row],[Country]],",",financials[[#This Row],[Product]])</f>
        <v>Government,Canada,Paseo</v>
      </c>
      <c r="E592" s="6" t="s">
        <v>34</v>
      </c>
      <c r="F592">
        <f t="shared" ca="1" si="18"/>
        <v>941</v>
      </c>
      <c r="G592" s="1">
        <f ca="1">VLOOKUP(financials[[#This Row],[ID]],Prices!D:F,2,FALSE)</f>
        <v>10</v>
      </c>
      <c r="H592" s="1">
        <f ca="1">VLOOKUP(financials[[#This Row],[ID]],Prices!D:F,3,FALSE)</f>
        <v>23</v>
      </c>
      <c r="I592" s="1">
        <f ca="1">financials[[#This Row],[Units Sold]]*financials[[#This Row],[Sale Price]]</f>
        <v>21643</v>
      </c>
      <c r="J5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1082.1500000000001</v>
      </c>
      <c r="K592" s="1">
        <f ca="1">financials[[#This Row],[Gross Sales]]-financials[[#This Row],[Discounts]]</f>
        <v>20560.849999999999</v>
      </c>
      <c r="L592" s="1">
        <f ca="1">financials[[#This Row],[Units Sold]]*financials[[#This Row],[Manufacturing Price]]</f>
        <v>9410</v>
      </c>
      <c r="M592" s="1">
        <f ca="1">financials[[#This Row],[Sales]]-financials[[#This Row],[COGS]]</f>
        <v>11150.849999999999</v>
      </c>
      <c r="N592" s="7">
        <f t="shared" ca="1" si="19"/>
        <v>45056</v>
      </c>
      <c r="O592" s="8">
        <f ca="1">MONTH(financials[[#This Row],[Date]])</f>
        <v>5</v>
      </c>
      <c r="P592" s="6" t="str">
        <f ca="1">TEXT(financials[[#This Row],[Date]],"MMM")</f>
        <v>May</v>
      </c>
      <c r="Q592">
        <f ca="1">YEAR(financials[[#This Row],[Date]])</f>
        <v>2023</v>
      </c>
      <c r="S592" s="10"/>
    </row>
    <row r="593" spans="1:19" x14ac:dyDescent="0.3">
      <c r="A593" t="s">
        <v>26</v>
      </c>
      <c r="B593" t="s">
        <v>17</v>
      </c>
      <c r="C593" s="6" t="s">
        <v>28</v>
      </c>
      <c r="D593" s="6" t="str">
        <f>CONCATENATE(financials[[#This Row],[Segment]],",",financials[[#This Row],[Country]],",",financials[[#This Row],[Product]])</f>
        <v>Enterprise,Canada,Paseo</v>
      </c>
      <c r="E593" s="6" t="s">
        <v>34</v>
      </c>
      <c r="F593">
        <f t="shared" ca="1" si="18"/>
        <v>377</v>
      </c>
      <c r="G593" s="1">
        <f ca="1">VLOOKUP(financials[[#This Row],[ID]],Prices!D:F,2,FALSE)</f>
        <v>15</v>
      </c>
      <c r="H593" s="1">
        <f ca="1">VLOOKUP(financials[[#This Row],[ID]],Prices!D:F,3,FALSE)</f>
        <v>23</v>
      </c>
      <c r="I593" s="1">
        <f ca="1">financials[[#This Row],[Units Sold]]*financials[[#This Row],[Sale Price]]</f>
        <v>8671</v>
      </c>
      <c r="J5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433.55</v>
      </c>
      <c r="K593" s="1">
        <f ca="1">financials[[#This Row],[Gross Sales]]-financials[[#This Row],[Discounts]]</f>
        <v>8237.4500000000007</v>
      </c>
      <c r="L593" s="1">
        <f ca="1">financials[[#This Row],[Units Sold]]*financials[[#This Row],[Manufacturing Price]]</f>
        <v>5655</v>
      </c>
      <c r="M593" s="1">
        <f ca="1">financials[[#This Row],[Sales]]-financials[[#This Row],[COGS]]</f>
        <v>2582.4500000000007</v>
      </c>
      <c r="N593" s="7">
        <f t="shared" ca="1" si="19"/>
        <v>45638</v>
      </c>
      <c r="O593" s="8">
        <f ca="1">MONTH(financials[[#This Row],[Date]])</f>
        <v>12</v>
      </c>
      <c r="P593" s="6" t="str">
        <f ca="1">TEXT(financials[[#This Row],[Date]],"MMM")</f>
        <v>Dec</v>
      </c>
      <c r="Q593">
        <f ca="1">YEAR(financials[[#This Row],[Date]])</f>
        <v>2024</v>
      </c>
      <c r="S593" s="10"/>
    </row>
    <row r="594" spans="1:19" x14ac:dyDescent="0.3">
      <c r="A594" t="s">
        <v>25</v>
      </c>
      <c r="B594" t="s">
        <v>23</v>
      </c>
      <c r="C594" s="6" t="s">
        <v>28</v>
      </c>
      <c r="D594" s="6" t="str">
        <f>CONCATENATE(financials[[#This Row],[Segment]],",",financials[[#This Row],[Country]],",",financials[[#This Row],[Product]])</f>
        <v>Channel Partners,Mexico,Paseo</v>
      </c>
      <c r="E594" s="6" t="s">
        <v>34</v>
      </c>
      <c r="F594">
        <f t="shared" ca="1" si="18"/>
        <v>442</v>
      </c>
      <c r="G594" s="1">
        <f ca="1">VLOOKUP(financials[[#This Row],[ID]],Prices!D:F,2,FALSE)</f>
        <v>13</v>
      </c>
      <c r="H594" s="1">
        <f ca="1">VLOOKUP(financials[[#This Row],[ID]],Prices!D:F,3,FALSE)</f>
        <v>21</v>
      </c>
      <c r="I594" s="1">
        <f ca="1">financials[[#This Row],[Units Sold]]*financials[[#This Row],[Sale Price]]</f>
        <v>9282</v>
      </c>
      <c r="J5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464.1</v>
      </c>
      <c r="K594" s="1">
        <f ca="1">financials[[#This Row],[Gross Sales]]-financials[[#This Row],[Discounts]]</f>
        <v>8817.9</v>
      </c>
      <c r="L594" s="1">
        <f ca="1">financials[[#This Row],[Units Sold]]*financials[[#This Row],[Manufacturing Price]]</f>
        <v>5746</v>
      </c>
      <c r="M594" s="1">
        <f ca="1">financials[[#This Row],[Sales]]-financials[[#This Row],[COGS]]</f>
        <v>3071.8999999999996</v>
      </c>
      <c r="N594" s="7">
        <f t="shared" ca="1" si="19"/>
        <v>45111</v>
      </c>
      <c r="O594" s="8">
        <f ca="1">MONTH(financials[[#This Row],[Date]])</f>
        <v>7</v>
      </c>
      <c r="P594" s="6" t="str">
        <f ca="1">TEXT(financials[[#This Row],[Date]],"MMM")</f>
        <v>Jul</v>
      </c>
      <c r="Q594">
        <f ca="1">YEAR(financials[[#This Row],[Date]])</f>
        <v>2023</v>
      </c>
      <c r="S594" s="10"/>
    </row>
    <row r="595" spans="1:19" x14ac:dyDescent="0.3">
      <c r="A595" t="s">
        <v>16</v>
      </c>
      <c r="B595" t="s">
        <v>22</v>
      </c>
      <c r="C595" s="6" t="s">
        <v>28</v>
      </c>
      <c r="D595" s="6" t="str">
        <f>CONCATENATE(financials[[#This Row],[Segment]],",",financials[[#This Row],[Country]],",",financials[[#This Row],[Product]])</f>
        <v>Government,France,Paseo</v>
      </c>
      <c r="E595" s="6" t="s">
        <v>34</v>
      </c>
      <c r="F595">
        <f t="shared" ca="1" si="18"/>
        <v>194</v>
      </c>
      <c r="G595" s="1">
        <f ca="1">VLOOKUP(financials[[#This Row],[ID]],Prices!D:F,2,FALSE)</f>
        <v>14</v>
      </c>
      <c r="H595" s="1">
        <f ca="1">VLOOKUP(financials[[#This Row],[ID]],Prices!D:F,3,FALSE)</f>
        <v>18</v>
      </c>
      <c r="I595" s="1">
        <f ca="1">financials[[#This Row],[Units Sold]]*financials[[#This Row],[Sale Price]]</f>
        <v>3492</v>
      </c>
      <c r="J5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174.60000000000002</v>
      </c>
      <c r="K595" s="1">
        <f ca="1">financials[[#This Row],[Gross Sales]]-financials[[#This Row],[Discounts]]</f>
        <v>3317.4</v>
      </c>
      <c r="L595" s="1">
        <f ca="1">financials[[#This Row],[Units Sold]]*financials[[#This Row],[Manufacturing Price]]</f>
        <v>2716</v>
      </c>
      <c r="M595" s="1">
        <f ca="1">financials[[#This Row],[Sales]]-financials[[#This Row],[COGS]]</f>
        <v>601.40000000000009</v>
      </c>
      <c r="N595" s="7">
        <f t="shared" ca="1" si="19"/>
        <v>45123</v>
      </c>
      <c r="O595" s="8">
        <f ca="1">MONTH(financials[[#This Row],[Date]])</f>
        <v>7</v>
      </c>
      <c r="P595" s="6" t="str">
        <f ca="1">TEXT(financials[[#This Row],[Date]],"MMM")</f>
        <v>Jul</v>
      </c>
      <c r="Q595">
        <f ca="1">YEAR(financials[[#This Row],[Date]])</f>
        <v>2023</v>
      </c>
      <c r="S595" s="10"/>
    </row>
    <row r="596" spans="1:19" x14ac:dyDescent="0.3">
      <c r="A596" t="s">
        <v>21</v>
      </c>
      <c r="B596" t="s">
        <v>17</v>
      </c>
      <c r="C596" s="6" t="s">
        <v>28</v>
      </c>
      <c r="D596" s="6" t="str">
        <f>CONCATENATE(financials[[#This Row],[Segment]],",",financials[[#This Row],[Country]],",",financials[[#This Row],[Product]])</f>
        <v>Midmarket,Canada,Paseo</v>
      </c>
      <c r="E596" s="6" t="s">
        <v>34</v>
      </c>
      <c r="F596">
        <f t="shared" ca="1" si="18"/>
        <v>303</v>
      </c>
      <c r="G596" s="1">
        <f ca="1">VLOOKUP(financials[[#This Row],[ID]],Prices!D:F,2,FALSE)</f>
        <v>15</v>
      </c>
      <c r="H596" s="1">
        <f ca="1">VLOOKUP(financials[[#This Row],[ID]],Prices!D:F,3,FALSE)</f>
        <v>36</v>
      </c>
      <c r="I596" s="1">
        <f ca="1">financials[[#This Row],[Units Sold]]*financials[[#This Row],[Sale Price]]</f>
        <v>10908</v>
      </c>
      <c r="J5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545.4</v>
      </c>
      <c r="K596" s="1">
        <f ca="1">financials[[#This Row],[Gross Sales]]-financials[[#This Row],[Discounts]]</f>
        <v>10362.6</v>
      </c>
      <c r="L596" s="1">
        <f ca="1">financials[[#This Row],[Units Sold]]*financials[[#This Row],[Manufacturing Price]]</f>
        <v>4545</v>
      </c>
      <c r="M596" s="1">
        <f ca="1">financials[[#This Row],[Sales]]-financials[[#This Row],[COGS]]</f>
        <v>5817.6</v>
      </c>
      <c r="N596" s="7">
        <f t="shared" ca="1" si="19"/>
        <v>45034</v>
      </c>
      <c r="O596" s="8">
        <f ca="1">MONTH(financials[[#This Row],[Date]])</f>
        <v>4</v>
      </c>
      <c r="P596" s="6" t="str">
        <f ca="1">TEXT(financials[[#This Row],[Date]],"MMM")</f>
        <v>Apr</v>
      </c>
      <c r="Q596">
        <f ca="1">YEAR(financials[[#This Row],[Date]])</f>
        <v>2023</v>
      </c>
      <c r="S596" s="10"/>
    </row>
    <row r="597" spans="1:19" x14ac:dyDescent="0.3">
      <c r="A597" t="s">
        <v>16</v>
      </c>
      <c r="B597" t="s">
        <v>17</v>
      </c>
      <c r="C597" s="6" t="s">
        <v>28</v>
      </c>
      <c r="D597" s="6" t="str">
        <f>CONCATENATE(financials[[#This Row],[Segment]],",",financials[[#This Row],[Country]],",",financials[[#This Row],[Product]])</f>
        <v>Government,Canada,Paseo</v>
      </c>
      <c r="E597" s="6" t="s">
        <v>34</v>
      </c>
      <c r="F597">
        <f t="shared" ca="1" si="18"/>
        <v>631</v>
      </c>
      <c r="G597" s="1">
        <f ca="1">VLOOKUP(financials[[#This Row],[ID]],Prices!D:F,2,FALSE)</f>
        <v>10</v>
      </c>
      <c r="H597" s="1">
        <f ca="1">VLOOKUP(financials[[#This Row],[ID]],Prices!D:F,3,FALSE)</f>
        <v>23</v>
      </c>
      <c r="I597" s="1">
        <f ca="1">financials[[#This Row],[Units Sold]]*financials[[#This Row],[Sale Price]]</f>
        <v>14513</v>
      </c>
      <c r="J5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725.65000000000009</v>
      </c>
      <c r="K597" s="1">
        <f ca="1">financials[[#This Row],[Gross Sales]]-financials[[#This Row],[Discounts]]</f>
        <v>13787.35</v>
      </c>
      <c r="L597" s="1">
        <f ca="1">financials[[#This Row],[Units Sold]]*financials[[#This Row],[Manufacturing Price]]</f>
        <v>6310</v>
      </c>
      <c r="M597" s="1">
        <f ca="1">financials[[#This Row],[Sales]]-financials[[#This Row],[COGS]]</f>
        <v>7477.35</v>
      </c>
      <c r="N597" s="7">
        <f t="shared" ca="1" si="19"/>
        <v>45157</v>
      </c>
      <c r="O597" s="8">
        <f ca="1">MONTH(financials[[#This Row],[Date]])</f>
        <v>8</v>
      </c>
      <c r="P597" s="6" t="str">
        <f ca="1">TEXT(financials[[#This Row],[Date]],"MMM")</f>
        <v>Aug</v>
      </c>
      <c r="Q597">
        <f ca="1">YEAR(financials[[#This Row],[Date]])</f>
        <v>2023</v>
      </c>
      <c r="S597" s="10"/>
    </row>
    <row r="598" spans="1:19" x14ac:dyDescent="0.3">
      <c r="A598" t="s">
        <v>16</v>
      </c>
      <c r="B598" t="s">
        <v>20</v>
      </c>
      <c r="C598" s="6" t="s">
        <v>28</v>
      </c>
      <c r="D598" s="6" t="str">
        <f>CONCATENATE(financials[[#This Row],[Segment]],",",financials[[#This Row],[Country]],",",financials[[#This Row],[Product]])</f>
        <v>Government,Germany,Paseo</v>
      </c>
      <c r="E598" s="6" t="s">
        <v>34</v>
      </c>
      <c r="F598">
        <f t="shared" ca="1" si="18"/>
        <v>455</v>
      </c>
      <c r="G598" s="1">
        <f ca="1">VLOOKUP(financials[[#This Row],[ID]],Prices!D:F,2,FALSE)</f>
        <v>19</v>
      </c>
      <c r="H598" s="1">
        <f ca="1">VLOOKUP(financials[[#This Row],[ID]],Prices!D:F,3,FALSE)</f>
        <v>37</v>
      </c>
      <c r="I598" s="1">
        <f ca="1">financials[[#This Row],[Units Sold]]*financials[[#This Row],[Sale Price]]</f>
        <v>16835</v>
      </c>
      <c r="J5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841.75</v>
      </c>
      <c r="K598" s="1">
        <f ca="1">financials[[#This Row],[Gross Sales]]-financials[[#This Row],[Discounts]]</f>
        <v>15993.25</v>
      </c>
      <c r="L598" s="1">
        <f ca="1">financials[[#This Row],[Units Sold]]*financials[[#This Row],[Manufacturing Price]]</f>
        <v>8645</v>
      </c>
      <c r="M598" s="1">
        <f ca="1">financials[[#This Row],[Sales]]-financials[[#This Row],[COGS]]</f>
        <v>7348.25</v>
      </c>
      <c r="N598" s="7">
        <f t="shared" ca="1" si="19"/>
        <v>45405</v>
      </c>
      <c r="O598" s="8">
        <f ca="1">MONTH(financials[[#This Row],[Date]])</f>
        <v>4</v>
      </c>
      <c r="P598" s="6" t="str">
        <f ca="1">TEXT(financials[[#This Row],[Date]],"MMM")</f>
        <v>Apr</v>
      </c>
      <c r="Q598">
        <f ca="1">YEAR(financials[[#This Row],[Date]])</f>
        <v>2024</v>
      </c>
      <c r="S598" s="10"/>
    </row>
    <row r="599" spans="1:19" x14ac:dyDescent="0.3">
      <c r="A599" t="s">
        <v>25</v>
      </c>
      <c r="B599" t="s">
        <v>20</v>
      </c>
      <c r="C599" s="6" t="s">
        <v>28</v>
      </c>
      <c r="D599" s="6" t="str">
        <f>CONCATENATE(financials[[#This Row],[Segment]],",",financials[[#This Row],[Country]],",",financials[[#This Row],[Product]])</f>
        <v>Channel Partners,Germany,Paseo</v>
      </c>
      <c r="E599" s="6" t="s">
        <v>34</v>
      </c>
      <c r="F599">
        <f t="shared" ca="1" si="18"/>
        <v>718</v>
      </c>
      <c r="G599" s="1">
        <f ca="1">VLOOKUP(financials[[#This Row],[ID]],Prices!D:F,2,FALSE)</f>
        <v>13</v>
      </c>
      <c r="H599" s="1">
        <f ca="1">VLOOKUP(financials[[#This Row],[ID]],Prices!D:F,3,FALSE)</f>
        <v>25</v>
      </c>
      <c r="I599" s="1">
        <f ca="1">financials[[#This Row],[Units Sold]]*financials[[#This Row],[Sale Price]]</f>
        <v>17950</v>
      </c>
      <c r="J5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897.5</v>
      </c>
      <c r="K599" s="1">
        <f ca="1">financials[[#This Row],[Gross Sales]]-financials[[#This Row],[Discounts]]</f>
        <v>17052.5</v>
      </c>
      <c r="L599" s="1">
        <f ca="1">financials[[#This Row],[Units Sold]]*financials[[#This Row],[Manufacturing Price]]</f>
        <v>9334</v>
      </c>
      <c r="M599" s="1">
        <f ca="1">financials[[#This Row],[Sales]]-financials[[#This Row],[COGS]]</f>
        <v>7718.5</v>
      </c>
      <c r="N599" s="7">
        <f t="shared" ca="1" si="19"/>
        <v>45160</v>
      </c>
      <c r="O599" s="8">
        <f ca="1">MONTH(financials[[#This Row],[Date]])</f>
        <v>8</v>
      </c>
      <c r="P599" s="6" t="str">
        <f ca="1">TEXT(financials[[#This Row],[Date]],"MMM")</f>
        <v>Aug</v>
      </c>
      <c r="Q599">
        <f ca="1">YEAR(financials[[#This Row],[Date]])</f>
        <v>2023</v>
      </c>
      <c r="S599" s="10"/>
    </row>
    <row r="600" spans="1:19" x14ac:dyDescent="0.3">
      <c r="A600" t="s">
        <v>21</v>
      </c>
      <c r="B600" t="s">
        <v>22</v>
      </c>
      <c r="C600" s="6" t="s">
        <v>29</v>
      </c>
      <c r="D600" s="6" t="str">
        <f>CONCATENATE(financials[[#This Row],[Segment]],",",financials[[#This Row],[Country]],",",financials[[#This Row],[Product]])</f>
        <v>Midmarket,France,Velo</v>
      </c>
      <c r="E600" s="6" t="s">
        <v>34</v>
      </c>
      <c r="F600">
        <f t="shared" ca="1" si="18"/>
        <v>107</v>
      </c>
      <c r="G600" s="1">
        <f ca="1">VLOOKUP(financials[[#This Row],[ID]],Prices!D:F,2,FALSE)</f>
        <v>12</v>
      </c>
      <c r="H600" s="1">
        <f ca="1">VLOOKUP(financials[[#This Row],[ID]],Prices!D:F,3,FALSE)</f>
        <v>28</v>
      </c>
      <c r="I600" s="1">
        <f ca="1">financials[[#This Row],[Units Sold]]*financials[[#This Row],[Sale Price]]</f>
        <v>2996</v>
      </c>
      <c r="J6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149.80000000000001</v>
      </c>
      <c r="K600" s="1">
        <f ca="1">financials[[#This Row],[Gross Sales]]-financials[[#This Row],[Discounts]]</f>
        <v>2846.2</v>
      </c>
      <c r="L600" s="1">
        <f ca="1">financials[[#This Row],[Units Sold]]*financials[[#This Row],[Manufacturing Price]]</f>
        <v>1284</v>
      </c>
      <c r="M600" s="1">
        <f ca="1">financials[[#This Row],[Sales]]-financials[[#This Row],[COGS]]</f>
        <v>1562.1999999999998</v>
      </c>
      <c r="N600" s="7">
        <f t="shared" ca="1" si="19"/>
        <v>45053</v>
      </c>
      <c r="O600" s="8">
        <f ca="1">MONTH(financials[[#This Row],[Date]])</f>
        <v>5</v>
      </c>
      <c r="P600" s="6" t="str">
        <f ca="1">TEXT(financials[[#This Row],[Date]],"MMM")</f>
        <v>May</v>
      </c>
      <c r="Q600">
        <f ca="1">YEAR(financials[[#This Row],[Date]])</f>
        <v>2023</v>
      </c>
      <c r="S600" s="10"/>
    </row>
    <row r="601" spans="1:19" x14ac:dyDescent="0.3">
      <c r="A601" t="s">
        <v>16</v>
      </c>
      <c r="B601" t="s">
        <v>17</v>
      </c>
      <c r="C601" s="6" t="s">
        <v>29</v>
      </c>
      <c r="D601" s="6" t="str">
        <f>CONCATENATE(financials[[#This Row],[Segment]],",",financials[[#This Row],[Country]],",",financials[[#This Row],[Product]])</f>
        <v>Government,Canada,Velo</v>
      </c>
      <c r="E601" s="6" t="s">
        <v>34</v>
      </c>
      <c r="F601">
        <f t="shared" ca="1" si="18"/>
        <v>907</v>
      </c>
      <c r="G601" s="1">
        <f ca="1">VLOOKUP(financials[[#This Row],[ID]],Prices!D:F,2,FALSE)</f>
        <v>19</v>
      </c>
      <c r="H601" s="1">
        <f ca="1">VLOOKUP(financials[[#This Row],[ID]],Prices!D:F,3,FALSE)</f>
        <v>37</v>
      </c>
      <c r="I601" s="1">
        <f ca="1">financials[[#This Row],[Units Sold]]*financials[[#This Row],[Sale Price]]</f>
        <v>33559</v>
      </c>
      <c r="J6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1677.95</v>
      </c>
      <c r="K601" s="1">
        <f ca="1">financials[[#This Row],[Gross Sales]]-financials[[#This Row],[Discounts]]</f>
        <v>31881.05</v>
      </c>
      <c r="L601" s="1">
        <f ca="1">financials[[#This Row],[Units Sold]]*financials[[#This Row],[Manufacturing Price]]</f>
        <v>17233</v>
      </c>
      <c r="M601" s="1">
        <f ca="1">financials[[#This Row],[Sales]]-financials[[#This Row],[COGS]]</f>
        <v>14648.05</v>
      </c>
      <c r="N601" s="7">
        <f t="shared" ca="1" si="19"/>
        <v>45704</v>
      </c>
      <c r="O601" s="8">
        <f ca="1">MONTH(financials[[#This Row],[Date]])</f>
        <v>2</v>
      </c>
      <c r="P601" s="6" t="str">
        <f ca="1">TEXT(financials[[#This Row],[Date]],"MMM")</f>
        <v>Feb</v>
      </c>
      <c r="Q601">
        <f ca="1">YEAR(financials[[#This Row],[Date]])</f>
        <v>2025</v>
      </c>
      <c r="S601" s="10"/>
    </row>
    <row r="602" spans="1:19" x14ac:dyDescent="0.3">
      <c r="A602" t="s">
        <v>16</v>
      </c>
      <c r="B602" t="s">
        <v>22</v>
      </c>
      <c r="C602" s="6" t="s">
        <v>29</v>
      </c>
      <c r="D602" s="6" t="str">
        <f>CONCATENATE(financials[[#This Row],[Segment]],",",financials[[#This Row],[Country]],",",financials[[#This Row],[Product]])</f>
        <v>Government,France,Velo</v>
      </c>
      <c r="E602" s="6" t="s">
        <v>34</v>
      </c>
      <c r="F602">
        <f t="shared" ca="1" si="18"/>
        <v>460</v>
      </c>
      <c r="G602" s="1">
        <f ca="1">VLOOKUP(financials[[#This Row],[ID]],Prices!D:F,2,FALSE)</f>
        <v>20</v>
      </c>
      <c r="H602" s="1">
        <f ca="1">VLOOKUP(financials[[#This Row],[ID]],Prices!D:F,3,FALSE)</f>
        <v>36</v>
      </c>
      <c r="I602" s="1">
        <f ca="1">financials[[#This Row],[Units Sold]]*financials[[#This Row],[Sale Price]]</f>
        <v>16560</v>
      </c>
      <c r="J6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828</v>
      </c>
      <c r="K602" s="1">
        <f ca="1">financials[[#This Row],[Gross Sales]]-financials[[#This Row],[Discounts]]</f>
        <v>15732</v>
      </c>
      <c r="L602" s="1">
        <f ca="1">financials[[#This Row],[Units Sold]]*financials[[#This Row],[Manufacturing Price]]</f>
        <v>9200</v>
      </c>
      <c r="M602" s="1">
        <f ca="1">financials[[#This Row],[Sales]]-financials[[#This Row],[COGS]]</f>
        <v>6532</v>
      </c>
      <c r="N602" s="7">
        <f t="shared" ca="1" si="19"/>
        <v>45451</v>
      </c>
      <c r="O602" s="8">
        <f ca="1">MONTH(financials[[#This Row],[Date]])</f>
        <v>6</v>
      </c>
      <c r="P602" s="6" t="str">
        <f ca="1">TEXT(financials[[#This Row],[Date]],"MMM")</f>
        <v>Jun</v>
      </c>
      <c r="Q602">
        <f ca="1">YEAR(financials[[#This Row],[Date]])</f>
        <v>2024</v>
      </c>
      <c r="S602" s="10"/>
    </row>
    <row r="603" spans="1:19" x14ac:dyDescent="0.3">
      <c r="A603" t="s">
        <v>25</v>
      </c>
      <c r="B603" t="s">
        <v>23</v>
      </c>
      <c r="C603" s="6" t="s">
        <v>29</v>
      </c>
      <c r="D603" s="6" t="str">
        <f>CONCATENATE(financials[[#This Row],[Segment]],",",financials[[#This Row],[Country]],",",financials[[#This Row],[Product]])</f>
        <v>Channel Partners,Mexico,Velo</v>
      </c>
      <c r="E603" s="6" t="s">
        <v>34</v>
      </c>
      <c r="F603">
        <f t="shared" ca="1" si="18"/>
        <v>599</v>
      </c>
      <c r="G603" s="1">
        <f ca="1">VLOOKUP(financials[[#This Row],[ID]],Prices!D:F,2,FALSE)</f>
        <v>19</v>
      </c>
      <c r="H603" s="1">
        <f ca="1">VLOOKUP(financials[[#This Row],[ID]],Prices!D:F,3,FALSE)</f>
        <v>16</v>
      </c>
      <c r="I603" s="1">
        <f ca="1">financials[[#This Row],[Units Sold]]*financials[[#This Row],[Sale Price]]</f>
        <v>9584</v>
      </c>
      <c r="J6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479.20000000000005</v>
      </c>
      <c r="K603" s="1">
        <f ca="1">financials[[#This Row],[Gross Sales]]-financials[[#This Row],[Discounts]]</f>
        <v>9104.7999999999993</v>
      </c>
      <c r="L603" s="1">
        <f ca="1">financials[[#This Row],[Units Sold]]*financials[[#This Row],[Manufacturing Price]]</f>
        <v>11381</v>
      </c>
      <c r="M603" s="1">
        <f ca="1">financials[[#This Row],[Sales]]-financials[[#This Row],[COGS]]</f>
        <v>-2276.2000000000007</v>
      </c>
      <c r="N603" s="7">
        <f t="shared" ca="1" si="19"/>
        <v>45717</v>
      </c>
      <c r="O603" s="8">
        <f ca="1">MONTH(financials[[#This Row],[Date]])</f>
        <v>3</v>
      </c>
      <c r="P603" s="6" t="str">
        <f ca="1">TEXT(financials[[#This Row],[Date]],"MMM")</f>
        <v>Mar</v>
      </c>
      <c r="Q603">
        <f ca="1">YEAR(financials[[#This Row],[Date]])</f>
        <v>2025</v>
      </c>
      <c r="S603" s="10"/>
    </row>
    <row r="604" spans="1:19" x14ac:dyDescent="0.3">
      <c r="A604" t="s">
        <v>21</v>
      </c>
      <c r="B604" t="s">
        <v>20</v>
      </c>
      <c r="C604" s="6" t="s">
        <v>29</v>
      </c>
      <c r="D604" s="6" t="str">
        <f>CONCATENATE(financials[[#This Row],[Segment]],",",financials[[#This Row],[Country]],",",financials[[#This Row],[Product]])</f>
        <v>Midmarket,Germany,Velo</v>
      </c>
      <c r="E604" s="6" t="s">
        <v>34</v>
      </c>
      <c r="F604">
        <f t="shared" ca="1" si="18"/>
        <v>433</v>
      </c>
      <c r="G604" s="1">
        <f ca="1">VLOOKUP(financials[[#This Row],[ID]],Prices!D:F,2,FALSE)</f>
        <v>10</v>
      </c>
      <c r="H604" s="1">
        <f ca="1">VLOOKUP(financials[[#This Row],[ID]],Prices!D:F,3,FALSE)</f>
        <v>25</v>
      </c>
      <c r="I604" s="1">
        <f ca="1">financials[[#This Row],[Units Sold]]*financials[[#This Row],[Sale Price]]</f>
        <v>10825</v>
      </c>
      <c r="J6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541.25</v>
      </c>
      <c r="K604" s="1">
        <f ca="1">financials[[#This Row],[Gross Sales]]-financials[[#This Row],[Discounts]]</f>
        <v>10283.75</v>
      </c>
      <c r="L604" s="1">
        <f ca="1">financials[[#This Row],[Units Sold]]*financials[[#This Row],[Manufacturing Price]]</f>
        <v>4330</v>
      </c>
      <c r="M604" s="1">
        <f ca="1">financials[[#This Row],[Sales]]-financials[[#This Row],[COGS]]</f>
        <v>5953.75</v>
      </c>
      <c r="N604" s="7">
        <f t="shared" ca="1" si="19"/>
        <v>45243</v>
      </c>
      <c r="O604" s="8">
        <f ca="1">MONTH(financials[[#This Row],[Date]])</f>
        <v>11</v>
      </c>
      <c r="P604" s="6" t="str">
        <f ca="1">TEXT(financials[[#This Row],[Date]],"MMM")</f>
        <v>Nov</v>
      </c>
      <c r="Q604">
        <f ca="1">YEAR(financials[[#This Row],[Date]])</f>
        <v>2023</v>
      </c>
      <c r="S604" s="10"/>
    </row>
    <row r="605" spans="1:19" x14ac:dyDescent="0.3">
      <c r="A605" t="s">
        <v>25</v>
      </c>
      <c r="B605" t="s">
        <v>23</v>
      </c>
      <c r="C605" s="6" t="s">
        <v>29</v>
      </c>
      <c r="D605" s="6" t="str">
        <f>CONCATENATE(financials[[#This Row],[Segment]],",",financials[[#This Row],[Country]],",",financials[[#This Row],[Product]])</f>
        <v>Channel Partners,Mexico,Velo</v>
      </c>
      <c r="E605" s="6" t="s">
        <v>34</v>
      </c>
      <c r="F605">
        <f t="shared" ca="1" si="18"/>
        <v>684</v>
      </c>
      <c r="G605" s="1">
        <f ca="1">VLOOKUP(financials[[#This Row],[ID]],Prices!D:F,2,FALSE)</f>
        <v>19</v>
      </c>
      <c r="H605" s="1">
        <f ca="1">VLOOKUP(financials[[#This Row],[ID]],Prices!D:F,3,FALSE)</f>
        <v>16</v>
      </c>
      <c r="I605" s="1">
        <f ca="1">financials[[#This Row],[Units Sold]]*financials[[#This Row],[Sale Price]]</f>
        <v>10944</v>
      </c>
      <c r="J6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547.20000000000005</v>
      </c>
      <c r="K605" s="1">
        <f ca="1">financials[[#This Row],[Gross Sales]]-financials[[#This Row],[Discounts]]</f>
        <v>10396.799999999999</v>
      </c>
      <c r="L605" s="1">
        <f ca="1">financials[[#This Row],[Units Sold]]*financials[[#This Row],[Manufacturing Price]]</f>
        <v>12996</v>
      </c>
      <c r="M605" s="1">
        <f ca="1">financials[[#This Row],[Sales]]-financials[[#This Row],[COGS]]</f>
        <v>-2599.2000000000007</v>
      </c>
      <c r="N605" s="7">
        <f t="shared" ca="1" si="19"/>
        <v>45584</v>
      </c>
      <c r="O605" s="8">
        <f ca="1">MONTH(financials[[#This Row],[Date]])</f>
        <v>10</v>
      </c>
      <c r="P605" s="6" t="str">
        <f ca="1">TEXT(financials[[#This Row],[Date]],"MMM")</f>
        <v>Oct</v>
      </c>
      <c r="Q605">
        <f ca="1">YEAR(financials[[#This Row],[Date]])</f>
        <v>2024</v>
      </c>
      <c r="S605" s="10"/>
    </row>
    <row r="606" spans="1:19" x14ac:dyDescent="0.3">
      <c r="A606" t="s">
        <v>27</v>
      </c>
      <c r="B606" t="s">
        <v>23</v>
      </c>
      <c r="C606" s="6" t="s">
        <v>29</v>
      </c>
      <c r="D606" s="6" t="str">
        <f>CONCATENATE(financials[[#This Row],[Segment]],",",financials[[#This Row],[Country]],",",financials[[#This Row],[Product]])</f>
        <v>Small Business,Mexico,Velo</v>
      </c>
      <c r="E606" s="6" t="s">
        <v>34</v>
      </c>
      <c r="F606">
        <f t="shared" ca="1" si="18"/>
        <v>902</v>
      </c>
      <c r="G606" s="1">
        <f ca="1">VLOOKUP(financials[[#This Row],[ID]],Prices!D:F,2,FALSE)</f>
        <v>19</v>
      </c>
      <c r="H606" s="1">
        <f ca="1">VLOOKUP(financials[[#This Row],[ID]],Prices!D:F,3,FALSE)</f>
        <v>32</v>
      </c>
      <c r="I606" s="1">
        <f ca="1">financials[[#This Row],[Units Sold]]*financials[[#This Row],[Sale Price]]</f>
        <v>28864</v>
      </c>
      <c r="J6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1443.2</v>
      </c>
      <c r="K606" s="1">
        <f ca="1">financials[[#This Row],[Gross Sales]]-financials[[#This Row],[Discounts]]</f>
        <v>27420.799999999999</v>
      </c>
      <c r="L606" s="1">
        <f ca="1">financials[[#This Row],[Units Sold]]*financials[[#This Row],[Manufacturing Price]]</f>
        <v>17138</v>
      </c>
      <c r="M606" s="1">
        <f ca="1">financials[[#This Row],[Sales]]-financials[[#This Row],[COGS]]</f>
        <v>10282.799999999999</v>
      </c>
      <c r="N606" s="7">
        <f t="shared" ca="1" si="19"/>
        <v>45484</v>
      </c>
      <c r="O606" s="8">
        <f ca="1">MONTH(financials[[#This Row],[Date]])</f>
        <v>7</v>
      </c>
      <c r="P606" s="6" t="str">
        <f ca="1">TEXT(financials[[#This Row],[Date]],"MMM")</f>
        <v>Jul</v>
      </c>
      <c r="Q606">
        <f ca="1">YEAR(financials[[#This Row],[Date]])</f>
        <v>2024</v>
      </c>
      <c r="S606" s="10"/>
    </row>
    <row r="607" spans="1:19" x14ac:dyDescent="0.3">
      <c r="A607" t="s">
        <v>25</v>
      </c>
      <c r="B607" t="s">
        <v>20</v>
      </c>
      <c r="C607" s="6" t="s">
        <v>29</v>
      </c>
      <c r="D607" s="6" t="str">
        <f>CONCATENATE(financials[[#This Row],[Segment]],",",financials[[#This Row],[Country]],",",financials[[#This Row],[Product]])</f>
        <v>Channel Partners,Germany,Velo</v>
      </c>
      <c r="E607" s="6" t="s">
        <v>34</v>
      </c>
      <c r="F607">
        <f t="shared" ca="1" si="18"/>
        <v>338</v>
      </c>
      <c r="G607" s="1">
        <f ca="1">VLOOKUP(financials[[#This Row],[ID]],Prices!D:F,2,FALSE)</f>
        <v>17</v>
      </c>
      <c r="H607" s="1">
        <f ca="1">VLOOKUP(financials[[#This Row],[ID]],Prices!D:F,3,FALSE)</f>
        <v>23</v>
      </c>
      <c r="I607" s="1">
        <f ca="1">financials[[#This Row],[Units Sold]]*financials[[#This Row],[Sale Price]]</f>
        <v>7774</v>
      </c>
      <c r="J6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388.70000000000005</v>
      </c>
      <c r="K607" s="1">
        <f ca="1">financials[[#This Row],[Gross Sales]]-financials[[#This Row],[Discounts]]</f>
        <v>7385.3</v>
      </c>
      <c r="L607" s="1">
        <f ca="1">financials[[#This Row],[Units Sold]]*financials[[#This Row],[Manufacturing Price]]</f>
        <v>5746</v>
      </c>
      <c r="M607" s="1">
        <f ca="1">financials[[#This Row],[Sales]]-financials[[#This Row],[COGS]]</f>
        <v>1639.3000000000002</v>
      </c>
      <c r="N607" s="7">
        <f t="shared" ca="1" si="19"/>
        <v>45354</v>
      </c>
      <c r="O607" s="8">
        <f ca="1">MONTH(financials[[#This Row],[Date]])</f>
        <v>3</v>
      </c>
      <c r="P607" s="6" t="str">
        <f ca="1">TEXT(financials[[#This Row],[Date]],"MMM")</f>
        <v>Mar</v>
      </c>
      <c r="Q607">
        <f ca="1">YEAR(financials[[#This Row],[Date]])</f>
        <v>2024</v>
      </c>
      <c r="S607" s="10"/>
    </row>
    <row r="608" spans="1:19" x14ac:dyDescent="0.3">
      <c r="A608" t="s">
        <v>26</v>
      </c>
      <c r="B608" t="s">
        <v>17</v>
      </c>
      <c r="C608" s="6" t="s">
        <v>30</v>
      </c>
      <c r="D608" s="6" t="str">
        <f>CONCATENATE(financials[[#This Row],[Segment]],",",financials[[#This Row],[Country]],",",financials[[#This Row],[Product]])</f>
        <v>Enterprise,Canada,VTT</v>
      </c>
      <c r="E608" s="6" t="s">
        <v>34</v>
      </c>
      <c r="F608">
        <f t="shared" ca="1" si="18"/>
        <v>994</v>
      </c>
      <c r="G608" s="1">
        <f ca="1">VLOOKUP(financials[[#This Row],[ID]],Prices!D:F,2,FALSE)</f>
        <v>14</v>
      </c>
      <c r="H608" s="1">
        <f ca="1">VLOOKUP(financials[[#This Row],[ID]],Prices!D:F,3,FALSE)</f>
        <v>29</v>
      </c>
      <c r="I608" s="1">
        <f ca="1">financials[[#This Row],[Units Sold]]*financials[[#This Row],[Sale Price]]</f>
        <v>28826</v>
      </c>
      <c r="J6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1441.3000000000002</v>
      </c>
      <c r="K608" s="1">
        <f ca="1">financials[[#This Row],[Gross Sales]]-financials[[#This Row],[Discounts]]</f>
        <v>27384.7</v>
      </c>
      <c r="L608" s="1">
        <f ca="1">financials[[#This Row],[Units Sold]]*financials[[#This Row],[Manufacturing Price]]</f>
        <v>13916</v>
      </c>
      <c r="M608" s="1">
        <f ca="1">financials[[#This Row],[Sales]]-financials[[#This Row],[COGS]]</f>
        <v>13468.7</v>
      </c>
      <c r="N608" s="7">
        <f t="shared" ca="1" si="19"/>
        <v>45289</v>
      </c>
      <c r="O608" s="8">
        <f ca="1">MONTH(financials[[#This Row],[Date]])</f>
        <v>12</v>
      </c>
      <c r="P608" s="6" t="str">
        <f ca="1">TEXT(financials[[#This Row],[Date]],"MMM")</f>
        <v>Dec</v>
      </c>
      <c r="Q608">
        <f ca="1">YEAR(financials[[#This Row],[Date]])</f>
        <v>2023</v>
      </c>
      <c r="S608" s="10"/>
    </row>
    <row r="609" spans="1:19" x14ac:dyDescent="0.3">
      <c r="A609" t="s">
        <v>21</v>
      </c>
      <c r="B609" t="s">
        <v>17</v>
      </c>
      <c r="C609" s="6" t="s">
        <v>30</v>
      </c>
      <c r="D609" s="6" t="str">
        <f>CONCATENATE(financials[[#This Row],[Segment]],",",financials[[#This Row],[Country]],",",financials[[#This Row],[Product]])</f>
        <v>Midmarket,Canada,VTT</v>
      </c>
      <c r="E609" s="6" t="s">
        <v>34</v>
      </c>
      <c r="F609">
        <f t="shared" ca="1" si="18"/>
        <v>334</v>
      </c>
      <c r="G609" s="1">
        <f ca="1">VLOOKUP(financials[[#This Row],[ID]],Prices!D:F,2,FALSE)</f>
        <v>13</v>
      </c>
      <c r="H609" s="1">
        <f ca="1">VLOOKUP(financials[[#This Row],[ID]],Prices!D:F,3,FALSE)</f>
        <v>36</v>
      </c>
      <c r="I609" s="1">
        <f ca="1">financials[[#This Row],[Units Sold]]*financials[[#This Row],[Sale Price]]</f>
        <v>12024</v>
      </c>
      <c r="J6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601.20000000000005</v>
      </c>
      <c r="K609" s="1">
        <f ca="1">financials[[#This Row],[Gross Sales]]-financials[[#This Row],[Discounts]]</f>
        <v>11422.8</v>
      </c>
      <c r="L609" s="1">
        <f ca="1">financials[[#This Row],[Units Sold]]*financials[[#This Row],[Manufacturing Price]]</f>
        <v>4342</v>
      </c>
      <c r="M609" s="1">
        <f ca="1">financials[[#This Row],[Sales]]-financials[[#This Row],[COGS]]</f>
        <v>7080.7999999999993</v>
      </c>
      <c r="N609" s="7">
        <f t="shared" ca="1" si="19"/>
        <v>45661</v>
      </c>
      <c r="O609" s="8">
        <f ca="1">MONTH(financials[[#This Row],[Date]])</f>
        <v>1</v>
      </c>
      <c r="P609" s="6" t="str">
        <f ca="1">TEXT(financials[[#This Row],[Date]],"MMM")</f>
        <v>Jan</v>
      </c>
      <c r="Q609">
        <f ca="1">YEAR(financials[[#This Row],[Date]])</f>
        <v>2025</v>
      </c>
      <c r="S609" s="10"/>
    </row>
    <row r="610" spans="1:19" x14ac:dyDescent="0.3">
      <c r="A610" t="s">
        <v>26</v>
      </c>
      <c r="B610" t="s">
        <v>17</v>
      </c>
      <c r="C610" s="6" t="s">
        <v>31</v>
      </c>
      <c r="D610" s="6" t="str">
        <f>CONCATENATE(financials[[#This Row],[Segment]],",",financials[[#This Row],[Country]],",",financials[[#This Row],[Product]])</f>
        <v>Enterprise,Canada,Amarilla</v>
      </c>
      <c r="E610" s="6" t="s">
        <v>34</v>
      </c>
      <c r="F610">
        <f t="shared" ca="1" si="18"/>
        <v>372</v>
      </c>
      <c r="G610" s="1">
        <f ca="1">VLOOKUP(financials[[#This Row],[ID]],Prices!D:F,2,FALSE)</f>
        <v>18</v>
      </c>
      <c r="H610" s="1">
        <f ca="1">VLOOKUP(financials[[#This Row],[ID]],Prices!D:F,3,FALSE)</f>
        <v>27</v>
      </c>
      <c r="I610" s="1">
        <f ca="1">financials[[#This Row],[Units Sold]]*financials[[#This Row],[Sale Price]]</f>
        <v>10044</v>
      </c>
      <c r="J6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502.20000000000005</v>
      </c>
      <c r="K610" s="1">
        <f ca="1">financials[[#This Row],[Gross Sales]]-financials[[#This Row],[Discounts]]</f>
        <v>9541.7999999999993</v>
      </c>
      <c r="L610" s="1">
        <f ca="1">financials[[#This Row],[Units Sold]]*financials[[#This Row],[Manufacturing Price]]</f>
        <v>6696</v>
      </c>
      <c r="M610" s="1">
        <f ca="1">financials[[#This Row],[Sales]]-financials[[#This Row],[COGS]]</f>
        <v>2845.7999999999993</v>
      </c>
      <c r="N610" s="7">
        <f t="shared" ca="1" si="19"/>
        <v>45408</v>
      </c>
      <c r="O610" s="8">
        <f ca="1">MONTH(financials[[#This Row],[Date]])</f>
        <v>4</v>
      </c>
      <c r="P610" s="6" t="str">
        <f ca="1">TEXT(financials[[#This Row],[Date]],"MMM")</f>
        <v>Apr</v>
      </c>
      <c r="Q610">
        <f ca="1">YEAR(financials[[#This Row],[Date]])</f>
        <v>2024</v>
      </c>
      <c r="S610" s="10"/>
    </row>
    <row r="611" spans="1:19" x14ac:dyDescent="0.3">
      <c r="A611" t="s">
        <v>16</v>
      </c>
      <c r="B611" t="s">
        <v>22</v>
      </c>
      <c r="C611" s="6" t="s">
        <v>31</v>
      </c>
      <c r="D611" s="6" t="str">
        <f>CONCATENATE(financials[[#This Row],[Segment]],",",financials[[#This Row],[Country]],",",financials[[#This Row],[Product]])</f>
        <v>Government,France,Amarilla</v>
      </c>
      <c r="E611" s="6" t="s">
        <v>34</v>
      </c>
      <c r="F611">
        <f t="shared" ca="1" si="18"/>
        <v>201</v>
      </c>
      <c r="G611" s="1">
        <f ca="1">VLOOKUP(financials[[#This Row],[ID]],Prices!D:F,2,FALSE)</f>
        <v>10</v>
      </c>
      <c r="H611" s="1">
        <f ca="1">VLOOKUP(financials[[#This Row],[ID]],Prices!D:F,3,FALSE)</f>
        <v>25</v>
      </c>
      <c r="I611" s="1">
        <f ca="1">financials[[#This Row],[Units Sold]]*financials[[#This Row],[Sale Price]]</f>
        <v>5025</v>
      </c>
      <c r="J6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251.25</v>
      </c>
      <c r="K611" s="1">
        <f ca="1">financials[[#This Row],[Gross Sales]]-financials[[#This Row],[Discounts]]</f>
        <v>4773.75</v>
      </c>
      <c r="L611" s="1">
        <f ca="1">financials[[#This Row],[Units Sold]]*financials[[#This Row],[Manufacturing Price]]</f>
        <v>2010</v>
      </c>
      <c r="M611" s="1">
        <f ca="1">financials[[#This Row],[Sales]]-financials[[#This Row],[COGS]]</f>
        <v>2763.75</v>
      </c>
      <c r="N611" s="7">
        <f t="shared" ca="1" si="19"/>
        <v>45704</v>
      </c>
      <c r="O611" s="8">
        <f ca="1">MONTH(financials[[#This Row],[Date]])</f>
        <v>2</v>
      </c>
      <c r="P611" s="6" t="str">
        <f ca="1">TEXT(financials[[#This Row],[Date]],"MMM")</f>
        <v>Feb</v>
      </c>
      <c r="Q611">
        <f ca="1">YEAR(financials[[#This Row],[Date]])</f>
        <v>2025</v>
      </c>
      <c r="S611" s="10"/>
    </row>
    <row r="612" spans="1:19" x14ac:dyDescent="0.3">
      <c r="A612" t="s">
        <v>25</v>
      </c>
      <c r="B612" t="s">
        <v>23</v>
      </c>
      <c r="C612" s="6" t="s">
        <v>31</v>
      </c>
      <c r="D612" s="6" t="str">
        <f>CONCATENATE(financials[[#This Row],[Segment]],",",financials[[#This Row],[Country]],",",financials[[#This Row],[Product]])</f>
        <v>Channel Partners,Mexico,Amarilla</v>
      </c>
      <c r="E612" s="6" t="s">
        <v>34</v>
      </c>
      <c r="F612">
        <f t="shared" ca="1" si="18"/>
        <v>202</v>
      </c>
      <c r="G612" s="1">
        <f ca="1">VLOOKUP(financials[[#This Row],[ID]],Prices!D:F,2,FALSE)</f>
        <v>11</v>
      </c>
      <c r="H612" s="1">
        <f ca="1">VLOOKUP(financials[[#This Row],[ID]],Prices!D:F,3,FALSE)</f>
        <v>20</v>
      </c>
      <c r="I612" s="1">
        <f ca="1">financials[[#This Row],[Units Sold]]*financials[[#This Row],[Sale Price]]</f>
        <v>4040</v>
      </c>
      <c r="J6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202</v>
      </c>
      <c r="K612" s="1">
        <f ca="1">financials[[#This Row],[Gross Sales]]-financials[[#This Row],[Discounts]]</f>
        <v>3838</v>
      </c>
      <c r="L612" s="1">
        <f ca="1">financials[[#This Row],[Units Sold]]*financials[[#This Row],[Manufacturing Price]]</f>
        <v>2222</v>
      </c>
      <c r="M612" s="1">
        <f ca="1">financials[[#This Row],[Sales]]-financials[[#This Row],[COGS]]</f>
        <v>1616</v>
      </c>
      <c r="N612" s="7">
        <f t="shared" ca="1" si="19"/>
        <v>45666</v>
      </c>
      <c r="O612" s="8">
        <f ca="1">MONTH(financials[[#This Row],[Date]])</f>
        <v>1</v>
      </c>
      <c r="P612" s="6" t="str">
        <f ca="1">TEXT(financials[[#This Row],[Date]],"MMM")</f>
        <v>Jan</v>
      </c>
      <c r="Q612">
        <f ca="1">YEAR(financials[[#This Row],[Date]])</f>
        <v>2025</v>
      </c>
      <c r="S612" s="10"/>
    </row>
    <row r="613" spans="1:19" x14ac:dyDescent="0.3">
      <c r="A613" t="s">
        <v>25</v>
      </c>
      <c r="B613" t="s">
        <v>20</v>
      </c>
      <c r="C613" s="6" t="s">
        <v>31</v>
      </c>
      <c r="D613" s="6" t="str">
        <f>CONCATENATE(financials[[#This Row],[Segment]],",",financials[[#This Row],[Country]],",",financials[[#This Row],[Product]])</f>
        <v>Channel Partners,Germany,Amarilla</v>
      </c>
      <c r="E613" s="6" t="s">
        <v>34</v>
      </c>
      <c r="F613">
        <f t="shared" ca="1" si="18"/>
        <v>160</v>
      </c>
      <c r="G613" s="1">
        <f ca="1">VLOOKUP(financials[[#This Row],[ID]],Prices!D:F,2,FALSE)</f>
        <v>15</v>
      </c>
      <c r="H613" s="1">
        <f ca="1">VLOOKUP(financials[[#This Row],[ID]],Prices!D:F,3,FALSE)</f>
        <v>22</v>
      </c>
      <c r="I613" s="1">
        <f ca="1">financials[[#This Row],[Units Sold]]*financials[[#This Row],[Sale Price]]</f>
        <v>3520</v>
      </c>
      <c r="J6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176</v>
      </c>
      <c r="K613" s="1">
        <f ca="1">financials[[#This Row],[Gross Sales]]-financials[[#This Row],[Discounts]]</f>
        <v>3344</v>
      </c>
      <c r="L613" s="1">
        <f ca="1">financials[[#This Row],[Units Sold]]*financials[[#This Row],[Manufacturing Price]]</f>
        <v>2400</v>
      </c>
      <c r="M613" s="1">
        <f ca="1">financials[[#This Row],[Sales]]-financials[[#This Row],[COGS]]</f>
        <v>944</v>
      </c>
      <c r="N613" s="7">
        <f t="shared" ca="1" si="19"/>
        <v>45658</v>
      </c>
      <c r="O613" s="8">
        <f ca="1">MONTH(financials[[#This Row],[Date]])</f>
        <v>1</v>
      </c>
      <c r="P613" s="6" t="str">
        <f ca="1">TEXT(financials[[#This Row],[Date]],"MMM")</f>
        <v>Jan</v>
      </c>
      <c r="Q613">
        <f ca="1">YEAR(financials[[#This Row],[Date]])</f>
        <v>2025</v>
      </c>
      <c r="S613" s="10"/>
    </row>
    <row r="614" spans="1:19" x14ac:dyDescent="0.3">
      <c r="A614" t="s">
        <v>16</v>
      </c>
      <c r="B614" t="s">
        <v>23</v>
      </c>
      <c r="C614" s="6" t="s">
        <v>18</v>
      </c>
      <c r="D614" s="6" t="str">
        <f>CONCATENATE(financials[[#This Row],[Segment]],",",financials[[#This Row],[Country]],",",financials[[#This Row],[Product]])</f>
        <v>Government,Mexico,Carretera</v>
      </c>
      <c r="E614" s="6" t="s">
        <v>34</v>
      </c>
      <c r="F614">
        <f t="shared" ca="1" si="18"/>
        <v>537</v>
      </c>
      <c r="G614" s="1">
        <f ca="1">VLOOKUP(financials[[#This Row],[ID]],Prices!D:F,2,FALSE)</f>
        <v>16</v>
      </c>
      <c r="H614" s="1">
        <f ca="1">VLOOKUP(financials[[#This Row],[ID]],Prices!D:F,3,FALSE)</f>
        <v>31</v>
      </c>
      <c r="I614" s="1">
        <f ca="1">financials[[#This Row],[Units Sold]]*financials[[#This Row],[Sale Price]]</f>
        <v>16647</v>
      </c>
      <c r="J6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832.35</v>
      </c>
      <c r="K614" s="1">
        <f ca="1">financials[[#This Row],[Gross Sales]]-financials[[#This Row],[Discounts]]</f>
        <v>15814.65</v>
      </c>
      <c r="L614" s="1">
        <f ca="1">financials[[#This Row],[Units Sold]]*financials[[#This Row],[Manufacturing Price]]</f>
        <v>8592</v>
      </c>
      <c r="M614" s="1">
        <f ca="1">financials[[#This Row],[Sales]]-financials[[#This Row],[COGS]]</f>
        <v>7222.65</v>
      </c>
      <c r="N614" s="7">
        <f t="shared" ca="1" si="19"/>
        <v>45215</v>
      </c>
      <c r="O614" s="8">
        <f ca="1">MONTH(financials[[#This Row],[Date]])</f>
        <v>10</v>
      </c>
      <c r="P614" s="6" t="str">
        <f ca="1">TEXT(financials[[#This Row],[Date]],"MMM")</f>
        <v>Oct</v>
      </c>
      <c r="Q614">
        <f ca="1">YEAR(financials[[#This Row],[Date]])</f>
        <v>2023</v>
      </c>
      <c r="S614" s="10"/>
    </row>
    <row r="615" spans="1:19" x14ac:dyDescent="0.3">
      <c r="A615" t="s">
        <v>16</v>
      </c>
      <c r="B615" t="s">
        <v>36</v>
      </c>
      <c r="C615" s="6" t="s">
        <v>18</v>
      </c>
      <c r="D615" s="6" t="str">
        <f>CONCATENATE(financials[[#This Row],[Segment]],",",financials[[#This Row],[Country]],",",financials[[#This Row],[Product]])</f>
        <v>Government,USA,Carretera</v>
      </c>
      <c r="E615" s="6" t="s">
        <v>34</v>
      </c>
      <c r="F615">
        <f t="shared" ca="1" si="18"/>
        <v>490</v>
      </c>
      <c r="G615" s="1">
        <f ca="1">VLOOKUP(financials[[#This Row],[ID]],Prices!D:F,2,FALSE)</f>
        <v>11</v>
      </c>
      <c r="H615" s="1">
        <f ca="1">VLOOKUP(financials[[#This Row],[ID]],Prices!D:F,3,FALSE)</f>
        <v>21</v>
      </c>
      <c r="I615" s="1">
        <f ca="1">financials[[#This Row],[Units Sold]]*financials[[#This Row],[Sale Price]]</f>
        <v>10290</v>
      </c>
      <c r="J6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514.5</v>
      </c>
      <c r="K615" s="1">
        <f ca="1">financials[[#This Row],[Gross Sales]]-financials[[#This Row],[Discounts]]</f>
        <v>9775.5</v>
      </c>
      <c r="L615" s="1">
        <f ca="1">financials[[#This Row],[Units Sold]]*financials[[#This Row],[Manufacturing Price]]</f>
        <v>5390</v>
      </c>
      <c r="M615" s="1">
        <f ca="1">financials[[#This Row],[Sales]]-financials[[#This Row],[COGS]]</f>
        <v>4385.5</v>
      </c>
      <c r="N615" s="7">
        <f t="shared" ca="1" si="19"/>
        <v>45240</v>
      </c>
      <c r="O615" s="8">
        <f ca="1">MONTH(financials[[#This Row],[Date]])</f>
        <v>11</v>
      </c>
      <c r="P615" s="6" t="str">
        <f ca="1">TEXT(financials[[#This Row],[Date]],"MMM")</f>
        <v>Nov</v>
      </c>
      <c r="Q615">
        <f ca="1">YEAR(financials[[#This Row],[Date]])</f>
        <v>2023</v>
      </c>
      <c r="S615" s="10"/>
    </row>
    <row r="616" spans="1:19" x14ac:dyDescent="0.3">
      <c r="A616" t="s">
        <v>16</v>
      </c>
      <c r="B616" t="s">
        <v>36</v>
      </c>
      <c r="C616" s="6" t="s">
        <v>18</v>
      </c>
      <c r="D616" s="6" t="str">
        <f>CONCATENATE(financials[[#This Row],[Segment]],",",financials[[#This Row],[Country]],",",financials[[#This Row],[Product]])</f>
        <v>Government,USA,Carretera</v>
      </c>
      <c r="E616" s="6" t="s">
        <v>34</v>
      </c>
      <c r="F616">
        <f t="shared" ca="1" si="18"/>
        <v>455</v>
      </c>
      <c r="G616" s="1">
        <f ca="1">VLOOKUP(financials[[#This Row],[ID]],Prices!D:F,2,FALSE)</f>
        <v>11</v>
      </c>
      <c r="H616" s="1">
        <f ca="1">VLOOKUP(financials[[#This Row],[ID]],Prices!D:F,3,FALSE)</f>
        <v>21</v>
      </c>
      <c r="I616" s="1">
        <f ca="1">financials[[#This Row],[Units Sold]]*financials[[#This Row],[Sale Price]]</f>
        <v>9555</v>
      </c>
      <c r="J6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477.75</v>
      </c>
      <c r="K616" s="1">
        <f ca="1">financials[[#This Row],[Gross Sales]]-financials[[#This Row],[Discounts]]</f>
        <v>9077.25</v>
      </c>
      <c r="L616" s="1">
        <f ca="1">financials[[#This Row],[Units Sold]]*financials[[#This Row],[Manufacturing Price]]</f>
        <v>5005</v>
      </c>
      <c r="M616" s="1">
        <f ca="1">financials[[#This Row],[Sales]]-financials[[#This Row],[COGS]]</f>
        <v>4072.25</v>
      </c>
      <c r="N616" s="7">
        <f t="shared" ca="1" si="19"/>
        <v>45737</v>
      </c>
      <c r="O616" s="8">
        <f ca="1">MONTH(financials[[#This Row],[Date]])</f>
        <v>3</v>
      </c>
      <c r="P616" s="6" t="str">
        <f ca="1">TEXT(financials[[#This Row],[Date]],"MMM")</f>
        <v>Mar</v>
      </c>
      <c r="Q616">
        <f ca="1">YEAR(financials[[#This Row],[Date]])</f>
        <v>2025</v>
      </c>
      <c r="S616" s="10"/>
    </row>
    <row r="617" spans="1:19" x14ac:dyDescent="0.3">
      <c r="A617" t="s">
        <v>16</v>
      </c>
      <c r="B617" t="s">
        <v>20</v>
      </c>
      <c r="C617" s="6" t="s">
        <v>18</v>
      </c>
      <c r="D617" s="6" t="str">
        <f>CONCATENATE(financials[[#This Row],[Segment]],",",financials[[#This Row],[Country]],",",financials[[#This Row],[Product]])</f>
        <v>Government,Germany,Carretera</v>
      </c>
      <c r="E617" s="6" t="s">
        <v>34</v>
      </c>
      <c r="F617">
        <f t="shared" ca="1" si="18"/>
        <v>113</v>
      </c>
      <c r="G617" s="1">
        <f ca="1">VLOOKUP(financials[[#This Row],[ID]],Prices!D:F,2,FALSE)</f>
        <v>13</v>
      </c>
      <c r="H617" s="1">
        <f ca="1">VLOOKUP(financials[[#This Row],[ID]],Prices!D:F,3,FALSE)</f>
        <v>22</v>
      </c>
      <c r="I617" s="1">
        <f ca="1">financials[[#This Row],[Units Sold]]*financials[[#This Row],[Sale Price]]</f>
        <v>2486</v>
      </c>
      <c r="J6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124.30000000000001</v>
      </c>
      <c r="K617" s="1">
        <f ca="1">financials[[#This Row],[Gross Sales]]-financials[[#This Row],[Discounts]]</f>
        <v>2361.6999999999998</v>
      </c>
      <c r="L617" s="1">
        <f ca="1">financials[[#This Row],[Units Sold]]*financials[[#This Row],[Manufacturing Price]]</f>
        <v>1469</v>
      </c>
      <c r="M617" s="1">
        <f ca="1">financials[[#This Row],[Sales]]-financials[[#This Row],[COGS]]</f>
        <v>892.69999999999982</v>
      </c>
      <c r="N617" s="7">
        <f t="shared" ca="1" si="19"/>
        <v>45625</v>
      </c>
      <c r="O617" s="8">
        <f ca="1">MONTH(financials[[#This Row],[Date]])</f>
        <v>11</v>
      </c>
      <c r="P617" s="6" t="str">
        <f ca="1">TEXT(financials[[#This Row],[Date]],"MMM")</f>
        <v>Nov</v>
      </c>
      <c r="Q617">
        <f ca="1">YEAR(financials[[#This Row],[Date]])</f>
        <v>2024</v>
      </c>
      <c r="S617" s="10"/>
    </row>
    <row r="618" spans="1:19" x14ac:dyDescent="0.3">
      <c r="A618" t="s">
        <v>16</v>
      </c>
      <c r="B618" t="s">
        <v>22</v>
      </c>
      <c r="C618" s="6" t="s">
        <v>24</v>
      </c>
      <c r="D618" s="6" t="str">
        <f>CONCATENATE(financials[[#This Row],[Segment]],",",financials[[#This Row],[Country]],",",financials[[#This Row],[Product]])</f>
        <v>Government,France,Montana</v>
      </c>
      <c r="E618" s="6" t="s">
        <v>34</v>
      </c>
      <c r="F618">
        <f t="shared" ca="1" si="18"/>
        <v>807</v>
      </c>
      <c r="G618" s="1">
        <f ca="1">VLOOKUP(financials[[#This Row],[ID]],Prices!D:F,2,FALSE)</f>
        <v>19</v>
      </c>
      <c r="H618" s="1">
        <f ca="1">VLOOKUP(financials[[#This Row],[ID]],Prices!D:F,3,FALSE)</f>
        <v>22</v>
      </c>
      <c r="I618" s="1">
        <f ca="1">financials[[#This Row],[Units Sold]]*financials[[#This Row],[Sale Price]]</f>
        <v>17754</v>
      </c>
      <c r="J6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887.7</v>
      </c>
      <c r="K618" s="1">
        <f ca="1">financials[[#This Row],[Gross Sales]]-financials[[#This Row],[Discounts]]</f>
        <v>16866.3</v>
      </c>
      <c r="L618" s="1">
        <f ca="1">financials[[#This Row],[Units Sold]]*financials[[#This Row],[Manufacturing Price]]</f>
        <v>15333</v>
      </c>
      <c r="M618" s="1">
        <f ca="1">financials[[#This Row],[Sales]]-financials[[#This Row],[COGS]]</f>
        <v>1533.2999999999993</v>
      </c>
      <c r="N618" s="7">
        <f t="shared" ca="1" si="19"/>
        <v>45695</v>
      </c>
      <c r="O618" s="8">
        <f ca="1">MONTH(financials[[#This Row],[Date]])</f>
        <v>2</v>
      </c>
      <c r="P618" s="6" t="str">
        <f ca="1">TEXT(financials[[#This Row],[Date]],"MMM")</f>
        <v>Feb</v>
      </c>
      <c r="Q618">
        <f ca="1">YEAR(financials[[#This Row],[Date]])</f>
        <v>2025</v>
      </c>
      <c r="S618" s="10"/>
    </row>
    <row r="619" spans="1:19" x14ac:dyDescent="0.3">
      <c r="A619" t="s">
        <v>16</v>
      </c>
      <c r="B619" t="s">
        <v>36</v>
      </c>
      <c r="C619" s="6" t="s">
        <v>24</v>
      </c>
      <c r="D619" s="6" t="str">
        <f>CONCATENATE(financials[[#This Row],[Segment]],",",financials[[#This Row],[Country]],",",financials[[#This Row],[Product]])</f>
        <v>Government,USA,Montana</v>
      </c>
      <c r="E619" s="6" t="s">
        <v>34</v>
      </c>
      <c r="F619">
        <f t="shared" ca="1" si="18"/>
        <v>376</v>
      </c>
      <c r="G619" s="1">
        <f ca="1">VLOOKUP(financials[[#This Row],[ID]],Prices!D:F,2,FALSE)</f>
        <v>10</v>
      </c>
      <c r="H619" s="1">
        <f ca="1">VLOOKUP(financials[[#This Row],[ID]],Prices!D:F,3,FALSE)</f>
        <v>34</v>
      </c>
      <c r="I619" s="1">
        <f ca="1">financials[[#This Row],[Units Sold]]*financials[[#This Row],[Sale Price]]</f>
        <v>12784</v>
      </c>
      <c r="J6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639.20000000000005</v>
      </c>
      <c r="K619" s="1">
        <f ca="1">financials[[#This Row],[Gross Sales]]-financials[[#This Row],[Discounts]]</f>
        <v>12144.8</v>
      </c>
      <c r="L619" s="1">
        <f ca="1">financials[[#This Row],[Units Sold]]*financials[[#This Row],[Manufacturing Price]]</f>
        <v>3760</v>
      </c>
      <c r="M619" s="1">
        <f ca="1">financials[[#This Row],[Sales]]-financials[[#This Row],[COGS]]</f>
        <v>8384.7999999999993</v>
      </c>
      <c r="N619" s="7">
        <f t="shared" ca="1" si="19"/>
        <v>45518</v>
      </c>
      <c r="O619" s="8">
        <f ca="1">MONTH(financials[[#This Row],[Date]])</f>
        <v>8</v>
      </c>
      <c r="P619" s="6" t="str">
        <f ca="1">TEXT(financials[[#This Row],[Date]],"MMM")</f>
        <v>Aug</v>
      </c>
      <c r="Q619">
        <f ca="1">YEAR(financials[[#This Row],[Date]])</f>
        <v>2024</v>
      </c>
      <c r="S619" s="10"/>
    </row>
    <row r="620" spans="1:19" x14ac:dyDescent="0.3">
      <c r="A620" t="s">
        <v>21</v>
      </c>
      <c r="B620" t="s">
        <v>20</v>
      </c>
      <c r="C620" s="6" t="s">
        <v>28</v>
      </c>
      <c r="D620" s="6" t="str">
        <f>CONCATENATE(financials[[#This Row],[Segment]],",",financials[[#This Row],[Country]],",",financials[[#This Row],[Product]])</f>
        <v>Midmarket,Germany,Paseo</v>
      </c>
      <c r="E620" s="6" t="s">
        <v>34</v>
      </c>
      <c r="F620">
        <f t="shared" ca="1" si="18"/>
        <v>851</v>
      </c>
      <c r="G620" s="1">
        <f ca="1">VLOOKUP(financials[[#This Row],[ID]],Prices!D:F,2,FALSE)</f>
        <v>19</v>
      </c>
      <c r="H620" s="1">
        <f ca="1">VLOOKUP(financials[[#This Row],[ID]],Prices!D:F,3,FALSE)</f>
        <v>25</v>
      </c>
      <c r="I620" s="1">
        <f ca="1">financials[[#This Row],[Units Sold]]*financials[[#This Row],[Sale Price]]</f>
        <v>21275</v>
      </c>
      <c r="J6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1063.75</v>
      </c>
      <c r="K620" s="1">
        <f ca="1">financials[[#This Row],[Gross Sales]]-financials[[#This Row],[Discounts]]</f>
        <v>20211.25</v>
      </c>
      <c r="L620" s="1">
        <f ca="1">financials[[#This Row],[Units Sold]]*financials[[#This Row],[Manufacturing Price]]</f>
        <v>16169</v>
      </c>
      <c r="M620" s="1">
        <f ca="1">financials[[#This Row],[Sales]]-financials[[#This Row],[COGS]]</f>
        <v>4042.25</v>
      </c>
      <c r="N620" s="7">
        <f t="shared" ca="1" si="19"/>
        <v>45592</v>
      </c>
      <c r="O620" s="8">
        <f ca="1">MONTH(financials[[#This Row],[Date]])</f>
        <v>10</v>
      </c>
      <c r="P620" s="6" t="str">
        <f ca="1">TEXT(financials[[#This Row],[Date]],"MMM")</f>
        <v>Oct</v>
      </c>
      <c r="Q620">
        <f ca="1">YEAR(financials[[#This Row],[Date]])</f>
        <v>2024</v>
      </c>
      <c r="S620" s="10"/>
    </row>
    <row r="621" spans="1:19" x14ac:dyDescent="0.3">
      <c r="A621" t="s">
        <v>16</v>
      </c>
      <c r="B621" t="s">
        <v>17</v>
      </c>
      <c r="C621" s="6" t="s">
        <v>28</v>
      </c>
      <c r="D621" s="6" t="str">
        <f>CONCATENATE(financials[[#This Row],[Segment]],",",financials[[#This Row],[Country]],",",financials[[#This Row],[Product]])</f>
        <v>Government,Canada,Paseo</v>
      </c>
      <c r="E621" s="6" t="s">
        <v>34</v>
      </c>
      <c r="F621">
        <f t="shared" ca="1" si="18"/>
        <v>142</v>
      </c>
      <c r="G621" s="1">
        <f ca="1">VLOOKUP(financials[[#This Row],[ID]],Prices!D:F,2,FALSE)</f>
        <v>10</v>
      </c>
      <c r="H621" s="1">
        <f ca="1">VLOOKUP(financials[[#This Row],[ID]],Prices!D:F,3,FALSE)</f>
        <v>23</v>
      </c>
      <c r="I621" s="1">
        <f ca="1">financials[[#This Row],[Units Sold]]*financials[[#This Row],[Sale Price]]</f>
        <v>3266</v>
      </c>
      <c r="J6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163.30000000000001</v>
      </c>
      <c r="K621" s="1">
        <f ca="1">financials[[#This Row],[Gross Sales]]-financials[[#This Row],[Discounts]]</f>
        <v>3102.7</v>
      </c>
      <c r="L621" s="1">
        <f ca="1">financials[[#This Row],[Units Sold]]*financials[[#This Row],[Manufacturing Price]]</f>
        <v>1420</v>
      </c>
      <c r="M621" s="1">
        <f ca="1">financials[[#This Row],[Sales]]-financials[[#This Row],[COGS]]</f>
        <v>1682.6999999999998</v>
      </c>
      <c r="N621" s="7">
        <f t="shared" ca="1" si="19"/>
        <v>45391</v>
      </c>
      <c r="O621" s="8">
        <f ca="1">MONTH(financials[[#This Row],[Date]])</f>
        <v>4</v>
      </c>
      <c r="P621" s="6" t="str">
        <f ca="1">TEXT(financials[[#This Row],[Date]],"MMM")</f>
        <v>Apr</v>
      </c>
      <c r="Q621">
        <f ca="1">YEAR(financials[[#This Row],[Date]])</f>
        <v>2024</v>
      </c>
      <c r="S621" s="10"/>
    </row>
    <row r="622" spans="1:19" x14ac:dyDescent="0.3">
      <c r="A622" t="s">
        <v>21</v>
      </c>
      <c r="B622" t="s">
        <v>36</v>
      </c>
      <c r="C622" s="6" t="s">
        <v>28</v>
      </c>
      <c r="D622" s="6" t="str">
        <f>CONCATENATE(financials[[#This Row],[Segment]],",",financials[[#This Row],[Country]],",",financials[[#This Row],[Product]])</f>
        <v>Midmarket,USA,Paseo</v>
      </c>
      <c r="E622" s="6" t="s">
        <v>34</v>
      </c>
      <c r="F622">
        <f t="shared" ca="1" si="18"/>
        <v>747</v>
      </c>
      <c r="G622" s="1">
        <f ca="1">VLOOKUP(financials[[#This Row],[ID]],Prices!D:F,2,FALSE)</f>
        <v>13</v>
      </c>
      <c r="H622" s="1">
        <f ca="1">VLOOKUP(financials[[#This Row],[ID]],Prices!D:F,3,FALSE)</f>
        <v>25</v>
      </c>
      <c r="I622" s="1">
        <f ca="1">financials[[#This Row],[Units Sold]]*financials[[#This Row],[Sale Price]]</f>
        <v>18675</v>
      </c>
      <c r="J6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933.75</v>
      </c>
      <c r="K622" s="1">
        <f ca="1">financials[[#This Row],[Gross Sales]]-financials[[#This Row],[Discounts]]</f>
        <v>17741.25</v>
      </c>
      <c r="L622" s="1">
        <f ca="1">financials[[#This Row],[Units Sold]]*financials[[#This Row],[Manufacturing Price]]</f>
        <v>9711</v>
      </c>
      <c r="M622" s="1">
        <f ca="1">financials[[#This Row],[Sales]]-financials[[#This Row],[COGS]]</f>
        <v>8030.25</v>
      </c>
      <c r="N622" s="7">
        <f t="shared" ca="1" si="19"/>
        <v>45051</v>
      </c>
      <c r="O622" s="8">
        <f ca="1">MONTH(financials[[#This Row],[Date]])</f>
        <v>5</v>
      </c>
      <c r="P622" s="6" t="str">
        <f ca="1">TEXT(financials[[#This Row],[Date]],"MMM")</f>
        <v>May</v>
      </c>
      <c r="Q622">
        <f ca="1">YEAR(financials[[#This Row],[Date]])</f>
        <v>2023</v>
      </c>
      <c r="S622" s="10"/>
    </row>
    <row r="623" spans="1:19" x14ac:dyDescent="0.3">
      <c r="A623" t="s">
        <v>25</v>
      </c>
      <c r="B623" t="s">
        <v>22</v>
      </c>
      <c r="C623" s="6" t="s">
        <v>28</v>
      </c>
      <c r="D623" s="6" t="str">
        <f>CONCATENATE(financials[[#This Row],[Segment]],",",financials[[#This Row],[Country]],",",financials[[#This Row],[Product]])</f>
        <v>Channel Partners,France,Paseo</v>
      </c>
      <c r="E623" s="6" t="s">
        <v>34</v>
      </c>
      <c r="F623">
        <f t="shared" ca="1" si="18"/>
        <v>813</v>
      </c>
      <c r="G623" s="1">
        <f ca="1">VLOOKUP(financials[[#This Row],[ID]],Prices!D:F,2,FALSE)</f>
        <v>14</v>
      </c>
      <c r="H623" s="1">
        <f ca="1">VLOOKUP(financials[[#This Row],[ID]],Prices!D:F,3,FALSE)</f>
        <v>30</v>
      </c>
      <c r="I623" s="1">
        <f ca="1">financials[[#This Row],[Units Sold]]*financials[[#This Row],[Sale Price]]</f>
        <v>24390</v>
      </c>
      <c r="J6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1219.5</v>
      </c>
      <c r="K623" s="1">
        <f ca="1">financials[[#This Row],[Gross Sales]]-financials[[#This Row],[Discounts]]</f>
        <v>23170.5</v>
      </c>
      <c r="L623" s="1">
        <f ca="1">financials[[#This Row],[Units Sold]]*financials[[#This Row],[Manufacturing Price]]</f>
        <v>11382</v>
      </c>
      <c r="M623" s="1">
        <f ca="1">financials[[#This Row],[Sales]]-financials[[#This Row],[COGS]]</f>
        <v>11788.5</v>
      </c>
      <c r="N623" s="7">
        <f t="shared" ca="1" si="19"/>
        <v>45050</v>
      </c>
      <c r="O623" s="8">
        <f ca="1">MONTH(financials[[#This Row],[Date]])</f>
        <v>5</v>
      </c>
      <c r="P623" s="6" t="str">
        <f ca="1">TEXT(financials[[#This Row],[Date]],"MMM")</f>
        <v>May</v>
      </c>
      <c r="Q623">
        <f ca="1">YEAR(financials[[#This Row],[Date]])</f>
        <v>2023</v>
      </c>
      <c r="S623" s="10"/>
    </row>
    <row r="624" spans="1:19" x14ac:dyDescent="0.3">
      <c r="A624" t="s">
        <v>16</v>
      </c>
      <c r="B624" t="s">
        <v>20</v>
      </c>
      <c r="C624" s="6" t="s">
        <v>30</v>
      </c>
      <c r="D624" s="6" t="str">
        <f>CONCATENATE(financials[[#This Row],[Segment]],",",financials[[#This Row],[Country]],",",financials[[#This Row],[Product]])</f>
        <v>Government,Germany,VTT</v>
      </c>
      <c r="E624" s="6" t="s">
        <v>34</v>
      </c>
      <c r="F624">
        <f t="shared" ca="1" si="18"/>
        <v>39</v>
      </c>
      <c r="G624" s="1">
        <f ca="1">VLOOKUP(financials[[#This Row],[ID]],Prices!D:F,2,FALSE)</f>
        <v>16</v>
      </c>
      <c r="H624" s="1">
        <f ca="1">VLOOKUP(financials[[#This Row],[ID]],Prices!D:F,3,FALSE)</f>
        <v>20</v>
      </c>
      <c r="I624" s="1">
        <f ca="1">financials[[#This Row],[Units Sold]]*financials[[#This Row],[Sale Price]]</f>
        <v>780</v>
      </c>
      <c r="J6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7.8</v>
      </c>
      <c r="K624" s="1">
        <f ca="1">financials[[#This Row],[Gross Sales]]-financials[[#This Row],[Discounts]]</f>
        <v>772.2</v>
      </c>
      <c r="L624" s="1">
        <f ca="1">financials[[#This Row],[Units Sold]]*financials[[#This Row],[Manufacturing Price]]</f>
        <v>624</v>
      </c>
      <c r="M624" s="1">
        <f ca="1">financials[[#This Row],[Sales]]-financials[[#This Row],[COGS]]</f>
        <v>148.20000000000005</v>
      </c>
      <c r="N624" s="7">
        <f t="shared" ca="1" si="19"/>
        <v>45149</v>
      </c>
      <c r="O624" s="8">
        <f ca="1">MONTH(financials[[#This Row],[Date]])</f>
        <v>8</v>
      </c>
      <c r="P624" s="6" t="str">
        <f ca="1">TEXT(financials[[#This Row],[Date]],"MMM")</f>
        <v>Aug</v>
      </c>
      <c r="Q624">
        <f ca="1">YEAR(financials[[#This Row],[Date]])</f>
        <v>2023</v>
      </c>
      <c r="S624" s="10"/>
    </row>
    <row r="625" spans="1:19" x14ac:dyDescent="0.3">
      <c r="A625" t="s">
        <v>25</v>
      </c>
      <c r="B625" t="s">
        <v>22</v>
      </c>
      <c r="C625" s="6" t="s">
        <v>31</v>
      </c>
      <c r="D625" s="6" t="str">
        <f>CONCATENATE(financials[[#This Row],[Segment]],",",financials[[#This Row],[Country]],",",financials[[#This Row],[Product]])</f>
        <v>Channel Partners,France,Amarilla</v>
      </c>
      <c r="E625" s="6" t="s">
        <v>34</v>
      </c>
      <c r="F625">
        <f t="shared" ca="1" si="18"/>
        <v>665</v>
      </c>
      <c r="G625" s="1">
        <f ca="1">VLOOKUP(financials[[#This Row],[ID]],Prices!D:F,2,FALSE)</f>
        <v>15</v>
      </c>
      <c r="H625" s="1">
        <f ca="1">VLOOKUP(financials[[#This Row],[ID]],Prices!D:F,3,FALSE)</f>
        <v>24</v>
      </c>
      <c r="I625" s="1">
        <f ca="1">financials[[#This Row],[Units Sold]]*financials[[#This Row],[Sale Price]]</f>
        <v>15960</v>
      </c>
      <c r="J6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798</v>
      </c>
      <c r="K625" s="1">
        <f ca="1">financials[[#This Row],[Gross Sales]]-financials[[#This Row],[Discounts]]</f>
        <v>15162</v>
      </c>
      <c r="L625" s="1">
        <f ca="1">financials[[#This Row],[Units Sold]]*financials[[#This Row],[Manufacturing Price]]</f>
        <v>9975</v>
      </c>
      <c r="M625" s="1">
        <f ca="1">financials[[#This Row],[Sales]]-financials[[#This Row],[COGS]]</f>
        <v>5187</v>
      </c>
      <c r="N625" s="7">
        <f t="shared" ca="1" si="19"/>
        <v>45170</v>
      </c>
      <c r="O625" s="8">
        <f ca="1">MONTH(financials[[#This Row],[Date]])</f>
        <v>9</v>
      </c>
      <c r="P625" s="6" t="str">
        <f ca="1">TEXT(financials[[#This Row],[Date]],"MMM")</f>
        <v>Sep</v>
      </c>
      <c r="Q625">
        <f ca="1">YEAR(financials[[#This Row],[Date]])</f>
        <v>2023</v>
      </c>
      <c r="S625" s="10"/>
    </row>
    <row r="626" spans="1:19" x14ac:dyDescent="0.3">
      <c r="A626" t="s">
        <v>25</v>
      </c>
      <c r="B626" t="s">
        <v>36</v>
      </c>
      <c r="C626" s="6" t="s">
        <v>31</v>
      </c>
      <c r="D626" s="6" t="str">
        <f>CONCATENATE(financials[[#This Row],[Segment]],",",financials[[#This Row],[Country]],",",financials[[#This Row],[Product]])</f>
        <v>Channel Partners,USA,Amarilla</v>
      </c>
      <c r="E626" s="6" t="s">
        <v>34</v>
      </c>
      <c r="F626">
        <f t="shared" ca="1" si="18"/>
        <v>850</v>
      </c>
      <c r="G626" s="1">
        <f ca="1">VLOOKUP(financials[[#This Row],[ID]],Prices!D:F,2,FALSE)</f>
        <v>11</v>
      </c>
      <c r="H626" s="1">
        <f ca="1">VLOOKUP(financials[[#This Row],[ID]],Prices!D:F,3,FALSE)</f>
        <v>17</v>
      </c>
      <c r="I626" s="1">
        <f ca="1">financials[[#This Row],[Units Sold]]*financials[[#This Row],[Sale Price]]</f>
        <v>14450</v>
      </c>
      <c r="J6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722.5</v>
      </c>
      <c r="K626" s="1">
        <f ca="1">financials[[#This Row],[Gross Sales]]-financials[[#This Row],[Discounts]]</f>
        <v>13727.5</v>
      </c>
      <c r="L626" s="1">
        <f ca="1">financials[[#This Row],[Units Sold]]*financials[[#This Row],[Manufacturing Price]]</f>
        <v>9350</v>
      </c>
      <c r="M626" s="1">
        <f ca="1">financials[[#This Row],[Sales]]-financials[[#This Row],[COGS]]</f>
        <v>4377.5</v>
      </c>
      <c r="N626" s="7">
        <f t="shared" ca="1" si="19"/>
        <v>45393</v>
      </c>
      <c r="O626" s="8">
        <f ca="1">MONTH(financials[[#This Row],[Date]])</f>
        <v>4</v>
      </c>
      <c r="P626" s="6" t="str">
        <f ca="1">TEXT(financials[[#This Row],[Date]],"MMM")</f>
        <v>Apr</v>
      </c>
      <c r="Q626">
        <f ca="1">YEAR(financials[[#This Row],[Date]])</f>
        <v>2024</v>
      </c>
      <c r="S626" s="10"/>
    </row>
    <row r="627" spans="1:19" x14ac:dyDescent="0.3">
      <c r="A627" t="s">
        <v>27</v>
      </c>
      <c r="B627" t="s">
        <v>23</v>
      </c>
      <c r="C627" s="6" t="s">
        <v>18</v>
      </c>
      <c r="D627" s="6" t="str">
        <f>CONCATENATE(financials[[#This Row],[Segment]],",",financials[[#This Row],[Country]],",",financials[[#This Row],[Product]])</f>
        <v>Small Business,Mexico,Carretera</v>
      </c>
      <c r="E627" s="6" t="s">
        <v>34</v>
      </c>
      <c r="F627">
        <f t="shared" ca="1" si="18"/>
        <v>129</v>
      </c>
      <c r="G627" s="1">
        <f ca="1">VLOOKUP(financials[[#This Row],[ID]],Prices!D:F,2,FALSE)</f>
        <v>20</v>
      </c>
      <c r="H627" s="1">
        <f ca="1">VLOOKUP(financials[[#This Row],[ID]],Prices!D:F,3,FALSE)</f>
        <v>25</v>
      </c>
      <c r="I627" s="1">
        <f ca="1">financials[[#This Row],[Units Sold]]*financials[[#This Row],[Sale Price]]</f>
        <v>3225</v>
      </c>
      <c r="J6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161.25</v>
      </c>
      <c r="K627" s="1">
        <f ca="1">financials[[#This Row],[Gross Sales]]-financials[[#This Row],[Discounts]]</f>
        <v>3063.75</v>
      </c>
      <c r="L627" s="1">
        <f ca="1">financials[[#This Row],[Units Sold]]*financials[[#This Row],[Manufacturing Price]]</f>
        <v>2580</v>
      </c>
      <c r="M627" s="1">
        <f ca="1">financials[[#This Row],[Sales]]-financials[[#This Row],[COGS]]</f>
        <v>483.75</v>
      </c>
      <c r="N627" s="7">
        <f t="shared" ca="1" si="19"/>
        <v>45333</v>
      </c>
      <c r="O627" s="8">
        <f ca="1">MONTH(financials[[#This Row],[Date]])</f>
        <v>2</v>
      </c>
      <c r="P627" s="6" t="str">
        <f ca="1">TEXT(financials[[#This Row],[Date]],"MMM")</f>
        <v>Feb</v>
      </c>
      <c r="Q627">
        <f ca="1">YEAR(financials[[#This Row],[Date]])</f>
        <v>2024</v>
      </c>
      <c r="S627" s="10"/>
    </row>
    <row r="628" spans="1:19" x14ac:dyDescent="0.3">
      <c r="A628" t="s">
        <v>26</v>
      </c>
      <c r="B628" t="s">
        <v>22</v>
      </c>
      <c r="C628" s="6" t="s">
        <v>18</v>
      </c>
      <c r="D628" s="6" t="str">
        <f>CONCATENATE(financials[[#This Row],[Segment]],",",financials[[#This Row],[Country]],",",financials[[#This Row],[Product]])</f>
        <v>Enterprise,France,Carretera</v>
      </c>
      <c r="E628" s="6" t="s">
        <v>34</v>
      </c>
      <c r="F628">
        <f t="shared" ca="1" si="18"/>
        <v>495</v>
      </c>
      <c r="G628" s="1">
        <f ca="1">VLOOKUP(financials[[#This Row],[ID]],Prices!D:F,2,FALSE)</f>
        <v>12</v>
      </c>
      <c r="H628" s="1">
        <f ca="1">VLOOKUP(financials[[#This Row],[ID]],Prices!D:F,3,FALSE)</f>
        <v>35</v>
      </c>
      <c r="I628" s="1">
        <f ca="1">financials[[#This Row],[Units Sold]]*financials[[#This Row],[Sale Price]]</f>
        <v>17325</v>
      </c>
      <c r="J6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866.25</v>
      </c>
      <c r="K628" s="1">
        <f ca="1">financials[[#This Row],[Gross Sales]]-financials[[#This Row],[Discounts]]</f>
        <v>16458.75</v>
      </c>
      <c r="L628" s="1">
        <f ca="1">financials[[#This Row],[Units Sold]]*financials[[#This Row],[Manufacturing Price]]</f>
        <v>5940</v>
      </c>
      <c r="M628" s="1">
        <f ca="1">financials[[#This Row],[Sales]]-financials[[#This Row],[COGS]]</f>
        <v>10518.75</v>
      </c>
      <c r="N628" s="7">
        <f t="shared" ca="1" si="19"/>
        <v>45130</v>
      </c>
      <c r="O628" s="8">
        <f ca="1">MONTH(financials[[#This Row],[Date]])</f>
        <v>7</v>
      </c>
      <c r="P628" s="6" t="str">
        <f ca="1">TEXT(financials[[#This Row],[Date]],"MMM")</f>
        <v>Jul</v>
      </c>
      <c r="Q628">
        <f ca="1">YEAR(financials[[#This Row],[Date]])</f>
        <v>2023</v>
      </c>
      <c r="S628" s="10"/>
    </row>
    <row r="629" spans="1:19" x14ac:dyDescent="0.3">
      <c r="A629" t="s">
        <v>27</v>
      </c>
      <c r="B629" t="s">
        <v>17</v>
      </c>
      <c r="C629" s="6" t="s">
        <v>18</v>
      </c>
      <c r="D629" s="6" t="str">
        <f>CONCATENATE(financials[[#This Row],[Segment]],",",financials[[#This Row],[Country]],",",financials[[#This Row],[Product]])</f>
        <v>Small Business,Canada,Carretera</v>
      </c>
      <c r="E629" s="6" t="s">
        <v>34</v>
      </c>
      <c r="F629">
        <f t="shared" ca="1" si="18"/>
        <v>879</v>
      </c>
      <c r="G629" s="1">
        <f ca="1">VLOOKUP(financials[[#This Row],[ID]],Prices!D:F,2,FALSE)</f>
        <v>16</v>
      </c>
      <c r="H629" s="1">
        <f ca="1">VLOOKUP(financials[[#This Row],[ID]],Prices!D:F,3,FALSE)</f>
        <v>20</v>
      </c>
      <c r="I629" s="1">
        <f ca="1">financials[[#This Row],[Units Sold]]*financials[[#This Row],[Sale Price]]</f>
        <v>17580</v>
      </c>
      <c r="J6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879</v>
      </c>
      <c r="K629" s="1">
        <f ca="1">financials[[#This Row],[Gross Sales]]-financials[[#This Row],[Discounts]]</f>
        <v>16701</v>
      </c>
      <c r="L629" s="1">
        <f ca="1">financials[[#This Row],[Units Sold]]*financials[[#This Row],[Manufacturing Price]]</f>
        <v>14064</v>
      </c>
      <c r="M629" s="1">
        <f ca="1">financials[[#This Row],[Sales]]-financials[[#This Row],[COGS]]</f>
        <v>2637</v>
      </c>
      <c r="N629" s="7">
        <f t="shared" ca="1" si="19"/>
        <v>45446</v>
      </c>
      <c r="O629" s="8">
        <f ca="1">MONTH(financials[[#This Row],[Date]])</f>
        <v>6</v>
      </c>
      <c r="P629" s="6" t="str">
        <f ca="1">TEXT(financials[[#This Row],[Date]],"MMM")</f>
        <v>Jun</v>
      </c>
      <c r="Q629">
        <f ca="1">YEAR(financials[[#This Row],[Date]])</f>
        <v>2024</v>
      </c>
      <c r="S629" s="10"/>
    </row>
    <row r="630" spans="1:19" x14ac:dyDescent="0.3">
      <c r="A630" t="s">
        <v>27</v>
      </c>
      <c r="B630" t="s">
        <v>36</v>
      </c>
      <c r="C630" s="6" t="s">
        <v>18</v>
      </c>
      <c r="D630" s="6" t="str">
        <f>CONCATENATE(financials[[#This Row],[Segment]],",",financials[[#This Row],[Country]],",",financials[[#This Row],[Product]])</f>
        <v>Small Business,USA,Carretera</v>
      </c>
      <c r="E630" s="6" t="s">
        <v>34</v>
      </c>
      <c r="F630">
        <f t="shared" ca="1" si="18"/>
        <v>680</v>
      </c>
      <c r="G630" s="1">
        <f ca="1">VLOOKUP(financials[[#This Row],[ID]],Prices!D:F,2,FALSE)</f>
        <v>14</v>
      </c>
      <c r="H630" s="1">
        <f ca="1">VLOOKUP(financials[[#This Row],[ID]],Prices!D:F,3,FALSE)</f>
        <v>25</v>
      </c>
      <c r="I630" s="1">
        <f ca="1">financials[[#This Row],[Units Sold]]*financials[[#This Row],[Sale Price]]</f>
        <v>17000</v>
      </c>
      <c r="J6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850</v>
      </c>
      <c r="K630" s="1">
        <f ca="1">financials[[#This Row],[Gross Sales]]-financials[[#This Row],[Discounts]]</f>
        <v>16150</v>
      </c>
      <c r="L630" s="1">
        <f ca="1">financials[[#This Row],[Units Sold]]*financials[[#This Row],[Manufacturing Price]]</f>
        <v>9520</v>
      </c>
      <c r="M630" s="1">
        <f ca="1">financials[[#This Row],[Sales]]-financials[[#This Row],[COGS]]</f>
        <v>6630</v>
      </c>
      <c r="N630" s="7">
        <f t="shared" ca="1" si="19"/>
        <v>45113</v>
      </c>
      <c r="O630" s="8">
        <f ca="1">MONTH(financials[[#This Row],[Date]])</f>
        <v>7</v>
      </c>
      <c r="P630" s="6" t="str">
        <f ca="1">TEXT(financials[[#This Row],[Date]],"MMM")</f>
        <v>Jul</v>
      </c>
      <c r="Q630">
        <f ca="1">YEAR(financials[[#This Row],[Date]])</f>
        <v>2023</v>
      </c>
      <c r="S630" s="10"/>
    </row>
    <row r="631" spans="1:19" x14ac:dyDescent="0.3">
      <c r="A631" t="s">
        <v>21</v>
      </c>
      <c r="B631" t="s">
        <v>20</v>
      </c>
      <c r="C631" s="6" t="s">
        <v>18</v>
      </c>
      <c r="D631" s="6" t="str">
        <f>CONCATENATE(financials[[#This Row],[Segment]],",",financials[[#This Row],[Country]],",",financials[[#This Row],[Product]])</f>
        <v>Midmarket,Germany,Carretera</v>
      </c>
      <c r="E631" s="6" t="s">
        <v>34</v>
      </c>
      <c r="F631">
        <f t="shared" ca="1" si="18"/>
        <v>790</v>
      </c>
      <c r="G631" s="1">
        <f ca="1">VLOOKUP(financials[[#This Row],[ID]],Prices!D:F,2,FALSE)</f>
        <v>17</v>
      </c>
      <c r="H631" s="1">
        <f ca="1">VLOOKUP(financials[[#This Row],[ID]],Prices!D:F,3,FALSE)</f>
        <v>28</v>
      </c>
      <c r="I631" s="1">
        <f ca="1">financials[[#This Row],[Units Sold]]*financials[[#This Row],[Sale Price]]</f>
        <v>22120</v>
      </c>
      <c r="J6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1106</v>
      </c>
      <c r="K631" s="1">
        <f ca="1">financials[[#This Row],[Gross Sales]]-financials[[#This Row],[Discounts]]</f>
        <v>21014</v>
      </c>
      <c r="L631" s="1">
        <f ca="1">financials[[#This Row],[Units Sold]]*financials[[#This Row],[Manufacturing Price]]</f>
        <v>13430</v>
      </c>
      <c r="M631" s="1">
        <f ca="1">financials[[#This Row],[Sales]]-financials[[#This Row],[COGS]]</f>
        <v>7584</v>
      </c>
      <c r="N631" s="7">
        <f t="shared" ca="1" si="19"/>
        <v>45158</v>
      </c>
      <c r="O631" s="8">
        <f ca="1">MONTH(financials[[#This Row],[Date]])</f>
        <v>8</v>
      </c>
      <c r="P631" s="6" t="str">
        <f ca="1">TEXT(financials[[#This Row],[Date]],"MMM")</f>
        <v>Aug</v>
      </c>
      <c r="Q631">
        <f ca="1">YEAR(financials[[#This Row],[Date]])</f>
        <v>2023</v>
      </c>
      <c r="S631" s="10"/>
    </row>
    <row r="632" spans="1:19" x14ac:dyDescent="0.3">
      <c r="A632" t="s">
        <v>21</v>
      </c>
      <c r="B632" t="s">
        <v>17</v>
      </c>
      <c r="C632" s="6" t="s">
        <v>18</v>
      </c>
      <c r="D632" s="6" t="str">
        <f>CONCATENATE(financials[[#This Row],[Segment]],",",financials[[#This Row],[Country]],",",financials[[#This Row],[Product]])</f>
        <v>Midmarket,Canada,Carretera</v>
      </c>
      <c r="E632" s="6" t="s">
        <v>34</v>
      </c>
      <c r="F632">
        <f t="shared" ca="1" si="18"/>
        <v>109</v>
      </c>
      <c r="G632" s="1">
        <f ca="1">VLOOKUP(financials[[#This Row],[ID]],Prices!D:F,2,FALSE)</f>
        <v>10</v>
      </c>
      <c r="H632" s="1">
        <f ca="1">VLOOKUP(financials[[#This Row],[ID]],Prices!D:F,3,FALSE)</f>
        <v>29</v>
      </c>
      <c r="I632" s="1">
        <f ca="1">financials[[#This Row],[Units Sold]]*financials[[#This Row],[Sale Price]]</f>
        <v>3161</v>
      </c>
      <c r="J6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158.05000000000001</v>
      </c>
      <c r="K632" s="1">
        <f ca="1">financials[[#This Row],[Gross Sales]]-financials[[#This Row],[Discounts]]</f>
        <v>3002.95</v>
      </c>
      <c r="L632" s="1">
        <f ca="1">financials[[#This Row],[Units Sold]]*financials[[#This Row],[Manufacturing Price]]</f>
        <v>1090</v>
      </c>
      <c r="M632" s="1">
        <f ca="1">financials[[#This Row],[Sales]]-financials[[#This Row],[COGS]]</f>
        <v>1912.9499999999998</v>
      </c>
      <c r="N632" s="7">
        <f t="shared" ca="1" si="19"/>
        <v>45556</v>
      </c>
      <c r="O632" s="8">
        <f ca="1">MONTH(financials[[#This Row],[Date]])</f>
        <v>9</v>
      </c>
      <c r="P632" s="6" t="str">
        <f ca="1">TEXT(financials[[#This Row],[Date]],"MMM")</f>
        <v>Sep</v>
      </c>
      <c r="Q632">
        <f ca="1">YEAR(financials[[#This Row],[Date]])</f>
        <v>2024</v>
      </c>
      <c r="S632" s="10"/>
    </row>
    <row r="633" spans="1:19" x14ac:dyDescent="0.3">
      <c r="A633" t="s">
        <v>26</v>
      </c>
      <c r="B633" t="s">
        <v>23</v>
      </c>
      <c r="C633" s="6" t="s">
        <v>18</v>
      </c>
      <c r="D633" s="6" t="str">
        <f>CONCATENATE(financials[[#This Row],[Segment]],",",financials[[#This Row],[Country]],",",financials[[#This Row],[Product]])</f>
        <v>Enterprise,Mexico,Carretera</v>
      </c>
      <c r="E633" s="6" t="s">
        <v>34</v>
      </c>
      <c r="F633">
        <f t="shared" ca="1" si="18"/>
        <v>58</v>
      </c>
      <c r="G633" s="1">
        <f ca="1">VLOOKUP(financials[[#This Row],[ID]],Prices!D:F,2,FALSE)</f>
        <v>17</v>
      </c>
      <c r="H633" s="1">
        <f ca="1">VLOOKUP(financials[[#This Row],[ID]],Prices!D:F,3,FALSE)</f>
        <v>23</v>
      </c>
      <c r="I633" s="1">
        <f ca="1">financials[[#This Row],[Units Sold]]*financials[[#This Row],[Sale Price]]</f>
        <v>1334</v>
      </c>
      <c r="J6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66.7</v>
      </c>
      <c r="K633" s="1">
        <f ca="1">financials[[#This Row],[Gross Sales]]-financials[[#This Row],[Discounts]]</f>
        <v>1267.3</v>
      </c>
      <c r="L633" s="1">
        <f ca="1">financials[[#This Row],[Units Sold]]*financials[[#This Row],[Manufacturing Price]]</f>
        <v>986</v>
      </c>
      <c r="M633" s="1">
        <f ca="1">financials[[#This Row],[Sales]]-financials[[#This Row],[COGS]]</f>
        <v>281.29999999999995</v>
      </c>
      <c r="N633" s="7">
        <f t="shared" ca="1" si="19"/>
        <v>45552</v>
      </c>
      <c r="O633" s="8">
        <f ca="1">MONTH(financials[[#This Row],[Date]])</f>
        <v>9</v>
      </c>
      <c r="P633" s="6" t="str">
        <f ca="1">TEXT(financials[[#This Row],[Date]],"MMM")</f>
        <v>Sep</v>
      </c>
      <c r="Q633">
        <f ca="1">YEAR(financials[[#This Row],[Date]])</f>
        <v>2024</v>
      </c>
      <c r="S633" s="10"/>
    </row>
    <row r="634" spans="1:19" x14ac:dyDescent="0.3">
      <c r="A634" t="s">
        <v>16</v>
      </c>
      <c r="B634" t="s">
        <v>17</v>
      </c>
      <c r="C634" s="6" t="s">
        <v>24</v>
      </c>
      <c r="D634" s="6" t="str">
        <f>CONCATENATE(financials[[#This Row],[Segment]],",",financials[[#This Row],[Country]],",",financials[[#This Row],[Product]])</f>
        <v>Government,Canada,Montana</v>
      </c>
      <c r="E634" s="6" t="s">
        <v>34</v>
      </c>
      <c r="F634">
        <f t="shared" ca="1" si="18"/>
        <v>260</v>
      </c>
      <c r="G634" s="1">
        <f ca="1">VLOOKUP(financials[[#This Row],[ID]],Prices!D:F,2,FALSE)</f>
        <v>12</v>
      </c>
      <c r="H634" s="1">
        <f ca="1">VLOOKUP(financials[[#This Row],[ID]],Prices!D:F,3,FALSE)</f>
        <v>30</v>
      </c>
      <c r="I634" s="1">
        <f ca="1">financials[[#This Row],[Units Sold]]*financials[[#This Row],[Sale Price]]</f>
        <v>7800</v>
      </c>
      <c r="J6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390</v>
      </c>
      <c r="K634" s="1">
        <f ca="1">financials[[#This Row],[Gross Sales]]-financials[[#This Row],[Discounts]]</f>
        <v>7410</v>
      </c>
      <c r="L634" s="1">
        <f ca="1">financials[[#This Row],[Units Sold]]*financials[[#This Row],[Manufacturing Price]]</f>
        <v>3120</v>
      </c>
      <c r="M634" s="1">
        <f ca="1">financials[[#This Row],[Sales]]-financials[[#This Row],[COGS]]</f>
        <v>4290</v>
      </c>
      <c r="N634" s="7">
        <f t="shared" ca="1" si="19"/>
        <v>45127</v>
      </c>
      <c r="O634" s="8">
        <f ca="1">MONTH(financials[[#This Row],[Date]])</f>
        <v>7</v>
      </c>
      <c r="P634" s="6" t="str">
        <f ca="1">TEXT(financials[[#This Row],[Date]],"MMM")</f>
        <v>Jul</v>
      </c>
      <c r="Q634">
        <f ca="1">YEAR(financials[[#This Row],[Date]])</f>
        <v>2023</v>
      </c>
      <c r="S634" s="10"/>
    </row>
    <row r="635" spans="1:19" x14ac:dyDescent="0.3">
      <c r="A635" t="s">
        <v>16</v>
      </c>
      <c r="B635" t="s">
        <v>20</v>
      </c>
      <c r="C635" s="6" t="s">
        <v>24</v>
      </c>
      <c r="D635" s="6" t="str">
        <f>CONCATENATE(financials[[#This Row],[Segment]],",",financials[[#This Row],[Country]],",",financials[[#This Row],[Product]])</f>
        <v>Government,Germany,Montana</v>
      </c>
      <c r="E635" s="6" t="s">
        <v>34</v>
      </c>
      <c r="F635">
        <f t="shared" ca="1" si="18"/>
        <v>186</v>
      </c>
      <c r="G635" s="1">
        <f ca="1">VLOOKUP(financials[[#This Row],[ID]],Prices!D:F,2,FALSE)</f>
        <v>20</v>
      </c>
      <c r="H635" s="1">
        <f ca="1">VLOOKUP(financials[[#This Row],[ID]],Prices!D:F,3,FALSE)</f>
        <v>27</v>
      </c>
      <c r="I635" s="1">
        <f ca="1">financials[[#This Row],[Units Sold]]*financials[[#This Row],[Sale Price]]</f>
        <v>5022</v>
      </c>
      <c r="J6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251.10000000000002</v>
      </c>
      <c r="K635" s="1">
        <f ca="1">financials[[#This Row],[Gross Sales]]-financials[[#This Row],[Discounts]]</f>
        <v>4770.8999999999996</v>
      </c>
      <c r="L635" s="1">
        <f ca="1">financials[[#This Row],[Units Sold]]*financials[[#This Row],[Manufacturing Price]]</f>
        <v>3720</v>
      </c>
      <c r="M635" s="1">
        <f ca="1">financials[[#This Row],[Sales]]-financials[[#This Row],[COGS]]</f>
        <v>1050.8999999999996</v>
      </c>
      <c r="N635" s="7">
        <f t="shared" ca="1" si="19"/>
        <v>45219</v>
      </c>
      <c r="O635" s="8">
        <f ca="1">MONTH(financials[[#This Row],[Date]])</f>
        <v>10</v>
      </c>
      <c r="P635" s="6" t="str">
        <f ca="1">TEXT(financials[[#This Row],[Date]],"MMM")</f>
        <v>Oct</v>
      </c>
      <c r="Q635">
        <f ca="1">YEAR(financials[[#This Row],[Date]])</f>
        <v>2023</v>
      </c>
      <c r="S635" s="10"/>
    </row>
    <row r="636" spans="1:19" x14ac:dyDescent="0.3">
      <c r="A636" t="s">
        <v>16</v>
      </c>
      <c r="B636" t="s">
        <v>17</v>
      </c>
      <c r="C636" s="6" t="s">
        <v>24</v>
      </c>
      <c r="D636" s="6" t="str">
        <f>CONCATENATE(financials[[#This Row],[Segment]],",",financials[[#This Row],[Country]],",",financials[[#This Row],[Product]])</f>
        <v>Government,Canada,Montana</v>
      </c>
      <c r="E636" s="6" t="s">
        <v>34</v>
      </c>
      <c r="F636">
        <f t="shared" ca="1" si="18"/>
        <v>57</v>
      </c>
      <c r="G636" s="1">
        <f ca="1">VLOOKUP(financials[[#This Row],[ID]],Prices!D:F,2,FALSE)</f>
        <v>12</v>
      </c>
      <c r="H636" s="1">
        <f ca="1">VLOOKUP(financials[[#This Row],[ID]],Prices!D:F,3,FALSE)</f>
        <v>30</v>
      </c>
      <c r="I636" s="1">
        <f ca="1">financials[[#This Row],[Units Sold]]*financials[[#This Row],[Sale Price]]</f>
        <v>1710</v>
      </c>
      <c r="J6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85.5</v>
      </c>
      <c r="K636" s="1">
        <f ca="1">financials[[#This Row],[Gross Sales]]-financials[[#This Row],[Discounts]]</f>
        <v>1624.5</v>
      </c>
      <c r="L636" s="1">
        <f ca="1">financials[[#This Row],[Units Sold]]*financials[[#This Row],[Manufacturing Price]]</f>
        <v>684</v>
      </c>
      <c r="M636" s="1">
        <f ca="1">financials[[#This Row],[Sales]]-financials[[#This Row],[COGS]]</f>
        <v>940.5</v>
      </c>
      <c r="N636" s="7">
        <f t="shared" ca="1" si="19"/>
        <v>45157</v>
      </c>
      <c r="O636" s="8">
        <f ca="1">MONTH(financials[[#This Row],[Date]])</f>
        <v>8</v>
      </c>
      <c r="P636" s="6" t="str">
        <f ca="1">TEXT(financials[[#This Row],[Date]],"MMM")</f>
        <v>Aug</v>
      </c>
      <c r="Q636">
        <f ca="1">YEAR(financials[[#This Row],[Date]])</f>
        <v>2023</v>
      </c>
      <c r="S636" s="10"/>
    </row>
    <row r="637" spans="1:19" x14ac:dyDescent="0.3">
      <c r="A637" t="s">
        <v>16</v>
      </c>
      <c r="B637" t="s">
        <v>17</v>
      </c>
      <c r="C637" s="6" t="s">
        <v>24</v>
      </c>
      <c r="D637" s="6" t="str">
        <f>CONCATENATE(financials[[#This Row],[Segment]],",",financials[[#This Row],[Country]],",",financials[[#This Row],[Product]])</f>
        <v>Government,Canada,Montana</v>
      </c>
      <c r="E637" s="6" t="s">
        <v>34</v>
      </c>
      <c r="F637">
        <f t="shared" ca="1" si="18"/>
        <v>146</v>
      </c>
      <c r="G637" s="1">
        <f ca="1">VLOOKUP(financials[[#This Row],[ID]],Prices!D:F,2,FALSE)</f>
        <v>12</v>
      </c>
      <c r="H637" s="1">
        <f ca="1">VLOOKUP(financials[[#This Row],[ID]],Prices!D:F,3,FALSE)</f>
        <v>30</v>
      </c>
      <c r="I637" s="1">
        <f ca="1">financials[[#This Row],[Units Sold]]*financials[[#This Row],[Sale Price]]</f>
        <v>4380</v>
      </c>
      <c r="J6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219</v>
      </c>
      <c r="K637" s="1">
        <f ca="1">financials[[#This Row],[Gross Sales]]-financials[[#This Row],[Discounts]]</f>
        <v>4161</v>
      </c>
      <c r="L637" s="1">
        <f ca="1">financials[[#This Row],[Units Sold]]*financials[[#This Row],[Manufacturing Price]]</f>
        <v>1752</v>
      </c>
      <c r="M637" s="1">
        <f ca="1">financials[[#This Row],[Sales]]-financials[[#This Row],[COGS]]</f>
        <v>2409</v>
      </c>
      <c r="N637" s="7">
        <f t="shared" ca="1" si="19"/>
        <v>45601</v>
      </c>
      <c r="O637" s="8">
        <f ca="1">MONTH(financials[[#This Row],[Date]])</f>
        <v>11</v>
      </c>
      <c r="P637" s="6" t="str">
        <f ca="1">TEXT(financials[[#This Row],[Date]],"MMM")</f>
        <v>Nov</v>
      </c>
      <c r="Q637">
        <f ca="1">YEAR(financials[[#This Row],[Date]])</f>
        <v>2024</v>
      </c>
      <c r="S637" s="10"/>
    </row>
    <row r="638" spans="1:19" x14ac:dyDescent="0.3">
      <c r="A638" t="s">
        <v>16</v>
      </c>
      <c r="B638" t="s">
        <v>23</v>
      </c>
      <c r="C638" s="6" t="s">
        <v>24</v>
      </c>
      <c r="D638" s="6" t="str">
        <f>CONCATENATE(financials[[#This Row],[Segment]],",",financials[[#This Row],[Country]],",",financials[[#This Row],[Product]])</f>
        <v>Government,Mexico,Montana</v>
      </c>
      <c r="E638" s="6" t="s">
        <v>34</v>
      </c>
      <c r="F638">
        <f t="shared" ca="1" si="18"/>
        <v>225</v>
      </c>
      <c r="G638" s="1">
        <f ca="1">VLOOKUP(financials[[#This Row],[ID]],Prices!D:F,2,FALSE)</f>
        <v>19</v>
      </c>
      <c r="H638" s="1">
        <f ca="1">VLOOKUP(financials[[#This Row],[ID]],Prices!D:F,3,FALSE)</f>
        <v>20</v>
      </c>
      <c r="I638" s="1">
        <f ca="1">financials[[#This Row],[Units Sold]]*financials[[#This Row],[Sale Price]]</f>
        <v>4500</v>
      </c>
      <c r="J6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225</v>
      </c>
      <c r="K638" s="1">
        <f ca="1">financials[[#This Row],[Gross Sales]]-financials[[#This Row],[Discounts]]</f>
        <v>4275</v>
      </c>
      <c r="L638" s="1">
        <f ca="1">financials[[#This Row],[Units Sold]]*financials[[#This Row],[Manufacturing Price]]</f>
        <v>4275</v>
      </c>
      <c r="M638" s="1">
        <f ca="1">financials[[#This Row],[Sales]]-financials[[#This Row],[COGS]]</f>
        <v>0</v>
      </c>
      <c r="N638" s="7">
        <f t="shared" ca="1" si="19"/>
        <v>45263</v>
      </c>
      <c r="O638" s="8">
        <f ca="1">MONTH(financials[[#This Row],[Date]])</f>
        <v>12</v>
      </c>
      <c r="P638" s="6" t="str">
        <f ca="1">TEXT(financials[[#This Row],[Date]],"MMM")</f>
        <v>Dec</v>
      </c>
      <c r="Q638">
        <f ca="1">YEAR(financials[[#This Row],[Date]])</f>
        <v>2023</v>
      </c>
      <c r="S638" s="10"/>
    </row>
    <row r="639" spans="1:19" x14ac:dyDescent="0.3">
      <c r="A639" t="s">
        <v>21</v>
      </c>
      <c r="B639" t="s">
        <v>17</v>
      </c>
      <c r="C639" s="6" t="s">
        <v>24</v>
      </c>
      <c r="D639" s="6" t="str">
        <f>CONCATENATE(financials[[#This Row],[Segment]],",",financials[[#This Row],[Country]],",",financials[[#This Row],[Product]])</f>
        <v>Midmarket,Canada,Montana</v>
      </c>
      <c r="E639" s="6" t="s">
        <v>34</v>
      </c>
      <c r="F639">
        <f t="shared" ca="1" si="18"/>
        <v>272</v>
      </c>
      <c r="G639" s="1">
        <f ca="1">VLOOKUP(financials[[#This Row],[ID]],Prices!D:F,2,FALSE)</f>
        <v>14</v>
      </c>
      <c r="H639" s="1">
        <f ca="1">VLOOKUP(financials[[#This Row],[ID]],Prices!D:F,3,FALSE)</f>
        <v>37</v>
      </c>
      <c r="I639" s="1">
        <f ca="1">financials[[#This Row],[Units Sold]]*financials[[#This Row],[Sale Price]]</f>
        <v>10064</v>
      </c>
      <c r="J6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503.20000000000005</v>
      </c>
      <c r="K639" s="1">
        <f ca="1">financials[[#This Row],[Gross Sales]]-financials[[#This Row],[Discounts]]</f>
        <v>9560.7999999999993</v>
      </c>
      <c r="L639" s="1">
        <f ca="1">financials[[#This Row],[Units Sold]]*financials[[#This Row],[Manufacturing Price]]</f>
        <v>3808</v>
      </c>
      <c r="M639" s="1">
        <f ca="1">financials[[#This Row],[Sales]]-financials[[#This Row],[COGS]]</f>
        <v>5752.7999999999993</v>
      </c>
      <c r="N639" s="7">
        <f t="shared" ca="1" si="19"/>
        <v>45368</v>
      </c>
      <c r="O639" s="8">
        <f ca="1">MONTH(financials[[#This Row],[Date]])</f>
        <v>3</v>
      </c>
      <c r="P639" s="6" t="str">
        <f ca="1">TEXT(financials[[#This Row],[Date]],"MMM")</f>
        <v>Mar</v>
      </c>
      <c r="Q639">
        <f ca="1">YEAR(financials[[#This Row],[Date]])</f>
        <v>2024</v>
      </c>
      <c r="S639" s="10"/>
    </row>
    <row r="640" spans="1:19" x14ac:dyDescent="0.3">
      <c r="A640" t="s">
        <v>16</v>
      </c>
      <c r="B640" t="s">
        <v>23</v>
      </c>
      <c r="C640" s="6" t="s">
        <v>28</v>
      </c>
      <c r="D640" s="6" t="str">
        <f>CONCATENATE(financials[[#This Row],[Segment]],",",financials[[#This Row],[Country]],",",financials[[#This Row],[Product]])</f>
        <v>Government,Mexico,Paseo</v>
      </c>
      <c r="E640" s="6" t="s">
        <v>34</v>
      </c>
      <c r="F640">
        <f t="shared" ca="1" si="18"/>
        <v>454</v>
      </c>
      <c r="G640" s="1">
        <f ca="1">VLOOKUP(financials[[#This Row],[ID]],Prices!D:F,2,FALSE)</f>
        <v>18</v>
      </c>
      <c r="H640" s="1">
        <f ca="1">VLOOKUP(financials[[#This Row],[ID]],Prices!D:F,3,FALSE)</f>
        <v>19</v>
      </c>
      <c r="I640" s="1">
        <f ca="1">financials[[#This Row],[Units Sold]]*financials[[#This Row],[Sale Price]]</f>
        <v>8626</v>
      </c>
      <c r="J6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431.3</v>
      </c>
      <c r="K640" s="1">
        <f ca="1">financials[[#This Row],[Gross Sales]]-financials[[#This Row],[Discounts]]</f>
        <v>8194.7000000000007</v>
      </c>
      <c r="L640" s="1">
        <f ca="1">financials[[#This Row],[Units Sold]]*financials[[#This Row],[Manufacturing Price]]</f>
        <v>8172</v>
      </c>
      <c r="M640" s="1">
        <f ca="1">financials[[#This Row],[Sales]]-financials[[#This Row],[COGS]]</f>
        <v>22.700000000000728</v>
      </c>
      <c r="N640" s="7">
        <f t="shared" ca="1" si="19"/>
        <v>45680</v>
      </c>
      <c r="O640" s="8">
        <f ca="1">MONTH(financials[[#This Row],[Date]])</f>
        <v>1</v>
      </c>
      <c r="P640" s="6" t="str">
        <f ca="1">TEXT(financials[[#This Row],[Date]],"MMM")</f>
        <v>Jan</v>
      </c>
      <c r="Q640">
        <f ca="1">YEAR(financials[[#This Row],[Date]])</f>
        <v>2025</v>
      </c>
      <c r="S640" s="10"/>
    </row>
    <row r="641" spans="1:19" x14ac:dyDescent="0.3">
      <c r="A641" t="s">
        <v>21</v>
      </c>
      <c r="B641" t="s">
        <v>17</v>
      </c>
      <c r="C641" s="6" t="s">
        <v>28</v>
      </c>
      <c r="D641" s="6" t="str">
        <f>CONCATENATE(financials[[#This Row],[Segment]],",",financials[[#This Row],[Country]],",",financials[[#This Row],[Product]])</f>
        <v>Midmarket,Canada,Paseo</v>
      </c>
      <c r="E641" s="6" t="s">
        <v>34</v>
      </c>
      <c r="F641">
        <f t="shared" ca="1" si="18"/>
        <v>597</v>
      </c>
      <c r="G641" s="1">
        <f ca="1">VLOOKUP(financials[[#This Row],[ID]],Prices!D:F,2,FALSE)</f>
        <v>15</v>
      </c>
      <c r="H641" s="1">
        <f ca="1">VLOOKUP(financials[[#This Row],[ID]],Prices!D:F,3,FALSE)</f>
        <v>36</v>
      </c>
      <c r="I641" s="1">
        <f ca="1">financials[[#This Row],[Units Sold]]*financials[[#This Row],[Sale Price]]</f>
        <v>21492</v>
      </c>
      <c r="J6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1074.6000000000001</v>
      </c>
      <c r="K641" s="1">
        <f ca="1">financials[[#This Row],[Gross Sales]]-financials[[#This Row],[Discounts]]</f>
        <v>20417.400000000001</v>
      </c>
      <c r="L641" s="1">
        <f ca="1">financials[[#This Row],[Units Sold]]*financials[[#This Row],[Manufacturing Price]]</f>
        <v>8955</v>
      </c>
      <c r="M641" s="1">
        <f ca="1">financials[[#This Row],[Sales]]-financials[[#This Row],[COGS]]</f>
        <v>11462.400000000001</v>
      </c>
      <c r="N641" s="7">
        <f t="shared" ca="1" si="19"/>
        <v>45609</v>
      </c>
      <c r="O641" s="8">
        <f ca="1">MONTH(financials[[#This Row],[Date]])</f>
        <v>11</v>
      </c>
      <c r="P641" s="6" t="str">
        <f ca="1">TEXT(financials[[#This Row],[Date]],"MMM")</f>
        <v>Nov</v>
      </c>
      <c r="Q641">
        <f ca="1">YEAR(financials[[#This Row],[Date]])</f>
        <v>2024</v>
      </c>
      <c r="S641" s="10"/>
    </row>
    <row r="642" spans="1:19" x14ac:dyDescent="0.3">
      <c r="A642" t="s">
        <v>21</v>
      </c>
      <c r="B642" t="s">
        <v>17</v>
      </c>
      <c r="C642" s="6" t="s">
        <v>28</v>
      </c>
      <c r="D642" s="6" t="str">
        <f>CONCATENATE(financials[[#This Row],[Segment]],",",financials[[#This Row],[Country]],",",financials[[#This Row],[Product]])</f>
        <v>Midmarket,Canada,Paseo</v>
      </c>
      <c r="E642" s="6" t="s">
        <v>34</v>
      </c>
      <c r="F642">
        <f t="shared" ca="1" si="18"/>
        <v>289</v>
      </c>
      <c r="G642" s="1">
        <f ca="1">VLOOKUP(financials[[#This Row],[ID]],Prices!D:F,2,FALSE)</f>
        <v>15</v>
      </c>
      <c r="H642" s="1">
        <f ca="1">VLOOKUP(financials[[#This Row],[ID]],Prices!D:F,3,FALSE)</f>
        <v>36</v>
      </c>
      <c r="I642" s="1">
        <f ca="1">financials[[#This Row],[Units Sold]]*financials[[#This Row],[Sale Price]]</f>
        <v>10404</v>
      </c>
      <c r="J6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520.20000000000005</v>
      </c>
      <c r="K642" s="1">
        <f ca="1">financials[[#This Row],[Gross Sales]]-financials[[#This Row],[Discounts]]</f>
        <v>9883.7999999999993</v>
      </c>
      <c r="L642" s="1">
        <f ca="1">financials[[#This Row],[Units Sold]]*financials[[#This Row],[Manufacturing Price]]</f>
        <v>4335</v>
      </c>
      <c r="M642" s="1">
        <f ca="1">financials[[#This Row],[Sales]]-financials[[#This Row],[COGS]]</f>
        <v>5548.7999999999993</v>
      </c>
      <c r="N642" s="7">
        <f t="shared" ca="1" si="19"/>
        <v>45653</v>
      </c>
      <c r="O642" s="8">
        <f ca="1">MONTH(financials[[#This Row],[Date]])</f>
        <v>12</v>
      </c>
      <c r="P642" s="6" t="str">
        <f ca="1">TEXT(financials[[#This Row],[Date]],"MMM")</f>
        <v>Dec</v>
      </c>
      <c r="Q642">
        <f ca="1">YEAR(financials[[#This Row],[Date]])</f>
        <v>2024</v>
      </c>
      <c r="S642" s="10"/>
    </row>
    <row r="643" spans="1:19" x14ac:dyDescent="0.3">
      <c r="A643" t="s">
        <v>25</v>
      </c>
      <c r="B643" t="s">
        <v>36</v>
      </c>
      <c r="C643" s="6" t="s">
        <v>28</v>
      </c>
      <c r="D643" s="6" t="str">
        <f>CONCATENATE(financials[[#This Row],[Segment]],",",financials[[#This Row],[Country]],",",financials[[#This Row],[Product]])</f>
        <v>Channel Partners,USA,Paseo</v>
      </c>
      <c r="E643" s="6" t="s">
        <v>34</v>
      </c>
      <c r="F643">
        <f t="shared" ref="F643:F706" ca="1" si="20">RANDBETWEEN(10,1000)</f>
        <v>893</v>
      </c>
      <c r="G643" s="1">
        <f ca="1">VLOOKUP(financials[[#This Row],[ID]],Prices!D:F,2,FALSE)</f>
        <v>19</v>
      </c>
      <c r="H643" s="1">
        <f ca="1">VLOOKUP(financials[[#This Row],[ID]],Prices!D:F,3,FALSE)</f>
        <v>26</v>
      </c>
      <c r="I643" s="1">
        <f ca="1">financials[[#This Row],[Units Sold]]*financials[[#This Row],[Sale Price]]</f>
        <v>23218</v>
      </c>
      <c r="J6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1160.9000000000001</v>
      </c>
      <c r="K643" s="1">
        <f ca="1">financials[[#This Row],[Gross Sales]]-financials[[#This Row],[Discounts]]</f>
        <v>22057.1</v>
      </c>
      <c r="L643" s="1">
        <f ca="1">financials[[#This Row],[Units Sold]]*financials[[#This Row],[Manufacturing Price]]</f>
        <v>16967</v>
      </c>
      <c r="M643" s="1">
        <f ca="1">financials[[#This Row],[Sales]]-financials[[#This Row],[COGS]]</f>
        <v>5090.0999999999985</v>
      </c>
      <c r="N643" s="7">
        <f t="shared" ref="N643:N706" ca="1" si="21">TODAY()-RANDBETWEEN(1,732)</f>
        <v>45637</v>
      </c>
      <c r="O643" s="8">
        <f ca="1">MONTH(financials[[#This Row],[Date]])</f>
        <v>12</v>
      </c>
      <c r="P643" s="6" t="str">
        <f ca="1">TEXT(financials[[#This Row],[Date]],"MMM")</f>
        <v>Dec</v>
      </c>
      <c r="Q643">
        <f ca="1">YEAR(financials[[#This Row],[Date]])</f>
        <v>2024</v>
      </c>
      <c r="S643" s="10"/>
    </row>
    <row r="644" spans="1:19" x14ac:dyDescent="0.3">
      <c r="A644" t="s">
        <v>16</v>
      </c>
      <c r="B644" t="s">
        <v>22</v>
      </c>
      <c r="C644" s="6" t="s">
        <v>28</v>
      </c>
      <c r="D644" s="6" t="str">
        <f>CONCATENATE(financials[[#This Row],[Segment]],",",financials[[#This Row],[Country]],",",financials[[#This Row],[Product]])</f>
        <v>Government,France,Paseo</v>
      </c>
      <c r="E644" s="6" t="s">
        <v>34</v>
      </c>
      <c r="F644">
        <f t="shared" ca="1" si="20"/>
        <v>704</v>
      </c>
      <c r="G644" s="1">
        <f ca="1">VLOOKUP(financials[[#This Row],[ID]],Prices!D:F,2,FALSE)</f>
        <v>14</v>
      </c>
      <c r="H644" s="1">
        <f ca="1">VLOOKUP(financials[[#This Row],[ID]],Prices!D:F,3,FALSE)</f>
        <v>18</v>
      </c>
      <c r="I644" s="1">
        <f ca="1">financials[[#This Row],[Units Sold]]*financials[[#This Row],[Sale Price]]</f>
        <v>12672</v>
      </c>
      <c r="J6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633.6</v>
      </c>
      <c r="K644" s="1">
        <f ca="1">financials[[#This Row],[Gross Sales]]-financials[[#This Row],[Discounts]]</f>
        <v>12038.4</v>
      </c>
      <c r="L644" s="1">
        <f ca="1">financials[[#This Row],[Units Sold]]*financials[[#This Row],[Manufacturing Price]]</f>
        <v>9856</v>
      </c>
      <c r="M644" s="1">
        <f ca="1">financials[[#This Row],[Sales]]-financials[[#This Row],[COGS]]</f>
        <v>2182.3999999999996</v>
      </c>
      <c r="N644" s="7">
        <f t="shared" ca="1" si="21"/>
        <v>45491</v>
      </c>
      <c r="O644" s="8">
        <f ca="1">MONTH(financials[[#This Row],[Date]])</f>
        <v>7</v>
      </c>
      <c r="P644" s="6" t="str">
        <f ca="1">TEXT(financials[[#This Row],[Date]],"MMM")</f>
        <v>Jul</v>
      </c>
      <c r="Q644">
        <f ca="1">YEAR(financials[[#This Row],[Date]])</f>
        <v>2024</v>
      </c>
      <c r="S644" s="10"/>
    </row>
    <row r="645" spans="1:19" x14ac:dyDescent="0.3">
      <c r="A645" t="s">
        <v>16</v>
      </c>
      <c r="B645" t="s">
        <v>17</v>
      </c>
      <c r="C645" s="6" t="s">
        <v>28</v>
      </c>
      <c r="D645" s="6" t="str">
        <f>CONCATENATE(financials[[#This Row],[Segment]],",",financials[[#This Row],[Country]],",",financials[[#This Row],[Product]])</f>
        <v>Government,Canada,Paseo</v>
      </c>
      <c r="E645" s="6" t="s">
        <v>34</v>
      </c>
      <c r="F645">
        <f t="shared" ca="1" si="20"/>
        <v>130</v>
      </c>
      <c r="G645" s="1">
        <f ca="1">VLOOKUP(financials[[#This Row],[ID]],Prices!D:F,2,FALSE)</f>
        <v>10</v>
      </c>
      <c r="H645" s="1">
        <f ca="1">VLOOKUP(financials[[#This Row],[ID]],Prices!D:F,3,FALSE)</f>
        <v>23</v>
      </c>
      <c r="I645" s="1">
        <f ca="1">financials[[#This Row],[Units Sold]]*financials[[#This Row],[Sale Price]]</f>
        <v>2990</v>
      </c>
      <c r="J6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149.5</v>
      </c>
      <c r="K645" s="1">
        <f ca="1">financials[[#This Row],[Gross Sales]]-financials[[#This Row],[Discounts]]</f>
        <v>2840.5</v>
      </c>
      <c r="L645" s="1">
        <f ca="1">financials[[#This Row],[Units Sold]]*financials[[#This Row],[Manufacturing Price]]</f>
        <v>1300</v>
      </c>
      <c r="M645" s="1">
        <f ca="1">financials[[#This Row],[Sales]]-financials[[#This Row],[COGS]]</f>
        <v>1540.5</v>
      </c>
      <c r="N645" s="7">
        <f t="shared" ca="1" si="21"/>
        <v>45517</v>
      </c>
      <c r="O645" s="8">
        <f ca="1">MONTH(financials[[#This Row],[Date]])</f>
        <v>8</v>
      </c>
      <c r="P645" s="6" t="str">
        <f ca="1">TEXT(financials[[#This Row],[Date]],"MMM")</f>
        <v>Aug</v>
      </c>
      <c r="Q645">
        <f ca="1">YEAR(financials[[#This Row],[Date]])</f>
        <v>2024</v>
      </c>
      <c r="S645" s="10"/>
    </row>
    <row r="646" spans="1:19" x14ac:dyDescent="0.3">
      <c r="A646" t="s">
        <v>25</v>
      </c>
      <c r="B646" t="s">
        <v>17</v>
      </c>
      <c r="C646" s="6" t="s">
        <v>28</v>
      </c>
      <c r="D646" s="6" t="str">
        <f>CONCATENATE(financials[[#This Row],[Segment]],",",financials[[#This Row],[Country]],",",financials[[#This Row],[Product]])</f>
        <v>Channel Partners,Canada,Paseo</v>
      </c>
      <c r="E646" s="6" t="s">
        <v>34</v>
      </c>
      <c r="F646">
        <f t="shared" ca="1" si="20"/>
        <v>656</v>
      </c>
      <c r="G646" s="1">
        <f ca="1">VLOOKUP(financials[[#This Row],[ID]],Prices!D:F,2,FALSE)</f>
        <v>13</v>
      </c>
      <c r="H646" s="1">
        <f ca="1">VLOOKUP(financials[[#This Row],[ID]],Prices!D:F,3,FALSE)</f>
        <v>26</v>
      </c>
      <c r="I646" s="1">
        <f ca="1">financials[[#This Row],[Units Sold]]*financials[[#This Row],[Sale Price]]</f>
        <v>17056</v>
      </c>
      <c r="J6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852.80000000000007</v>
      </c>
      <c r="K646" s="1">
        <f ca="1">financials[[#This Row],[Gross Sales]]-financials[[#This Row],[Discounts]]</f>
        <v>16203.2</v>
      </c>
      <c r="L646" s="1">
        <f ca="1">financials[[#This Row],[Units Sold]]*financials[[#This Row],[Manufacturing Price]]</f>
        <v>8528</v>
      </c>
      <c r="M646" s="1">
        <f ca="1">financials[[#This Row],[Sales]]-financials[[#This Row],[COGS]]</f>
        <v>7675.2000000000007</v>
      </c>
      <c r="N646" s="7">
        <f t="shared" ca="1" si="21"/>
        <v>45317</v>
      </c>
      <c r="O646" s="8">
        <f ca="1">MONTH(financials[[#This Row],[Date]])</f>
        <v>1</v>
      </c>
      <c r="P646" s="6" t="str">
        <f ca="1">TEXT(financials[[#This Row],[Date]],"MMM")</f>
        <v>Jan</v>
      </c>
      <c r="Q646">
        <f ca="1">YEAR(financials[[#This Row],[Date]])</f>
        <v>2024</v>
      </c>
      <c r="S646" s="10"/>
    </row>
    <row r="647" spans="1:19" x14ac:dyDescent="0.3">
      <c r="A647" t="s">
        <v>16</v>
      </c>
      <c r="B647" t="s">
        <v>36</v>
      </c>
      <c r="C647" s="6" t="s">
        <v>28</v>
      </c>
      <c r="D647" s="6" t="str">
        <f>CONCATENATE(financials[[#This Row],[Segment]],",",financials[[#This Row],[Country]],",",financials[[#This Row],[Product]])</f>
        <v>Government,USA,Paseo</v>
      </c>
      <c r="E647" s="6" t="s">
        <v>34</v>
      </c>
      <c r="F647">
        <f t="shared" ca="1" si="20"/>
        <v>726</v>
      </c>
      <c r="G647" s="1">
        <f ca="1">VLOOKUP(financials[[#This Row],[ID]],Prices!D:F,2,FALSE)</f>
        <v>17</v>
      </c>
      <c r="H647" s="1">
        <f ca="1">VLOOKUP(financials[[#This Row],[ID]],Prices!D:F,3,FALSE)</f>
        <v>36</v>
      </c>
      <c r="I647" s="1">
        <f ca="1">financials[[#This Row],[Units Sold]]*financials[[#This Row],[Sale Price]]</f>
        <v>26136</v>
      </c>
      <c r="J6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1306.8000000000002</v>
      </c>
      <c r="K647" s="1">
        <f ca="1">financials[[#This Row],[Gross Sales]]-financials[[#This Row],[Discounts]]</f>
        <v>24829.200000000001</v>
      </c>
      <c r="L647" s="1">
        <f ca="1">financials[[#This Row],[Units Sold]]*financials[[#This Row],[Manufacturing Price]]</f>
        <v>12342</v>
      </c>
      <c r="M647" s="1">
        <f ca="1">financials[[#This Row],[Sales]]-financials[[#This Row],[COGS]]</f>
        <v>12487.2</v>
      </c>
      <c r="N647" s="7">
        <f t="shared" ca="1" si="21"/>
        <v>45623</v>
      </c>
      <c r="O647" s="8">
        <f ca="1">MONTH(financials[[#This Row],[Date]])</f>
        <v>11</v>
      </c>
      <c r="P647" s="6" t="str">
        <f ca="1">TEXT(financials[[#This Row],[Date]],"MMM")</f>
        <v>Nov</v>
      </c>
      <c r="Q647">
        <f ca="1">YEAR(financials[[#This Row],[Date]])</f>
        <v>2024</v>
      </c>
      <c r="S647" s="10"/>
    </row>
    <row r="648" spans="1:19" x14ac:dyDescent="0.3">
      <c r="A648" t="s">
        <v>16</v>
      </c>
      <c r="B648" t="s">
        <v>22</v>
      </c>
      <c r="C648" s="6" t="s">
        <v>28</v>
      </c>
      <c r="D648" s="6" t="str">
        <f>CONCATENATE(financials[[#This Row],[Segment]],",",financials[[#This Row],[Country]],",",financials[[#This Row],[Product]])</f>
        <v>Government,France,Paseo</v>
      </c>
      <c r="E648" s="6" t="s">
        <v>34</v>
      </c>
      <c r="F648">
        <f t="shared" ca="1" si="20"/>
        <v>719</v>
      </c>
      <c r="G648" s="1">
        <f ca="1">VLOOKUP(financials[[#This Row],[ID]],Prices!D:F,2,FALSE)</f>
        <v>14</v>
      </c>
      <c r="H648" s="1">
        <f ca="1">VLOOKUP(financials[[#This Row],[ID]],Prices!D:F,3,FALSE)</f>
        <v>18</v>
      </c>
      <c r="I648" s="1">
        <f ca="1">financials[[#This Row],[Units Sold]]*financials[[#This Row],[Sale Price]]</f>
        <v>12942</v>
      </c>
      <c r="J6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647.1</v>
      </c>
      <c r="K648" s="1">
        <f ca="1">financials[[#This Row],[Gross Sales]]-financials[[#This Row],[Discounts]]</f>
        <v>12294.9</v>
      </c>
      <c r="L648" s="1">
        <f ca="1">financials[[#This Row],[Units Sold]]*financials[[#This Row],[Manufacturing Price]]</f>
        <v>10066</v>
      </c>
      <c r="M648" s="1">
        <f ca="1">financials[[#This Row],[Sales]]-financials[[#This Row],[COGS]]</f>
        <v>2228.8999999999996</v>
      </c>
      <c r="N648" s="7">
        <f t="shared" ca="1" si="21"/>
        <v>45348</v>
      </c>
      <c r="O648" s="8">
        <f ca="1">MONTH(financials[[#This Row],[Date]])</f>
        <v>2</v>
      </c>
      <c r="P648" s="6" t="str">
        <f ca="1">TEXT(financials[[#This Row],[Date]],"MMM")</f>
        <v>Feb</v>
      </c>
      <c r="Q648">
        <f ca="1">YEAR(financials[[#This Row],[Date]])</f>
        <v>2024</v>
      </c>
      <c r="S648" s="10"/>
    </row>
    <row r="649" spans="1:19" x14ac:dyDescent="0.3">
      <c r="A649" t="s">
        <v>26</v>
      </c>
      <c r="B649" t="s">
        <v>23</v>
      </c>
      <c r="C649" s="6" t="s">
        <v>29</v>
      </c>
      <c r="D649" s="6" t="str">
        <f>CONCATENATE(financials[[#This Row],[Segment]],",",financials[[#This Row],[Country]],",",financials[[#This Row],[Product]])</f>
        <v>Enterprise,Mexico,Velo</v>
      </c>
      <c r="E649" s="6" t="s">
        <v>34</v>
      </c>
      <c r="F649">
        <f t="shared" ca="1" si="20"/>
        <v>520</v>
      </c>
      <c r="G649" s="1">
        <f ca="1">VLOOKUP(financials[[#This Row],[ID]],Prices!D:F,2,FALSE)</f>
        <v>19</v>
      </c>
      <c r="H649" s="1">
        <f ca="1">VLOOKUP(financials[[#This Row],[ID]],Prices!D:F,3,FALSE)</f>
        <v>23</v>
      </c>
      <c r="I649" s="1">
        <f ca="1">financials[[#This Row],[Units Sold]]*financials[[#This Row],[Sale Price]]</f>
        <v>11960</v>
      </c>
      <c r="J6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598</v>
      </c>
      <c r="K649" s="1">
        <f ca="1">financials[[#This Row],[Gross Sales]]-financials[[#This Row],[Discounts]]</f>
        <v>11362</v>
      </c>
      <c r="L649" s="1">
        <f ca="1">financials[[#This Row],[Units Sold]]*financials[[#This Row],[Manufacturing Price]]</f>
        <v>9880</v>
      </c>
      <c r="M649" s="1">
        <f ca="1">financials[[#This Row],[Sales]]-financials[[#This Row],[COGS]]</f>
        <v>1482</v>
      </c>
      <c r="N649" s="7">
        <f t="shared" ca="1" si="21"/>
        <v>45165</v>
      </c>
      <c r="O649" s="8">
        <f ca="1">MONTH(financials[[#This Row],[Date]])</f>
        <v>8</v>
      </c>
      <c r="P649" s="6" t="str">
        <f ca="1">TEXT(financials[[#This Row],[Date]],"MMM")</f>
        <v>Aug</v>
      </c>
      <c r="Q649">
        <f ca="1">YEAR(financials[[#This Row],[Date]])</f>
        <v>2023</v>
      </c>
      <c r="S649" s="10"/>
    </row>
    <row r="650" spans="1:19" x14ac:dyDescent="0.3">
      <c r="A650" t="s">
        <v>16</v>
      </c>
      <c r="B650" t="s">
        <v>36</v>
      </c>
      <c r="C650" s="6" t="s">
        <v>29</v>
      </c>
      <c r="D650" s="6" t="str">
        <f>CONCATENATE(financials[[#This Row],[Segment]],",",financials[[#This Row],[Country]],",",financials[[#This Row],[Product]])</f>
        <v>Government,USA,Velo</v>
      </c>
      <c r="E650" s="6" t="s">
        <v>34</v>
      </c>
      <c r="F650">
        <f t="shared" ca="1" si="20"/>
        <v>502</v>
      </c>
      <c r="G650" s="1">
        <f ca="1">VLOOKUP(financials[[#This Row],[ID]],Prices!D:F,2,FALSE)</f>
        <v>18</v>
      </c>
      <c r="H650" s="1">
        <f ca="1">VLOOKUP(financials[[#This Row],[ID]],Prices!D:F,3,FALSE)</f>
        <v>38</v>
      </c>
      <c r="I650" s="1">
        <f ca="1">financials[[#This Row],[Units Sold]]*financials[[#This Row],[Sale Price]]</f>
        <v>19076</v>
      </c>
      <c r="J6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953.80000000000007</v>
      </c>
      <c r="K650" s="1">
        <f ca="1">financials[[#This Row],[Gross Sales]]-financials[[#This Row],[Discounts]]</f>
        <v>18122.2</v>
      </c>
      <c r="L650" s="1">
        <f ca="1">financials[[#This Row],[Units Sold]]*financials[[#This Row],[Manufacturing Price]]</f>
        <v>9036</v>
      </c>
      <c r="M650" s="1">
        <f ca="1">financials[[#This Row],[Sales]]-financials[[#This Row],[COGS]]</f>
        <v>9086.2000000000007</v>
      </c>
      <c r="N650" s="7">
        <f t="shared" ca="1" si="21"/>
        <v>45679</v>
      </c>
      <c r="O650" s="8">
        <f ca="1">MONTH(financials[[#This Row],[Date]])</f>
        <v>1</v>
      </c>
      <c r="P650" s="6" t="str">
        <f ca="1">TEXT(financials[[#This Row],[Date]],"MMM")</f>
        <v>Jan</v>
      </c>
      <c r="Q650">
        <f ca="1">YEAR(financials[[#This Row],[Date]])</f>
        <v>2025</v>
      </c>
      <c r="S650" s="10"/>
    </row>
    <row r="651" spans="1:19" x14ac:dyDescent="0.3">
      <c r="A651" t="s">
        <v>27</v>
      </c>
      <c r="B651" t="s">
        <v>36</v>
      </c>
      <c r="C651" s="6" t="s">
        <v>29</v>
      </c>
      <c r="D651" s="6" t="str">
        <f>CONCATENATE(financials[[#This Row],[Segment]],",",financials[[#This Row],[Country]],",",financials[[#This Row],[Product]])</f>
        <v>Small Business,USA,Velo</v>
      </c>
      <c r="E651" s="6" t="s">
        <v>34</v>
      </c>
      <c r="F651">
        <f t="shared" ca="1" si="20"/>
        <v>977</v>
      </c>
      <c r="G651" s="1">
        <f ca="1">VLOOKUP(financials[[#This Row],[ID]],Prices!D:F,2,FALSE)</f>
        <v>13</v>
      </c>
      <c r="H651" s="1">
        <f ca="1">VLOOKUP(financials[[#This Row],[ID]],Prices!D:F,3,FALSE)</f>
        <v>22</v>
      </c>
      <c r="I651" s="1">
        <f ca="1">financials[[#This Row],[Units Sold]]*financials[[#This Row],[Sale Price]]</f>
        <v>21494</v>
      </c>
      <c r="J6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1074.7</v>
      </c>
      <c r="K651" s="1">
        <f ca="1">financials[[#This Row],[Gross Sales]]-financials[[#This Row],[Discounts]]</f>
        <v>20419.3</v>
      </c>
      <c r="L651" s="1">
        <f ca="1">financials[[#This Row],[Units Sold]]*financials[[#This Row],[Manufacturing Price]]</f>
        <v>12701</v>
      </c>
      <c r="M651" s="1">
        <f ca="1">financials[[#This Row],[Sales]]-financials[[#This Row],[COGS]]</f>
        <v>7718.2999999999993</v>
      </c>
      <c r="N651" s="7">
        <f t="shared" ca="1" si="21"/>
        <v>45093</v>
      </c>
      <c r="O651" s="8">
        <f ca="1">MONTH(financials[[#This Row],[Date]])</f>
        <v>6</v>
      </c>
      <c r="P651" s="6" t="str">
        <f ca="1">TEXT(financials[[#This Row],[Date]],"MMM")</f>
        <v>Jun</v>
      </c>
      <c r="Q651">
        <f ca="1">YEAR(financials[[#This Row],[Date]])</f>
        <v>2023</v>
      </c>
      <c r="S651" s="10"/>
    </row>
    <row r="652" spans="1:19" x14ac:dyDescent="0.3">
      <c r="A652" t="s">
        <v>27</v>
      </c>
      <c r="B652" t="s">
        <v>17</v>
      </c>
      <c r="C652" s="6" t="s">
        <v>29</v>
      </c>
      <c r="D652" s="6" t="str">
        <f>CONCATENATE(financials[[#This Row],[Segment]],",",financials[[#This Row],[Country]],",",financials[[#This Row],[Product]])</f>
        <v>Small Business,Canada,Velo</v>
      </c>
      <c r="E652" s="6" t="s">
        <v>34</v>
      </c>
      <c r="F652">
        <f t="shared" ca="1" si="20"/>
        <v>753</v>
      </c>
      <c r="G652" s="1">
        <f ca="1">VLOOKUP(financials[[#This Row],[ID]],Prices!D:F,2,FALSE)</f>
        <v>14</v>
      </c>
      <c r="H652" s="1">
        <f ca="1">VLOOKUP(financials[[#This Row],[ID]],Prices!D:F,3,FALSE)</f>
        <v>30</v>
      </c>
      <c r="I652" s="1">
        <f ca="1">financials[[#This Row],[Units Sold]]*financials[[#This Row],[Sale Price]]</f>
        <v>22590</v>
      </c>
      <c r="J6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1129.5</v>
      </c>
      <c r="K652" s="1">
        <f ca="1">financials[[#This Row],[Gross Sales]]-financials[[#This Row],[Discounts]]</f>
        <v>21460.5</v>
      </c>
      <c r="L652" s="1">
        <f ca="1">financials[[#This Row],[Units Sold]]*financials[[#This Row],[Manufacturing Price]]</f>
        <v>10542</v>
      </c>
      <c r="M652" s="1">
        <f ca="1">financials[[#This Row],[Sales]]-financials[[#This Row],[COGS]]</f>
        <v>10918.5</v>
      </c>
      <c r="N652" s="7">
        <f t="shared" ca="1" si="21"/>
        <v>45069</v>
      </c>
      <c r="O652" s="8">
        <f ca="1">MONTH(financials[[#This Row],[Date]])</f>
        <v>5</v>
      </c>
      <c r="P652" s="6" t="str">
        <f ca="1">TEXT(financials[[#This Row],[Date]],"MMM")</f>
        <v>May</v>
      </c>
      <c r="Q652">
        <f ca="1">YEAR(financials[[#This Row],[Date]])</f>
        <v>2023</v>
      </c>
      <c r="S652" s="10"/>
    </row>
    <row r="653" spans="1:19" x14ac:dyDescent="0.3">
      <c r="A653" t="s">
        <v>27</v>
      </c>
      <c r="B653" t="s">
        <v>20</v>
      </c>
      <c r="C653" s="6" t="s">
        <v>29</v>
      </c>
      <c r="D653" s="6" t="str">
        <f>CONCATENATE(financials[[#This Row],[Segment]],",",financials[[#This Row],[Country]],",",financials[[#This Row],[Product]])</f>
        <v>Small Business,Germany,Velo</v>
      </c>
      <c r="E653" s="6" t="s">
        <v>34</v>
      </c>
      <c r="F653">
        <f t="shared" ca="1" si="20"/>
        <v>951</v>
      </c>
      <c r="G653" s="1">
        <f ca="1">VLOOKUP(financials[[#This Row],[ID]],Prices!D:F,2,FALSE)</f>
        <v>15</v>
      </c>
      <c r="H653" s="1">
        <f ca="1">VLOOKUP(financials[[#This Row],[ID]],Prices!D:F,3,FALSE)</f>
        <v>30</v>
      </c>
      <c r="I653" s="1">
        <f ca="1">financials[[#This Row],[Units Sold]]*financials[[#This Row],[Sale Price]]</f>
        <v>28530</v>
      </c>
      <c r="J6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1426.5</v>
      </c>
      <c r="K653" s="1">
        <f ca="1">financials[[#This Row],[Gross Sales]]-financials[[#This Row],[Discounts]]</f>
        <v>27103.5</v>
      </c>
      <c r="L653" s="1">
        <f ca="1">financials[[#This Row],[Units Sold]]*financials[[#This Row],[Manufacturing Price]]</f>
        <v>14265</v>
      </c>
      <c r="M653" s="1">
        <f ca="1">financials[[#This Row],[Sales]]-financials[[#This Row],[COGS]]</f>
        <v>12838.5</v>
      </c>
      <c r="N653" s="7">
        <f t="shared" ca="1" si="21"/>
        <v>45695</v>
      </c>
      <c r="O653" s="8">
        <f ca="1">MONTH(financials[[#This Row],[Date]])</f>
        <v>2</v>
      </c>
      <c r="P653" s="6" t="str">
        <f ca="1">TEXT(financials[[#This Row],[Date]],"MMM")</f>
        <v>Feb</v>
      </c>
      <c r="Q653">
        <f ca="1">YEAR(financials[[#This Row],[Date]])</f>
        <v>2025</v>
      </c>
      <c r="S653" s="10"/>
    </row>
    <row r="654" spans="1:19" x14ac:dyDescent="0.3">
      <c r="A654" t="s">
        <v>16</v>
      </c>
      <c r="B654" t="s">
        <v>23</v>
      </c>
      <c r="C654" s="6" t="s">
        <v>30</v>
      </c>
      <c r="D654" s="6" t="str">
        <f>CONCATENATE(financials[[#This Row],[Segment]],",",financials[[#This Row],[Country]],",",financials[[#This Row],[Product]])</f>
        <v>Government,Mexico,VTT</v>
      </c>
      <c r="E654" s="6" t="s">
        <v>34</v>
      </c>
      <c r="F654">
        <f t="shared" ca="1" si="20"/>
        <v>616</v>
      </c>
      <c r="G654" s="1">
        <f ca="1">VLOOKUP(financials[[#This Row],[ID]],Prices!D:F,2,FALSE)</f>
        <v>18</v>
      </c>
      <c r="H654" s="1">
        <f ca="1">VLOOKUP(financials[[#This Row],[ID]],Prices!D:F,3,FALSE)</f>
        <v>20</v>
      </c>
      <c r="I654" s="1">
        <f ca="1">financials[[#This Row],[Units Sold]]*financials[[#This Row],[Sale Price]]</f>
        <v>12320</v>
      </c>
      <c r="J6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616</v>
      </c>
      <c r="K654" s="1">
        <f ca="1">financials[[#This Row],[Gross Sales]]-financials[[#This Row],[Discounts]]</f>
        <v>11704</v>
      </c>
      <c r="L654" s="1">
        <f ca="1">financials[[#This Row],[Units Sold]]*financials[[#This Row],[Manufacturing Price]]</f>
        <v>11088</v>
      </c>
      <c r="M654" s="1">
        <f ca="1">financials[[#This Row],[Sales]]-financials[[#This Row],[COGS]]</f>
        <v>616</v>
      </c>
      <c r="N654" s="7">
        <f t="shared" ca="1" si="21"/>
        <v>45428</v>
      </c>
      <c r="O654" s="8">
        <f ca="1">MONTH(financials[[#This Row],[Date]])</f>
        <v>5</v>
      </c>
      <c r="P654" s="6" t="str">
        <f ca="1">TEXT(financials[[#This Row],[Date]],"MMM")</f>
        <v>May</v>
      </c>
      <c r="Q654">
        <f ca="1">YEAR(financials[[#This Row],[Date]])</f>
        <v>2024</v>
      </c>
      <c r="S654" s="10"/>
    </row>
    <row r="655" spans="1:19" x14ac:dyDescent="0.3">
      <c r="A655" t="s">
        <v>27</v>
      </c>
      <c r="B655" t="s">
        <v>36</v>
      </c>
      <c r="C655" s="6" t="s">
        <v>30</v>
      </c>
      <c r="D655" s="6" t="str">
        <f>CONCATENATE(financials[[#This Row],[Segment]],",",financials[[#This Row],[Country]],",",financials[[#This Row],[Product]])</f>
        <v>Small Business,USA,VTT</v>
      </c>
      <c r="E655" s="6" t="s">
        <v>34</v>
      </c>
      <c r="F655">
        <f t="shared" ca="1" si="20"/>
        <v>140</v>
      </c>
      <c r="G655" s="1">
        <f ca="1">VLOOKUP(financials[[#This Row],[ID]],Prices!D:F,2,FALSE)</f>
        <v>13</v>
      </c>
      <c r="H655" s="1">
        <f ca="1">VLOOKUP(financials[[#This Row],[ID]],Prices!D:F,3,FALSE)</f>
        <v>19</v>
      </c>
      <c r="I655" s="1">
        <f ca="1">financials[[#This Row],[Units Sold]]*financials[[#This Row],[Sale Price]]</f>
        <v>2660</v>
      </c>
      <c r="J6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133</v>
      </c>
      <c r="K655" s="1">
        <f ca="1">financials[[#This Row],[Gross Sales]]-financials[[#This Row],[Discounts]]</f>
        <v>2527</v>
      </c>
      <c r="L655" s="1">
        <f ca="1">financials[[#This Row],[Units Sold]]*financials[[#This Row],[Manufacturing Price]]</f>
        <v>1820</v>
      </c>
      <c r="M655" s="1">
        <f ca="1">financials[[#This Row],[Sales]]-financials[[#This Row],[COGS]]</f>
        <v>707</v>
      </c>
      <c r="N655" s="7">
        <f t="shared" ca="1" si="21"/>
        <v>45296</v>
      </c>
      <c r="O655" s="8">
        <f ca="1">MONTH(financials[[#This Row],[Date]])</f>
        <v>1</v>
      </c>
      <c r="P655" s="6" t="str">
        <f ca="1">TEXT(financials[[#This Row],[Date]],"MMM")</f>
        <v>Jan</v>
      </c>
      <c r="Q655">
        <f ca="1">YEAR(financials[[#This Row],[Date]])</f>
        <v>2024</v>
      </c>
      <c r="S655" s="10"/>
    </row>
    <row r="656" spans="1:19" x14ac:dyDescent="0.3">
      <c r="A656" t="s">
        <v>27</v>
      </c>
      <c r="B656" t="s">
        <v>17</v>
      </c>
      <c r="C656" s="6" t="s">
        <v>30</v>
      </c>
      <c r="D656" s="6" t="str">
        <f>CONCATENATE(financials[[#This Row],[Segment]],",",financials[[#This Row],[Country]],",",financials[[#This Row],[Product]])</f>
        <v>Small Business,Canada,VTT</v>
      </c>
      <c r="E656" s="6" t="s">
        <v>34</v>
      </c>
      <c r="F656">
        <f t="shared" ca="1" si="20"/>
        <v>892</v>
      </c>
      <c r="G656" s="1">
        <f ca="1">VLOOKUP(financials[[#This Row],[ID]],Prices!D:F,2,FALSE)</f>
        <v>10</v>
      </c>
      <c r="H656" s="1">
        <f ca="1">VLOOKUP(financials[[#This Row],[ID]],Prices!D:F,3,FALSE)</f>
        <v>21</v>
      </c>
      <c r="I656" s="1">
        <f ca="1">financials[[#This Row],[Units Sold]]*financials[[#This Row],[Sale Price]]</f>
        <v>18732</v>
      </c>
      <c r="J6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936.6</v>
      </c>
      <c r="K656" s="1">
        <f ca="1">financials[[#This Row],[Gross Sales]]-financials[[#This Row],[Discounts]]</f>
        <v>17795.400000000001</v>
      </c>
      <c r="L656" s="1">
        <f ca="1">financials[[#This Row],[Units Sold]]*financials[[#This Row],[Manufacturing Price]]</f>
        <v>8920</v>
      </c>
      <c r="M656" s="1">
        <f ca="1">financials[[#This Row],[Sales]]-financials[[#This Row],[COGS]]</f>
        <v>8875.4000000000015</v>
      </c>
      <c r="N656" s="7">
        <f t="shared" ca="1" si="21"/>
        <v>45641</v>
      </c>
      <c r="O656" s="8">
        <f ca="1">MONTH(financials[[#This Row],[Date]])</f>
        <v>12</v>
      </c>
      <c r="P656" s="6" t="str">
        <f ca="1">TEXT(financials[[#This Row],[Date]],"MMM")</f>
        <v>Dec</v>
      </c>
      <c r="Q656">
        <f ca="1">YEAR(financials[[#This Row],[Date]])</f>
        <v>2024</v>
      </c>
      <c r="S656" s="10"/>
    </row>
    <row r="657" spans="1:19" x14ac:dyDescent="0.3">
      <c r="A657" t="s">
        <v>27</v>
      </c>
      <c r="B657" t="s">
        <v>17</v>
      </c>
      <c r="C657" s="6" t="s">
        <v>30</v>
      </c>
      <c r="D657" s="6" t="str">
        <f>CONCATENATE(financials[[#This Row],[Segment]],",",financials[[#This Row],[Country]],",",financials[[#This Row],[Product]])</f>
        <v>Small Business,Canada,VTT</v>
      </c>
      <c r="E657" s="6" t="s">
        <v>34</v>
      </c>
      <c r="F657">
        <f t="shared" ca="1" si="20"/>
        <v>316</v>
      </c>
      <c r="G657" s="1">
        <f ca="1">VLOOKUP(financials[[#This Row],[ID]],Prices!D:F,2,FALSE)</f>
        <v>10</v>
      </c>
      <c r="H657" s="1">
        <f ca="1">VLOOKUP(financials[[#This Row],[ID]],Prices!D:F,3,FALSE)</f>
        <v>21</v>
      </c>
      <c r="I657" s="1">
        <f ca="1">financials[[#This Row],[Units Sold]]*financials[[#This Row],[Sale Price]]</f>
        <v>6636</v>
      </c>
      <c r="J6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331.8</v>
      </c>
      <c r="K657" s="1">
        <f ca="1">financials[[#This Row],[Gross Sales]]-financials[[#This Row],[Discounts]]</f>
        <v>6304.2</v>
      </c>
      <c r="L657" s="1">
        <f ca="1">financials[[#This Row],[Units Sold]]*financials[[#This Row],[Manufacturing Price]]</f>
        <v>3160</v>
      </c>
      <c r="M657" s="1">
        <f ca="1">financials[[#This Row],[Sales]]-financials[[#This Row],[COGS]]</f>
        <v>3144.2</v>
      </c>
      <c r="N657" s="7">
        <f t="shared" ca="1" si="21"/>
        <v>45060</v>
      </c>
      <c r="O657" s="8">
        <f ca="1">MONTH(financials[[#This Row],[Date]])</f>
        <v>5</v>
      </c>
      <c r="P657" s="6" t="str">
        <f ca="1">TEXT(financials[[#This Row],[Date]],"MMM")</f>
        <v>May</v>
      </c>
      <c r="Q657">
        <f ca="1">YEAR(financials[[#This Row],[Date]])</f>
        <v>2023</v>
      </c>
      <c r="S657" s="10"/>
    </row>
    <row r="658" spans="1:19" x14ac:dyDescent="0.3">
      <c r="A658" t="s">
        <v>27</v>
      </c>
      <c r="B658" t="s">
        <v>36</v>
      </c>
      <c r="C658" s="6" t="s">
        <v>30</v>
      </c>
      <c r="D658" s="6" t="str">
        <f>CONCATENATE(financials[[#This Row],[Segment]],",",financials[[#This Row],[Country]],",",financials[[#This Row],[Product]])</f>
        <v>Small Business,USA,VTT</v>
      </c>
      <c r="E658" s="6" t="s">
        <v>34</v>
      </c>
      <c r="F658">
        <f t="shared" ca="1" si="20"/>
        <v>355</v>
      </c>
      <c r="G658" s="1">
        <f ca="1">VLOOKUP(financials[[#This Row],[ID]],Prices!D:F,2,FALSE)</f>
        <v>13</v>
      </c>
      <c r="H658" s="1">
        <f ca="1">VLOOKUP(financials[[#This Row],[ID]],Prices!D:F,3,FALSE)</f>
        <v>19</v>
      </c>
      <c r="I658" s="1">
        <f ca="1">financials[[#This Row],[Units Sold]]*financials[[#This Row],[Sale Price]]</f>
        <v>6745</v>
      </c>
      <c r="J6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337.25</v>
      </c>
      <c r="K658" s="1">
        <f ca="1">financials[[#This Row],[Gross Sales]]-financials[[#This Row],[Discounts]]</f>
        <v>6407.75</v>
      </c>
      <c r="L658" s="1">
        <f ca="1">financials[[#This Row],[Units Sold]]*financials[[#This Row],[Manufacturing Price]]</f>
        <v>4615</v>
      </c>
      <c r="M658" s="1">
        <f ca="1">financials[[#This Row],[Sales]]-financials[[#This Row],[COGS]]</f>
        <v>1792.75</v>
      </c>
      <c r="N658" s="7">
        <f t="shared" ca="1" si="21"/>
        <v>45662</v>
      </c>
      <c r="O658" s="8">
        <f ca="1">MONTH(financials[[#This Row],[Date]])</f>
        <v>1</v>
      </c>
      <c r="P658" s="6" t="str">
        <f ca="1">TEXT(financials[[#This Row],[Date]],"MMM")</f>
        <v>Jan</v>
      </c>
      <c r="Q658">
        <f ca="1">YEAR(financials[[#This Row],[Date]])</f>
        <v>2025</v>
      </c>
      <c r="S658" s="10"/>
    </row>
    <row r="659" spans="1:19" x14ac:dyDescent="0.3">
      <c r="A659" t="s">
        <v>16</v>
      </c>
      <c r="B659" t="s">
        <v>22</v>
      </c>
      <c r="C659" s="6" t="s">
        <v>30</v>
      </c>
      <c r="D659" s="6" t="str">
        <f>CONCATENATE(financials[[#This Row],[Segment]],",",financials[[#This Row],[Country]],",",financials[[#This Row],[Product]])</f>
        <v>Government,France,VTT</v>
      </c>
      <c r="E659" s="6" t="s">
        <v>34</v>
      </c>
      <c r="F659">
        <f t="shared" ca="1" si="20"/>
        <v>254</v>
      </c>
      <c r="G659" s="1">
        <f ca="1">VLOOKUP(financials[[#This Row],[ID]],Prices!D:F,2,FALSE)</f>
        <v>18</v>
      </c>
      <c r="H659" s="1">
        <f ca="1">VLOOKUP(financials[[#This Row],[ID]],Prices!D:F,3,FALSE)</f>
        <v>32</v>
      </c>
      <c r="I659" s="1">
        <f ca="1">financials[[#This Row],[Units Sold]]*financials[[#This Row],[Sale Price]]</f>
        <v>8128</v>
      </c>
      <c r="J6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406.40000000000003</v>
      </c>
      <c r="K659" s="1">
        <f ca="1">financials[[#This Row],[Gross Sales]]-financials[[#This Row],[Discounts]]</f>
        <v>7721.6</v>
      </c>
      <c r="L659" s="1">
        <f ca="1">financials[[#This Row],[Units Sold]]*financials[[#This Row],[Manufacturing Price]]</f>
        <v>4572</v>
      </c>
      <c r="M659" s="1">
        <f ca="1">financials[[#This Row],[Sales]]-financials[[#This Row],[COGS]]</f>
        <v>3149.6000000000004</v>
      </c>
      <c r="N659" s="7">
        <f t="shared" ca="1" si="21"/>
        <v>45110</v>
      </c>
      <c r="O659" s="8">
        <f ca="1">MONTH(financials[[#This Row],[Date]])</f>
        <v>7</v>
      </c>
      <c r="P659" s="6" t="str">
        <f ca="1">TEXT(financials[[#This Row],[Date]],"MMM")</f>
        <v>Jul</v>
      </c>
      <c r="Q659">
        <f ca="1">YEAR(financials[[#This Row],[Date]])</f>
        <v>2023</v>
      </c>
      <c r="S659" s="10"/>
    </row>
    <row r="660" spans="1:19" x14ac:dyDescent="0.3">
      <c r="A660" t="s">
        <v>27</v>
      </c>
      <c r="B660" t="s">
        <v>17</v>
      </c>
      <c r="C660" s="6" t="s">
        <v>31</v>
      </c>
      <c r="D660" s="6" t="str">
        <f>CONCATENATE(financials[[#This Row],[Segment]],",",financials[[#This Row],[Country]],",",financials[[#This Row],[Product]])</f>
        <v>Small Business,Canada,Amarilla</v>
      </c>
      <c r="E660" s="6" t="s">
        <v>34</v>
      </c>
      <c r="F660">
        <f t="shared" ca="1" si="20"/>
        <v>344</v>
      </c>
      <c r="G660" s="1">
        <f ca="1">VLOOKUP(financials[[#This Row],[ID]],Prices!D:F,2,FALSE)</f>
        <v>13</v>
      </c>
      <c r="H660" s="1">
        <f ca="1">VLOOKUP(financials[[#This Row],[ID]],Prices!D:F,3,FALSE)</f>
        <v>16</v>
      </c>
      <c r="I660" s="1">
        <f ca="1">financials[[#This Row],[Units Sold]]*financials[[#This Row],[Sale Price]]</f>
        <v>5504</v>
      </c>
      <c r="J6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275.2</v>
      </c>
      <c r="K660" s="1">
        <f ca="1">financials[[#This Row],[Gross Sales]]-financials[[#This Row],[Discounts]]</f>
        <v>5228.8</v>
      </c>
      <c r="L660" s="1">
        <f ca="1">financials[[#This Row],[Units Sold]]*financials[[#This Row],[Manufacturing Price]]</f>
        <v>4472</v>
      </c>
      <c r="M660" s="1">
        <f ca="1">financials[[#This Row],[Sales]]-financials[[#This Row],[COGS]]</f>
        <v>756.80000000000018</v>
      </c>
      <c r="N660" s="7">
        <f t="shared" ca="1" si="21"/>
        <v>45341</v>
      </c>
      <c r="O660" s="8">
        <f ca="1">MONTH(financials[[#This Row],[Date]])</f>
        <v>2</v>
      </c>
      <c r="P660" s="6" t="str">
        <f ca="1">TEXT(financials[[#This Row],[Date]],"MMM")</f>
        <v>Feb</v>
      </c>
      <c r="Q660">
        <f ca="1">YEAR(financials[[#This Row],[Date]])</f>
        <v>2024</v>
      </c>
      <c r="S660" s="10"/>
    </row>
    <row r="661" spans="1:19" x14ac:dyDescent="0.3">
      <c r="A661" t="s">
        <v>26</v>
      </c>
      <c r="B661" t="s">
        <v>36</v>
      </c>
      <c r="C661" s="6" t="s">
        <v>31</v>
      </c>
      <c r="D661" s="6" t="str">
        <f>CONCATENATE(financials[[#This Row],[Segment]],",",financials[[#This Row],[Country]],",",financials[[#This Row],[Product]])</f>
        <v>Enterprise,USA,Amarilla</v>
      </c>
      <c r="E661" s="6" t="s">
        <v>34</v>
      </c>
      <c r="F661">
        <f t="shared" ca="1" si="20"/>
        <v>299</v>
      </c>
      <c r="G661" s="1">
        <f ca="1">VLOOKUP(financials[[#This Row],[ID]],Prices!D:F,2,FALSE)</f>
        <v>15</v>
      </c>
      <c r="H661" s="1">
        <f ca="1">VLOOKUP(financials[[#This Row],[ID]],Prices!D:F,3,FALSE)</f>
        <v>32</v>
      </c>
      <c r="I661" s="1">
        <f ca="1">financials[[#This Row],[Units Sold]]*financials[[#This Row],[Sale Price]]</f>
        <v>9568</v>
      </c>
      <c r="J6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478.40000000000003</v>
      </c>
      <c r="K661" s="1">
        <f ca="1">financials[[#This Row],[Gross Sales]]-financials[[#This Row],[Discounts]]</f>
        <v>9089.6</v>
      </c>
      <c r="L661" s="1">
        <f ca="1">financials[[#This Row],[Units Sold]]*financials[[#This Row],[Manufacturing Price]]</f>
        <v>4485</v>
      </c>
      <c r="M661" s="1">
        <f ca="1">financials[[#This Row],[Sales]]-financials[[#This Row],[COGS]]</f>
        <v>4604.6000000000004</v>
      </c>
      <c r="N661" s="7">
        <f t="shared" ca="1" si="21"/>
        <v>45160</v>
      </c>
      <c r="O661" s="8">
        <f ca="1">MONTH(financials[[#This Row],[Date]])</f>
        <v>8</v>
      </c>
      <c r="P661" s="6" t="str">
        <f ca="1">TEXT(financials[[#This Row],[Date]],"MMM")</f>
        <v>Aug</v>
      </c>
      <c r="Q661">
        <f ca="1">YEAR(financials[[#This Row],[Date]])</f>
        <v>2023</v>
      </c>
      <c r="S661" s="10"/>
    </row>
    <row r="662" spans="1:19" x14ac:dyDescent="0.3">
      <c r="A662" t="s">
        <v>25</v>
      </c>
      <c r="B662" t="s">
        <v>22</v>
      </c>
      <c r="C662" s="6" t="s">
        <v>31</v>
      </c>
      <c r="D662" s="6" t="str">
        <f>CONCATENATE(financials[[#This Row],[Segment]],",",financials[[#This Row],[Country]],",",financials[[#This Row],[Product]])</f>
        <v>Channel Partners,France,Amarilla</v>
      </c>
      <c r="E662" s="6" t="s">
        <v>34</v>
      </c>
      <c r="F662">
        <f t="shared" ca="1" si="20"/>
        <v>43</v>
      </c>
      <c r="G662" s="1">
        <f ca="1">VLOOKUP(financials[[#This Row],[ID]],Prices!D:F,2,FALSE)</f>
        <v>15</v>
      </c>
      <c r="H662" s="1">
        <f ca="1">VLOOKUP(financials[[#This Row],[ID]],Prices!D:F,3,FALSE)</f>
        <v>24</v>
      </c>
      <c r="I662" s="1">
        <f ca="1">financials[[#This Row],[Units Sold]]*financials[[#This Row],[Sale Price]]</f>
        <v>1032</v>
      </c>
      <c r="J6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51.6</v>
      </c>
      <c r="K662" s="1">
        <f ca="1">financials[[#This Row],[Gross Sales]]-financials[[#This Row],[Discounts]]</f>
        <v>980.4</v>
      </c>
      <c r="L662" s="1">
        <f ca="1">financials[[#This Row],[Units Sold]]*financials[[#This Row],[Manufacturing Price]]</f>
        <v>645</v>
      </c>
      <c r="M662" s="1">
        <f ca="1">financials[[#This Row],[Sales]]-financials[[#This Row],[COGS]]</f>
        <v>335.4</v>
      </c>
      <c r="N662" s="7">
        <f t="shared" ca="1" si="21"/>
        <v>45735</v>
      </c>
      <c r="O662" s="8">
        <f ca="1">MONTH(financials[[#This Row],[Date]])</f>
        <v>3</v>
      </c>
      <c r="P662" s="6" t="str">
        <f ca="1">TEXT(financials[[#This Row],[Date]],"MMM")</f>
        <v>Mar</v>
      </c>
      <c r="Q662">
        <f ca="1">YEAR(financials[[#This Row],[Date]])</f>
        <v>2025</v>
      </c>
      <c r="S662" s="10"/>
    </row>
    <row r="663" spans="1:19" x14ac:dyDescent="0.3">
      <c r="A663" t="s">
        <v>21</v>
      </c>
      <c r="B663" t="s">
        <v>17</v>
      </c>
      <c r="C663" s="6" t="s">
        <v>31</v>
      </c>
      <c r="D663" s="6" t="str">
        <f>CONCATENATE(financials[[#This Row],[Segment]],",",financials[[#This Row],[Country]],",",financials[[#This Row],[Product]])</f>
        <v>Midmarket,Canada,Amarilla</v>
      </c>
      <c r="E663" s="6" t="s">
        <v>34</v>
      </c>
      <c r="F663">
        <f t="shared" ca="1" si="20"/>
        <v>484</v>
      </c>
      <c r="G663" s="1">
        <f ca="1">VLOOKUP(financials[[#This Row],[ID]],Prices!D:F,2,FALSE)</f>
        <v>16</v>
      </c>
      <c r="H663" s="1">
        <f ca="1">VLOOKUP(financials[[#This Row],[ID]],Prices!D:F,3,FALSE)</f>
        <v>32</v>
      </c>
      <c r="I663" s="1">
        <f ca="1">financials[[#This Row],[Units Sold]]*financials[[#This Row],[Sale Price]]</f>
        <v>15488</v>
      </c>
      <c r="J6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774.40000000000009</v>
      </c>
      <c r="K663" s="1">
        <f ca="1">financials[[#This Row],[Gross Sales]]-financials[[#This Row],[Discounts]]</f>
        <v>14713.6</v>
      </c>
      <c r="L663" s="1">
        <f ca="1">financials[[#This Row],[Units Sold]]*financials[[#This Row],[Manufacturing Price]]</f>
        <v>7744</v>
      </c>
      <c r="M663" s="1">
        <f ca="1">financials[[#This Row],[Sales]]-financials[[#This Row],[COGS]]</f>
        <v>6969.6</v>
      </c>
      <c r="N663" s="7">
        <f t="shared" ca="1" si="21"/>
        <v>45196</v>
      </c>
      <c r="O663" s="8">
        <f ca="1">MONTH(financials[[#This Row],[Date]])</f>
        <v>9</v>
      </c>
      <c r="P663" s="6" t="str">
        <f ca="1">TEXT(financials[[#This Row],[Date]],"MMM")</f>
        <v>Sep</v>
      </c>
      <c r="Q663">
        <f ca="1">YEAR(financials[[#This Row],[Date]])</f>
        <v>2023</v>
      </c>
      <c r="S663" s="10"/>
    </row>
    <row r="664" spans="1:19" x14ac:dyDescent="0.3">
      <c r="A664" t="s">
        <v>25</v>
      </c>
      <c r="B664" t="s">
        <v>36</v>
      </c>
      <c r="C664" s="6" t="s">
        <v>31</v>
      </c>
      <c r="D664" s="6" t="str">
        <f>CONCATENATE(financials[[#This Row],[Segment]],",",financials[[#This Row],[Country]],",",financials[[#This Row],[Product]])</f>
        <v>Channel Partners,USA,Amarilla</v>
      </c>
      <c r="E664" s="6" t="s">
        <v>34</v>
      </c>
      <c r="F664">
        <f t="shared" ca="1" si="20"/>
        <v>946</v>
      </c>
      <c r="G664" s="1">
        <f ca="1">VLOOKUP(financials[[#This Row],[ID]],Prices!D:F,2,FALSE)</f>
        <v>11</v>
      </c>
      <c r="H664" s="1">
        <f ca="1">VLOOKUP(financials[[#This Row],[ID]],Prices!D:F,3,FALSE)</f>
        <v>17</v>
      </c>
      <c r="I664" s="1">
        <f ca="1">financials[[#This Row],[Units Sold]]*financials[[#This Row],[Sale Price]]</f>
        <v>16082</v>
      </c>
      <c r="J6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804.1</v>
      </c>
      <c r="K664" s="1">
        <f ca="1">financials[[#This Row],[Gross Sales]]-financials[[#This Row],[Discounts]]</f>
        <v>15277.9</v>
      </c>
      <c r="L664" s="1">
        <f ca="1">financials[[#This Row],[Units Sold]]*financials[[#This Row],[Manufacturing Price]]</f>
        <v>10406</v>
      </c>
      <c r="M664" s="1">
        <f ca="1">financials[[#This Row],[Sales]]-financials[[#This Row],[COGS]]</f>
        <v>4871.8999999999996</v>
      </c>
      <c r="N664" s="7">
        <f t="shared" ca="1" si="21"/>
        <v>45455</v>
      </c>
      <c r="O664" s="8">
        <f ca="1">MONTH(financials[[#This Row],[Date]])</f>
        <v>6</v>
      </c>
      <c r="P664" s="6" t="str">
        <f ca="1">TEXT(financials[[#This Row],[Date]],"MMM")</f>
        <v>Jun</v>
      </c>
      <c r="Q664">
        <f ca="1">YEAR(financials[[#This Row],[Date]])</f>
        <v>2024</v>
      </c>
      <c r="S664" s="10"/>
    </row>
    <row r="665" spans="1:19" x14ac:dyDescent="0.3">
      <c r="A665" t="s">
        <v>16</v>
      </c>
      <c r="B665" t="s">
        <v>22</v>
      </c>
      <c r="C665" s="6" t="s">
        <v>31</v>
      </c>
      <c r="D665" s="6" t="str">
        <f>CONCATENATE(financials[[#This Row],[Segment]],",",financials[[#This Row],[Country]],",",financials[[#This Row],[Product]])</f>
        <v>Government,France,Amarilla</v>
      </c>
      <c r="E665" s="6" t="s">
        <v>34</v>
      </c>
      <c r="F665">
        <f t="shared" ca="1" si="20"/>
        <v>500</v>
      </c>
      <c r="G665" s="1">
        <f ca="1">VLOOKUP(financials[[#This Row],[ID]],Prices!D:F,2,FALSE)</f>
        <v>10</v>
      </c>
      <c r="H665" s="1">
        <f ca="1">VLOOKUP(financials[[#This Row],[ID]],Prices!D:F,3,FALSE)</f>
        <v>25</v>
      </c>
      <c r="I665" s="1">
        <f ca="1">financials[[#This Row],[Units Sold]]*financials[[#This Row],[Sale Price]]</f>
        <v>12500</v>
      </c>
      <c r="J6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625</v>
      </c>
      <c r="K665" s="1">
        <f ca="1">financials[[#This Row],[Gross Sales]]-financials[[#This Row],[Discounts]]</f>
        <v>11875</v>
      </c>
      <c r="L665" s="1">
        <f ca="1">financials[[#This Row],[Units Sold]]*financials[[#This Row],[Manufacturing Price]]</f>
        <v>5000</v>
      </c>
      <c r="M665" s="1">
        <f ca="1">financials[[#This Row],[Sales]]-financials[[#This Row],[COGS]]</f>
        <v>6875</v>
      </c>
      <c r="N665" s="7">
        <f t="shared" ca="1" si="21"/>
        <v>45551</v>
      </c>
      <c r="O665" s="8">
        <f ca="1">MONTH(financials[[#This Row],[Date]])</f>
        <v>9</v>
      </c>
      <c r="P665" s="6" t="str">
        <f ca="1">TEXT(financials[[#This Row],[Date]],"MMM")</f>
        <v>Sep</v>
      </c>
      <c r="Q665">
        <f ca="1">YEAR(financials[[#This Row],[Date]])</f>
        <v>2024</v>
      </c>
      <c r="S665" s="10"/>
    </row>
    <row r="666" spans="1:19" x14ac:dyDescent="0.3">
      <c r="A666" t="s">
        <v>16</v>
      </c>
      <c r="B666" t="s">
        <v>23</v>
      </c>
      <c r="C666" s="6" t="s">
        <v>31</v>
      </c>
      <c r="D666" s="6" t="str">
        <f>CONCATENATE(financials[[#This Row],[Segment]],",",financials[[#This Row],[Country]],",",financials[[#This Row],[Product]])</f>
        <v>Government,Mexico,Amarilla</v>
      </c>
      <c r="E666" s="6" t="s">
        <v>34</v>
      </c>
      <c r="F666">
        <f t="shared" ca="1" si="20"/>
        <v>983</v>
      </c>
      <c r="G666" s="1">
        <f ca="1">VLOOKUP(financials[[#This Row],[ID]],Prices!D:F,2,FALSE)</f>
        <v>15</v>
      </c>
      <c r="H666" s="1">
        <f ca="1">VLOOKUP(financials[[#This Row],[ID]],Prices!D:F,3,FALSE)</f>
        <v>32</v>
      </c>
      <c r="I666" s="1">
        <f ca="1">financials[[#This Row],[Units Sold]]*financials[[#This Row],[Sale Price]]</f>
        <v>31456</v>
      </c>
      <c r="J6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1572.8000000000002</v>
      </c>
      <c r="K666" s="1">
        <f ca="1">financials[[#This Row],[Gross Sales]]-financials[[#This Row],[Discounts]]</f>
        <v>29883.200000000001</v>
      </c>
      <c r="L666" s="1">
        <f ca="1">financials[[#This Row],[Units Sold]]*financials[[#This Row],[Manufacturing Price]]</f>
        <v>14745</v>
      </c>
      <c r="M666" s="1">
        <f ca="1">financials[[#This Row],[Sales]]-financials[[#This Row],[COGS]]</f>
        <v>15138.2</v>
      </c>
      <c r="N666" s="7">
        <f t="shared" ca="1" si="21"/>
        <v>45277</v>
      </c>
      <c r="O666" s="8">
        <f ca="1">MONTH(financials[[#This Row],[Date]])</f>
        <v>12</v>
      </c>
      <c r="P666" s="6" t="str">
        <f ca="1">TEXT(financials[[#This Row],[Date]],"MMM")</f>
        <v>Dec</v>
      </c>
      <c r="Q666">
        <f ca="1">YEAR(financials[[#This Row],[Date]])</f>
        <v>2023</v>
      </c>
      <c r="S666" s="10"/>
    </row>
    <row r="667" spans="1:19" x14ac:dyDescent="0.3">
      <c r="A667" t="s">
        <v>21</v>
      </c>
      <c r="B667" t="s">
        <v>23</v>
      </c>
      <c r="C667" s="6" t="s">
        <v>31</v>
      </c>
      <c r="D667" s="6" t="str">
        <f>CONCATENATE(financials[[#This Row],[Segment]],",",financials[[#This Row],[Country]],",",financials[[#This Row],[Product]])</f>
        <v>Midmarket,Mexico,Amarilla</v>
      </c>
      <c r="E667" s="6" t="s">
        <v>34</v>
      </c>
      <c r="F667">
        <f t="shared" ca="1" si="20"/>
        <v>185</v>
      </c>
      <c r="G667" s="1">
        <f ca="1">VLOOKUP(financials[[#This Row],[ID]],Prices!D:F,2,FALSE)</f>
        <v>13</v>
      </c>
      <c r="H667" s="1">
        <f ca="1">VLOOKUP(financials[[#This Row],[ID]],Prices!D:F,3,FALSE)</f>
        <v>29</v>
      </c>
      <c r="I667" s="1">
        <f ca="1">financials[[#This Row],[Units Sold]]*financials[[#This Row],[Sale Price]]</f>
        <v>5365</v>
      </c>
      <c r="J6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268.25</v>
      </c>
      <c r="K667" s="1">
        <f ca="1">financials[[#This Row],[Gross Sales]]-financials[[#This Row],[Discounts]]</f>
        <v>5096.75</v>
      </c>
      <c r="L667" s="1">
        <f ca="1">financials[[#This Row],[Units Sold]]*financials[[#This Row],[Manufacturing Price]]</f>
        <v>2405</v>
      </c>
      <c r="M667" s="1">
        <f ca="1">financials[[#This Row],[Sales]]-financials[[#This Row],[COGS]]</f>
        <v>2691.75</v>
      </c>
      <c r="N667" s="7">
        <f t="shared" ca="1" si="21"/>
        <v>45545</v>
      </c>
      <c r="O667" s="8">
        <f ca="1">MONTH(financials[[#This Row],[Date]])</f>
        <v>9</v>
      </c>
      <c r="P667" s="6" t="str">
        <f ca="1">TEXT(financials[[#This Row],[Date]],"MMM")</f>
        <v>Sep</v>
      </c>
      <c r="Q667">
        <f ca="1">YEAR(financials[[#This Row],[Date]])</f>
        <v>2024</v>
      </c>
      <c r="S667" s="10"/>
    </row>
    <row r="668" spans="1:19" x14ac:dyDescent="0.3">
      <c r="A668" t="s">
        <v>26</v>
      </c>
      <c r="B668" t="s">
        <v>22</v>
      </c>
      <c r="C668" s="6" t="s">
        <v>18</v>
      </c>
      <c r="D668" s="6" t="str">
        <f>CONCATENATE(financials[[#This Row],[Segment]],",",financials[[#This Row],[Country]],",",financials[[#This Row],[Product]])</f>
        <v>Enterprise,France,Carretera</v>
      </c>
      <c r="E668" s="6" t="s">
        <v>34</v>
      </c>
      <c r="F668">
        <f t="shared" ca="1" si="20"/>
        <v>573</v>
      </c>
      <c r="G668" s="1">
        <f ca="1">VLOOKUP(financials[[#This Row],[ID]],Prices!D:F,2,FALSE)</f>
        <v>12</v>
      </c>
      <c r="H668" s="1">
        <f ca="1">VLOOKUP(financials[[#This Row],[ID]],Prices!D:F,3,FALSE)</f>
        <v>35</v>
      </c>
      <c r="I668" s="1">
        <f ca="1">financials[[#This Row],[Units Sold]]*financials[[#This Row],[Sale Price]]</f>
        <v>20055</v>
      </c>
      <c r="J6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1002.75</v>
      </c>
      <c r="K668" s="1">
        <f ca="1">financials[[#This Row],[Gross Sales]]-financials[[#This Row],[Discounts]]</f>
        <v>19052.25</v>
      </c>
      <c r="L668" s="1">
        <f ca="1">financials[[#This Row],[Units Sold]]*financials[[#This Row],[Manufacturing Price]]</f>
        <v>6876</v>
      </c>
      <c r="M668" s="1">
        <f ca="1">financials[[#This Row],[Sales]]-financials[[#This Row],[COGS]]</f>
        <v>12176.25</v>
      </c>
      <c r="N668" s="7">
        <f t="shared" ca="1" si="21"/>
        <v>45676</v>
      </c>
      <c r="O668" s="8">
        <f ca="1">MONTH(financials[[#This Row],[Date]])</f>
        <v>1</v>
      </c>
      <c r="P668" s="6" t="str">
        <f ca="1">TEXT(financials[[#This Row],[Date]],"MMM")</f>
        <v>Jan</v>
      </c>
      <c r="Q668">
        <f ca="1">YEAR(financials[[#This Row],[Date]])</f>
        <v>2025</v>
      </c>
      <c r="S668" s="10"/>
    </row>
    <row r="669" spans="1:19" x14ac:dyDescent="0.3">
      <c r="A669" t="s">
        <v>26</v>
      </c>
      <c r="B669" t="s">
        <v>20</v>
      </c>
      <c r="C669" s="6" t="s">
        <v>18</v>
      </c>
      <c r="D669" s="6" t="str">
        <f>CONCATENATE(financials[[#This Row],[Segment]],",",financials[[#This Row],[Country]],",",financials[[#This Row],[Product]])</f>
        <v>Enterprise,Germany,Carretera</v>
      </c>
      <c r="E669" s="6" t="s">
        <v>34</v>
      </c>
      <c r="F669">
        <f t="shared" ca="1" si="20"/>
        <v>615</v>
      </c>
      <c r="G669" s="1">
        <f ca="1">VLOOKUP(financials[[#This Row],[ID]],Prices!D:F,2,FALSE)</f>
        <v>20</v>
      </c>
      <c r="H669" s="1">
        <f ca="1">VLOOKUP(financials[[#This Row],[ID]],Prices!D:F,3,FALSE)</f>
        <v>37</v>
      </c>
      <c r="I669" s="1">
        <f ca="1">financials[[#This Row],[Units Sold]]*financials[[#This Row],[Sale Price]]</f>
        <v>22755</v>
      </c>
      <c r="J6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1137.75</v>
      </c>
      <c r="K669" s="1">
        <f ca="1">financials[[#This Row],[Gross Sales]]-financials[[#This Row],[Discounts]]</f>
        <v>21617.25</v>
      </c>
      <c r="L669" s="1">
        <f ca="1">financials[[#This Row],[Units Sold]]*financials[[#This Row],[Manufacturing Price]]</f>
        <v>12300</v>
      </c>
      <c r="M669" s="1">
        <f ca="1">financials[[#This Row],[Sales]]-financials[[#This Row],[COGS]]</f>
        <v>9317.25</v>
      </c>
      <c r="N669" s="7">
        <f t="shared" ca="1" si="21"/>
        <v>45750</v>
      </c>
      <c r="O669" s="8">
        <f ca="1">MONTH(financials[[#This Row],[Date]])</f>
        <v>4</v>
      </c>
      <c r="P669" s="6" t="str">
        <f ca="1">TEXT(financials[[#This Row],[Date]],"MMM")</f>
        <v>Apr</v>
      </c>
      <c r="Q669">
        <f ca="1">YEAR(financials[[#This Row],[Date]])</f>
        <v>2025</v>
      </c>
      <c r="S669" s="10"/>
    </row>
    <row r="670" spans="1:19" x14ac:dyDescent="0.3">
      <c r="A670" t="s">
        <v>26</v>
      </c>
      <c r="B670" t="s">
        <v>20</v>
      </c>
      <c r="C670" s="6" t="s">
        <v>18</v>
      </c>
      <c r="D670" s="6" t="str">
        <f>CONCATENATE(financials[[#This Row],[Segment]],",",financials[[#This Row],[Country]],",",financials[[#This Row],[Product]])</f>
        <v>Enterprise,Germany,Carretera</v>
      </c>
      <c r="E670" s="6" t="s">
        <v>34</v>
      </c>
      <c r="F670">
        <f t="shared" ca="1" si="20"/>
        <v>206</v>
      </c>
      <c r="G670" s="1">
        <f ca="1">VLOOKUP(financials[[#This Row],[ID]],Prices!D:F,2,FALSE)</f>
        <v>20</v>
      </c>
      <c r="H670" s="1">
        <f ca="1">VLOOKUP(financials[[#This Row],[ID]],Prices!D:F,3,FALSE)</f>
        <v>37</v>
      </c>
      <c r="I670" s="1">
        <f ca="1">financials[[#This Row],[Units Sold]]*financials[[#This Row],[Sale Price]]</f>
        <v>7622</v>
      </c>
      <c r="J6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381.1</v>
      </c>
      <c r="K670" s="1">
        <f ca="1">financials[[#This Row],[Gross Sales]]-financials[[#This Row],[Discounts]]</f>
        <v>7240.9</v>
      </c>
      <c r="L670" s="1">
        <f ca="1">financials[[#This Row],[Units Sold]]*financials[[#This Row],[Manufacturing Price]]</f>
        <v>4120</v>
      </c>
      <c r="M670" s="1">
        <f ca="1">financials[[#This Row],[Sales]]-financials[[#This Row],[COGS]]</f>
        <v>3120.8999999999996</v>
      </c>
      <c r="N670" s="7">
        <f t="shared" ca="1" si="21"/>
        <v>45413</v>
      </c>
      <c r="O670" s="8">
        <f ca="1">MONTH(financials[[#This Row],[Date]])</f>
        <v>5</v>
      </c>
      <c r="P670" s="6" t="str">
        <f ca="1">TEXT(financials[[#This Row],[Date]],"MMM")</f>
        <v>May</v>
      </c>
      <c r="Q670">
        <f ca="1">YEAR(financials[[#This Row],[Date]])</f>
        <v>2024</v>
      </c>
      <c r="S670" s="10"/>
    </row>
    <row r="671" spans="1:19" x14ac:dyDescent="0.3">
      <c r="A671" t="s">
        <v>27</v>
      </c>
      <c r="B671" t="s">
        <v>23</v>
      </c>
      <c r="C671" s="6" t="s">
        <v>24</v>
      </c>
      <c r="D671" s="6" t="str">
        <f>CONCATENATE(financials[[#This Row],[Segment]],",",financials[[#This Row],[Country]],",",financials[[#This Row],[Product]])</f>
        <v>Small Business,Mexico,Montana</v>
      </c>
      <c r="E671" s="6" t="s">
        <v>34</v>
      </c>
      <c r="F671">
        <f t="shared" ca="1" si="20"/>
        <v>466</v>
      </c>
      <c r="G671" s="1">
        <f ca="1">VLOOKUP(financials[[#This Row],[ID]],Prices!D:F,2,FALSE)</f>
        <v>20</v>
      </c>
      <c r="H671" s="1">
        <f ca="1">VLOOKUP(financials[[#This Row],[ID]],Prices!D:F,3,FALSE)</f>
        <v>37</v>
      </c>
      <c r="I671" s="1">
        <f ca="1">financials[[#This Row],[Units Sold]]*financials[[#This Row],[Sale Price]]</f>
        <v>17242</v>
      </c>
      <c r="J6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862.1</v>
      </c>
      <c r="K671" s="1">
        <f ca="1">financials[[#This Row],[Gross Sales]]-financials[[#This Row],[Discounts]]</f>
        <v>16379.9</v>
      </c>
      <c r="L671" s="1">
        <f ca="1">financials[[#This Row],[Units Sold]]*financials[[#This Row],[Manufacturing Price]]</f>
        <v>9320</v>
      </c>
      <c r="M671" s="1">
        <f ca="1">financials[[#This Row],[Sales]]-financials[[#This Row],[COGS]]</f>
        <v>7059.9</v>
      </c>
      <c r="N671" s="7">
        <f t="shared" ca="1" si="21"/>
        <v>45253</v>
      </c>
      <c r="O671" s="8">
        <f ca="1">MONTH(financials[[#This Row],[Date]])</f>
        <v>11</v>
      </c>
      <c r="P671" s="6" t="str">
        <f ca="1">TEXT(financials[[#This Row],[Date]],"MMM")</f>
        <v>Nov</v>
      </c>
      <c r="Q671">
        <f ca="1">YEAR(financials[[#This Row],[Date]])</f>
        <v>2023</v>
      </c>
      <c r="S671" s="10"/>
    </row>
    <row r="672" spans="1:19" x14ac:dyDescent="0.3">
      <c r="A672" t="s">
        <v>16</v>
      </c>
      <c r="B672" t="s">
        <v>20</v>
      </c>
      <c r="C672" s="6" t="s">
        <v>28</v>
      </c>
      <c r="D672" s="6" t="str">
        <f>CONCATENATE(financials[[#This Row],[Segment]],",",financials[[#This Row],[Country]],",",financials[[#This Row],[Product]])</f>
        <v>Government,Germany,Paseo</v>
      </c>
      <c r="E672" s="6" t="s">
        <v>34</v>
      </c>
      <c r="F672">
        <f t="shared" ca="1" si="20"/>
        <v>935</v>
      </c>
      <c r="G672" s="1">
        <f ca="1">VLOOKUP(financials[[#This Row],[ID]],Prices!D:F,2,FALSE)</f>
        <v>19</v>
      </c>
      <c r="H672" s="1">
        <f ca="1">VLOOKUP(financials[[#This Row],[ID]],Prices!D:F,3,FALSE)</f>
        <v>37</v>
      </c>
      <c r="I672" s="1">
        <f ca="1">financials[[#This Row],[Units Sold]]*financials[[#This Row],[Sale Price]]</f>
        <v>34595</v>
      </c>
      <c r="J6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1729.75</v>
      </c>
      <c r="K672" s="1">
        <f ca="1">financials[[#This Row],[Gross Sales]]-financials[[#This Row],[Discounts]]</f>
        <v>32865.25</v>
      </c>
      <c r="L672" s="1">
        <f ca="1">financials[[#This Row],[Units Sold]]*financials[[#This Row],[Manufacturing Price]]</f>
        <v>17765</v>
      </c>
      <c r="M672" s="1">
        <f ca="1">financials[[#This Row],[Sales]]-financials[[#This Row],[COGS]]</f>
        <v>15100.25</v>
      </c>
      <c r="N672" s="7">
        <f t="shared" ca="1" si="21"/>
        <v>45635</v>
      </c>
      <c r="O672" s="8">
        <f ca="1">MONTH(financials[[#This Row],[Date]])</f>
        <v>12</v>
      </c>
      <c r="P672" s="6" t="str">
        <f ca="1">TEXT(financials[[#This Row],[Date]],"MMM")</f>
        <v>Dec</v>
      </c>
      <c r="Q672">
        <f ca="1">YEAR(financials[[#This Row],[Date]])</f>
        <v>2024</v>
      </c>
      <c r="S672" s="10"/>
    </row>
    <row r="673" spans="1:19" x14ac:dyDescent="0.3">
      <c r="A673" t="s">
        <v>21</v>
      </c>
      <c r="B673" t="s">
        <v>17</v>
      </c>
      <c r="C673" s="6" t="s">
        <v>28</v>
      </c>
      <c r="D673" s="6" t="str">
        <f>CONCATENATE(financials[[#This Row],[Segment]],",",financials[[#This Row],[Country]],",",financials[[#This Row],[Product]])</f>
        <v>Midmarket,Canada,Paseo</v>
      </c>
      <c r="E673" s="6" t="s">
        <v>34</v>
      </c>
      <c r="F673">
        <f t="shared" ca="1" si="20"/>
        <v>78</v>
      </c>
      <c r="G673" s="1">
        <f ca="1">VLOOKUP(financials[[#This Row],[ID]],Prices!D:F,2,FALSE)</f>
        <v>15</v>
      </c>
      <c r="H673" s="1">
        <f ca="1">VLOOKUP(financials[[#This Row],[ID]],Prices!D:F,3,FALSE)</f>
        <v>36</v>
      </c>
      <c r="I673" s="1">
        <f ca="1">financials[[#This Row],[Units Sold]]*financials[[#This Row],[Sale Price]]</f>
        <v>2808</v>
      </c>
      <c r="J6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140.4</v>
      </c>
      <c r="K673" s="1">
        <f ca="1">financials[[#This Row],[Gross Sales]]-financials[[#This Row],[Discounts]]</f>
        <v>2667.6</v>
      </c>
      <c r="L673" s="1">
        <f ca="1">financials[[#This Row],[Units Sold]]*financials[[#This Row],[Manufacturing Price]]</f>
        <v>1170</v>
      </c>
      <c r="M673" s="1">
        <f ca="1">financials[[#This Row],[Sales]]-financials[[#This Row],[COGS]]</f>
        <v>1497.6</v>
      </c>
      <c r="N673" s="7">
        <f t="shared" ca="1" si="21"/>
        <v>45115</v>
      </c>
      <c r="O673" s="8">
        <f ca="1">MONTH(financials[[#This Row],[Date]])</f>
        <v>7</v>
      </c>
      <c r="P673" s="6" t="str">
        <f ca="1">TEXT(financials[[#This Row],[Date]],"MMM")</f>
        <v>Jul</v>
      </c>
      <c r="Q673">
        <f ca="1">YEAR(financials[[#This Row],[Date]])</f>
        <v>2023</v>
      </c>
      <c r="S673" s="10"/>
    </row>
    <row r="674" spans="1:19" x14ac:dyDescent="0.3">
      <c r="A674" t="s">
        <v>16</v>
      </c>
      <c r="B674" t="s">
        <v>23</v>
      </c>
      <c r="C674" s="6" t="s">
        <v>28</v>
      </c>
      <c r="D674" s="6" t="str">
        <f>CONCATENATE(financials[[#This Row],[Segment]],",",financials[[#This Row],[Country]],",",financials[[#This Row],[Product]])</f>
        <v>Government,Mexico,Paseo</v>
      </c>
      <c r="E674" s="6" t="s">
        <v>34</v>
      </c>
      <c r="F674">
        <f t="shared" ca="1" si="20"/>
        <v>847</v>
      </c>
      <c r="G674" s="1">
        <f ca="1">VLOOKUP(financials[[#This Row],[ID]],Prices!D:F,2,FALSE)</f>
        <v>18</v>
      </c>
      <c r="H674" s="1">
        <f ca="1">VLOOKUP(financials[[#This Row],[ID]],Prices!D:F,3,FALSE)</f>
        <v>19</v>
      </c>
      <c r="I674" s="1">
        <f ca="1">financials[[#This Row],[Units Sold]]*financials[[#This Row],[Sale Price]]</f>
        <v>16093</v>
      </c>
      <c r="J6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804.65000000000009</v>
      </c>
      <c r="K674" s="1">
        <f ca="1">financials[[#This Row],[Gross Sales]]-financials[[#This Row],[Discounts]]</f>
        <v>15288.35</v>
      </c>
      <c r="L674" s="1">
        <f ca="1">financials[[#This Row],[Units Sold]]*financials[[#This Row],[Manufacturing Price]]</f>
        <v>15246</v>
      </c>
      <c r="M674" s="1">
        <f ca="1">financials[[#This Row],[Sales]]-financials[[#This Row],[COGS]]</f>
        <v>42.350000000000364</v>
      </c>
      <c r="N674" s="7">
        <f t="shared" ca="1" si="21"/>
        <v>45125</v>
      </c>
      <c r="O674" s="8">
        <f ca="1">MONTH(financials[[#This Row],[Date]])</f>
        <v>7</v>
      </c>
      <c r="P674" s="6" t="str">
        <f ca="1">TEXT(financials[[#This Row],[Date]],"MMM")</f>
        <v>Jul</v>
      </c>
      <c r="Q674">
        <f ca="1">YEAR(financials[[#This Row],[Date]])</f>
        <v>2023</v>
      </c>
      <c r="S674" s="10"/>
    </row>
    <row r="675" spans="1:19" x14ac:dyDescent="0.3">
      <c r="A675" t="s">
        <v>16</v>
      </c>
      <c r="B675" t="s">
        <v>23</v>
      </c>
      <c r="C675" s="6" t="s">
        <v>28</v>
      </c>
      <c r="D675" s="6" t="str">
        <f>CONCATENATE(financials[[#This Row],[Segment]],",",financials[[#This Row],[Country]],",",financials[[#This Row],[Product]])</f>
        <v>Government,Mexico,Paseo</v>
      </c>
      <c r="E675" s="6" t="s">
        <v>34</v>
      </c>
      <c r="F675">
        <f t="shared" ca="1" si="20"/>
        <v>297</v>
      </c>
      <c r="G675" s="1">
        <f ca="1">VLOOKUP(financials[[#This Row],[ID]],Prices!D:F,2,FALSE)</f>
        <v>18</v>
      </c>
      <c r="H675" s="1">
        <f ca="1">VLOOKUP(financials[[#This Row],[ID]],Prices!D:F,3,FALSE)</f>
        <v>19</v>
      </c>
      <c r="I675" s="1">
        <f ca="1">financials[[#This Row],[Units Sold]]*financials[[#This Row],[Sale Price]]</f>
        <v>5643</v>
      </c>
      <c r="J6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282.15000000000003</v>
      </c>
      <c r="K675" s="1">
        <f ca="1">financials[[#This Row],[Gross Sales]]-financials[[#This Row],[Discounts]]</f>
        <v>5360.85</v>
      </c>
      <c r="L675" s="1">
        <f ca="1">financials[[#This Row],[Units Sold]]*financials[[#This Row],[Manufacturing Price]]</f>
        <v>5346</v>
      </c>
      <c r="M675" s="1">
        <f ca="1">financials[[#This Row],[Sales]]-financials[[#This Row],[COGS]]</f>
        <v>14.850000000000364</v>
      </c>
      <c r="N675" s="7">
        <f t="shared" ca="1" si="21"/>
        <v>45717</v>
      </c>
      <c r="O675" s="8">
        <f ca="1">MONTH(financials[[#This Row],[Date]])</f>
        <v>3</v>
      </c>
      <c r="P675" s="6" t="str">
        <f ca="1">TEXT(financials[[#This Row],[Date]],"MMM")</f>
        <v>Mar</v>
      </c>
      <c r="Q675">
        <f ca="1">YEAR(financials[[#This Row],[Date]])</f>
        <v>2025</v>
      </c>
      <c r="S675" s="10"/>
    </row>
    <row r="676" spans="1:19" x14ac:dyDescent="0.3">
      <c r="A676" t="s">
        <v>21</v>
      </c>
      <c r="B676" t="s">
        <v>17</v>
      </c>
      <c r="C676" s="6" t="s">
        <v>28</v>
      </c>
      <c r="D676" s="6" t="str">
        <f>CONCATENATE(financials[[#This Row],[Segment]],",",financials[[#This Row],[Country]],",",financials[[#This Row],[Product]])</f>
        <v>Midmarket,Canada,Paseo</v>
      </c>
      <c r="E676" s="6" t="s">
        <v>34</v>
      </c>
      <c r="F676">
        <f t="shared" ca="1" si="20"/>
        <v>814</v>
      </c>
      <c r="G676" s="1">
        <f ca="1">VLOOKUP(financials[[#This Row],[ID]],Prices!D:F,2,FALSE)</f>
        <v>15</v>
      </c>
      <c r="H676" s="1">
        <f ca="1">VLOOKUP(financials[[#This Row],[ID]],Prices!D:F,3,FALSE)</f>
        <v>36</v>
      </c>
      <c r="I676" s="1">
        <f ca="1">financials[[#This Row],[Units Sold]]*financials[[#This Row],[Sale Price]]</f>
        <v>29304</v>
      </c>
      <c r="J6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1465.2</v>
      </c>
      <c r="K676" s="1">
        <f ca="1">financials[[#This Row],[Gross Sales]]-financials[[#This Row],[Discounts]]</f>
        <v>27838.799999999999</v>
      </c>
      <c r="L676" s="1">
        <f ca="1">financials[[#This Row],[Units Sold]]*financials[[#This Row],[Manufacturing Price]]</f>
        <v>12210</v>
      </c>
      <c r="M676" s="1">
        <f ca="1">financials[[#This Row],[Sales]]-financials[[#This Row],[COGS]]</f>
        <v>15628.8</v>
      </c>
      <c r="N676" s="7">
        <f t="shared" ca="1" si="21"/>
        <v>45502</v>
      </c>
      <c r="O676" s="8">
        <f ca="1">MONTH(financials[[#This Row],[Date]])</f>
        <v>7</v>
      </c>
      <c r="P676" s="6" t="str">
        <f ca="1">TEXT(financials[[#This Row],[Date]],"MMM")</f>
        <v>Jul</v>
      </c>
      <c r="Q676">
        <f ca="1">YEAR(financials[[#This Row],[Date]])</f>
        <v>2024</v>
      </c>
      <c r="S676" s="10"/>
    </row>
    <row r="677" spans="1:19" x14ac:dyDescent="0.3">
      <c r="A677" t="s">
        <v>16</v>
      </c>
      <c r="B677" t="s">
        <v>36</v>
      </c>
      <c r="C677" s="6" t="s">
        <v>28</v>
      </c>
      <c r="D677" s="6" t="str">
        <f>CONCATENATE(financials[[#This Row],[Segment]],",",financials[[#This Row],[Country]],",",financials[[#This Row],[Product]])</f>
        <v>Government,USA,Paseo</v>
      </c>
      <c r="E677" s="6" t="s">
        <v>34</v>
      </c>
      <c r="F677">
        <f t="shared" ca="1" si="20"/>
        <v>262</v>
      </c>
      <c r="G677" s="1">
        <f ca="1">VLOOKUP(financials[[#This Row],[ID]],Prices!D:F,2,FALSE)</f>
        <v>17</v>
      </c>
      <c r="H677" s="1">
        <f ca="1">VLOOKUP(financials[[#This Row],[ID]],Prices!D:F,3,FALSE)</f>
        <v>36</v>
      </c>
      <c r="I677" s="1">
        <f ca="1">financials[[#This Row],[Units Sold]]*financials[[#This Row],[Sale Price]]</f>
        <v>9432</v>
      </c>
      <c r="J6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471.6</v>
      </c>
      <c r="K677" s="1">
        <f ca="1">financials[[#This Row],[Gross Sales]]-financials[[#This Row],[Discounts]]</f>
        <v>8960.4</v>
      </c>
      <c r="L677" s="1">
        <f ca="1">financials[[#This Row],[Units Sold]]*financials[[#This Row],[Manufacturing Price]]</f>
        <v>4454</v>
      </c>
      <c r="M677" s="1">
        <f ca="1">financials[[#This Row],[Sales]]-financials[[#This Row],[COGS]]</f>
        <v>4506.3999999999996</v>
      </c>
      <c r="N677" s="7">
        <f t="shared" ca="1" si="21"/>
        <v>45741</v>
      </c>
      <c r="O677" s="8">
        <f ca="1">MONTH(financials[[#This Row],[Date]])</f>
        <v>3</v>
      </c>
      <c r="P677" s="6" t="str">
        <f ca="1">TEXT(financials[[#This Row],[Date]],"MMM")</f>
        <v>Mar</v>
      </c>
      <c r="Q677">
        <f ca="1">YEAR(financials[[#This Row],[Date]])</f>
        <v>2025</v>
      </c>
      <c r="S677" s="10"/>
    </row>
    <row r="678" spans="1:19" x14ac:dyDescent="0.3">
      <c r="A678" t="s">
        <v>26</v>
      </c>
      <c r="B678" t="s">
        <v>20</v>
      </c>
      <c r="C678" s="6" t="s">
        <v>28</v>
      </c>
      <c r="D678" s="6" t="str">
        <f>CONCATENATE(financials[[#This Row],[Segment]],",",financials[[#This Row],[Country]],",",financials[[#This Row],[Product]])</f>
        <v>Enterprise,Germany,Paseo</v>
      </c>
      <c r="E678" s="6" t="s">
        <v>34</v>
      </c>
      <c r="F678">
        <f t="shared" ca="1" si="20"/>
        <v>917</v>
      </c>
      <c r="G678" s="1">
        <f ca="1">VLOOKUP(financials[[#This Row],[ID]],Prices!D:F,2,FALSE)</f>
        <v>14</v>
      </c>
      <c r="H678" s="1">
        <f ca="1">VLOOKUP(financials[[#This Row],[ID]],Prices!D:F,3,FALSE)</f>
        <v>18</v>
      </c>
      <c r="I678" s="1">
        <f ca="1">financials[[#This Row],[Units Sold]]*financials[[#This Row],[Sale Price]]</f>
        <v>16506</v>
      </c>
      <c r="J6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825.30000000000007</v>
      </c>
      <c r="K678" s="1">
        <f ca="1">financials[[#This Row],[Gross Sales]]-financials[[#This Row],[Discounts]]</f>
        <v>15680.7</v>
      </c>
      <c r="L678" s="1">
        <f ca="1">financials[[#This Row],[Units Sold]]*financials[[#This Row],[Manufacturing Price]]</f>
        <v>12838</v>
      </c>
      <c r="M678" s="1">
        <f ca="1">financials[[#This Row],[Sales]]-financials[[#This Row],[COGS]]</f>
        <v>2842.7000000000007</v>
      </c>
      <c r="N678" s="7">
        <f t="shared" ca="1" si="21"/>
        <v>45272</v>
      </c>
      <c r="O678" s="8">
        <f ca="1">MONTH(financials[[#This Row],[Date]])</f>
        <v>12</v>
      </c>
      <c r="P678" s="6" t="str">
        <f ca="1">TEXT(financials[[#This Row],[Date]],"MMM")</f>
        <v>Dec</v>
      </c>
      <c r="Q678">
        <f ca="1">YEAR(financials[[#This Row],[Date]])</f>
        <v>2023</v>
      </c>
      <c r="S678" s="10"/>
    </row>
    <row r="679" spans="1:19" x14ac:dyDescent="0.3">
      <c r="A679" t="s">
        <v>21</v>
      </c>
      <c r="B679" t="s">
        <v>20</v>
      </c>
      <c r="C679" s="6" t="s">
        <v>28</v>
      </c>
      <c r="D679" s="6" t="str">
        <f>CONCATENATE(financials[[#This Row],[Segment]],",",financials[[#This Row],[Country]],",",financials[[#This Row],[Product]])</f>
        <v>Midmarket,Germany,Paseo</v>
      </c>
      <c r="E679" s="6" t="s">
        <v>34</v>
      </c>
      <c r="F679">
        <f t="shared" ca="1" si="20"/>
        <v>417</v>
      </c>
      <c r="G679" s="1">
        <f ca="1">VLOOKUP(financials[[#This Row],[ID]],Prices!D:F,2,FALSE)</f>
        <v>19</v>
      </c>
      <c r="H679" s="1">
        <f ca="1">VLOOKUP(financials[[#This Row],[ID]],Prices!D:F,3,FALSE)</f>
        <v>25</v>
      </c>
      <c r="I679" s="1">
        <f ca="1">financials[[#This Row],[Units Sold]]*financials[[#This Row],[Sale Price]]</f>
        <v>10425</v>
      </c>
      <c r="J6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521.25</v>
      </c>
      <c r="K679" s="1">
        <f ca="1">financials[[#This Row],[Gross Sales]]-financials[[#This Row],[Discounts]]</f>
        <v>9903.75</v>
      </c>
      <c r="L679" s="1">
        <f ca="1">financials[[#This Row],[Units Sold]]*financials[[#This Row],[Manufacturing Price]]</f>
        <v>7923</v>
      </c>
      <c r="M679" s="1">
        <f ca="1">financials[[#This Row],[Sales]]-financials[[#This Row],[COGS]]</f>
        <v>1980.75</v>
      </c>
      <c r="N679" s="7">
        <f t="shared" ca="1" si="21"/>
        <v>45233</v>
      </c>
      <c r="O679" s="8">
        <f ca="1">MONTH(financials[[#This Row],[Date]])</f>
        <v>11</v>
      </c>
      <c r="P679" s="6" t="str">
        <f ca="1">TEXT(financials[[#This Row],[Date]],"MMM")</f>
        <v>Nov</v>
      </c>
      <c r="Q679">
        <f ca="1">YEAR(financials[[#This Row],[Date]])</f>
        <v>2023</v>
      </c>
      <c r="S679" s="10"/>
    </row>
    <row r="680" spans="1:19" x14ac:dyDescent="0.3">
      <c r="A680" t="s">
        <v>16</v>
      </c>
      <c r="B680" t="s">
        <v>36</v>
      </c>
      <c r="C680" s="6" t="s">
        <v>28</v>
      </c>
      <c r="D680" s="6" t="str">
        <f>CONCATENATE(financials[[#This Row],[Segment]],",",financials[[#This Row],[Country]],",",financials[[#This Row],[Product]])</f>
        <v>Government,USA,Paseo</v>
      </c>
      <c r="E680" s="6" t="s">
        <v>34</v>
      </c>
      <c r="F680">
        <f t="shared" ca="1" si="20"/>
        <v>699</v>
      </c>
      <c r="G680" s="1">
        <f ca="1">VLOOKUP(financials[[#This Row],[ID]],Prices!D:F,2,FALSE)</f>
        <v>17</v>
      </c>
      <c r="H680" s="1">
        <f ca="1">VLOOKUP(financials[[#This Row],[ID]],Prices!D:F,3,FALSE)</f>
        <v>36</v>
      </c>
      <c r="I680" s="1">
        <f ca="1">financials[[#This Row],[Units Sold]]*financials[[#This Row],[Sale Price]]</f>
        <v>25164</v>
      </c>
      <c r="J6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1258.2</v>
      </c>
      <c r="K680" s="1">
        <f ca="1">financials[[#This Row],[Gross Sales]]-financials[[#This Row],[Discounts]]</f>
        <v>23905.8</v>
      </c>
      <c r="L680" s="1">
        <f ca="1">financials[[#This Row],[Units Sold]]*financials[[#This Row],[Manufacturing Price]]</f>
        <v>11883</v>
      </c>
      <c r="M680" s="1">
        <f ca="1">financials[[#This Row],[Sales]]-financials[[#This Row],[COGS]]</f>
        <v>12022.8</v>
      </c>
      <c r="N680" s="7">
        <f t="shared" ca="1" si="21"/>
        <v>45492</v>
      </c>
      <c r="O680" s="8">
        <f ca="1">MONTH(financials[[#This Row],[Date]])</f>
        <v>7</v>
      </c>
      <c r="P680" s="6" t="str">
        <f ca="1">TEXT(financials[[#This Row],[Date]],"MMM")</f>
        <v>Jul</v>
      </c>
      <c r="Q680">
        <f ca="1">YEAR(financials[[#This Row],[Date]])</f>
        <v>2024</v>
      </c>
      <c r="S680" s="10"/>
    </row>
    <row r="681" spans="1:19" x14ac:dyDescent="0.3">
      <c r="A681" t="s">
        <v>16</v>
      </c>
      <c r="B681" t="s">
        <v>23</v>
      </c>
      <c r="C681" s="6" t="s">
        <v>28</v>
      </c>
      <c r="D681" s="6" t="str">
        <f>CONCATENATE(financials[[#This Row],[Segment]],",",financials[[#This Row],[Country]],",",financials[[#This Row],[Product]])</f>
        <v>Government,Mexico,Paseo</v>
      </c>
      <c r="E681" s="6" t="s">
        <v>34</v>
      </c>
      <c r="F681">
        <f t="shared" ca="1" si="20"/>
        <v>974</v>
      </c>
      <c r="G681" s="1">
        <f ca="1">VLOOKUP(financials[[#This Row],[ID]],Prices!D:F,2,FALSE)</f>
        <v>18</v>
      </c>
      <c r="H681" s="1">
        <f ca="1">VLOOKUP(financials[[#This Row],[ID]],Prices!D:F,3,FALSE)</f>
        <v>19</v>
      </c>
      <c r="I681" s="1">
        <f ca="1">financials[[#This Row],[Units Sold]]*financials[[#This Row],[Sale Price]]</f>
        <v>18506</v>
      </c>
      <c r="J6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925.30000000000007</v>
      </c>
      <c r="K681" s="1">
        <f ca="1">financials[[#This Row],[Gross Sales]]-financials[[#This Row],[Discounts]]</f>
        <v>17580.7</v>
      </c>
      <c r="L681" s="1">
        <f ca="1">financials[[#This Row],[Units Sold]]*financials[[#This Row],[Manufacturing Price]]</f>
        <v>17532</v>
      </c>
      <c r="M681" s="1">
        <f ca="1">financials[[#This Row],[Sales]]-financials[[#This Row],[COGS]]</f>
        <v>48.700000000000728</v>
      </c>
      <c r="N681" s="7">
        <f t="shared" ca="1" si="21"/>
        <v>45101</v>
      </c>
      <c r="O681" s="8">
        <f ca="1">MONTH(financials[[#This Row],[Date]])</f>
        <v>6</v>
      </c>
      <c r="P681" s="6" t="str">
        <f ca="1">TEXT(financials[[#This Row],[Date]],"MMM")</f>
        <v>Jun</v>
      </c>
      <c r="Q681">
        <f ca="1">YEAR(financials[[#This Row],[Date]])</f>
        <v>2023</v>
      </c>
      <c r="S681" s="10"/>
    </row>
    <row r="682" spans="1:19" x14ac:dyDescent="0.3">
      <c r="A682" t="s">
        <v>25</v>
      </c>
      <c r="B682" t="s">
        <v>36</v>
      </c>
      <c r="C682" s="6" t="s">
        <v>28</v>
      </c>
      <c r="D682" s="6" t="str">
        <f>CONCATENATE(financials[[#This Row],[Segment]],",",financials[[#This Row],[Country]],",",financials[[#This Row],[Product]])</f>
        <v>Channel Partners,USA,Paseo</v>
      </c>
      <c r="E682" s="6" t="s">
        <v>34</v>
      </c>
      <c r="F682">
        <f t="shared" ca="1" si="20"/>
        <v>609</v>
      </c>
      <c r="G682" s="1">
        <f ca="1">VLOOKUP(financials[[#This Row],[ID]],Prices!D:F,2,FALSE)</f>
        <v>19</v>
      </c>
      <c r="H682" s="1">
        <f ca="1">VLOOKUP(financials[[#This Row],[ID]],Prices!D:F,3,FALSE)</f>
        <v>26</v>
      </c>
      <c r="I682" s="1">
        <f ca="1">financials[[#This Row],[Units Sold]]*financials[[#This Row],[Sale Price]]</f>
        <v>15834</v>
      </c>
      <c r="J6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791.7</v>
      </c>
      <c r="K682" s="1">
        <f ca="1">financials[[#This Row],[Gross Sales]]-financials[[#This Row],[Discounts]]</f>
        <v>15042.3</v>
      </c>
      <c r="L682" s="1">
        <f ca="1">financials[[#This Row],[Units Sold]]*financials[[#This Row],[Manufacturing Price]]</f>
        <v>11571</v>
      </c>
      <c r="M682" s="1">
        <f ca="1">financials[[#This Row],[Sales]]-financials[[#This Row],[COGS]]</f>
        <v>3471.2999999999993</v>
      </c>
      <c r="N682" s="7">
        <f t="shared" ca="1" si="21"/>
        <v>45128</v>
      </c>
      <c r="O682" s="8">
        <f ca="1">MONTH(financials[[#This Row],[Date]])</f>
        <v>7</v>
      </c>
      <c r="P682" s="6" t="str">
        <f ca="1">TEXT(financials[[#This Row],[Date]],"MMM")</f>
        <v>Jul</v>
      </c>
      <c r="Q682">
        <f ca="1">YEAR(financials[[#This Row],[Date]])</f>
        <v>2023</v>
      </c>
      <c r="S682" s="10"/>
    </row>
    <row r="683" spans="1:19" x14ac:dyDescent="0.3">
      <c r="A683" t="s">
        <v>16</v>
      </c>
      <c r="B683" t="s">
        <v>22</v>
      </c>
      <c r="C683" s="6" t="s">
        <v>28</v>
      </c>
      <c r="D683" s="6" t="str">
        <f>CONCATENATE(financials[[#This Row],[Segment]],",",financials[[#This Row],[Country]],",",financials[[#This Row],[Product]])</f>
        <v>Government,France,Paseo</v>
      </c>
      <c r="E683" s="6" t="s">
        <v>34</v>
      </c>
      <c r="F683">
        <f t="shared" ca="1" si="20"/>
        <v>664</v>
      </c>
      <c r="G683" s="1">
        <f ca="1">VLOOKUP(financials[[#This Row],[ID]],Prices!D:F,2,FALSE)</f>
        <v>14</v>
      </c>
      <c r="H683" s="1">
        <f ca="1">VLOOKUP(financials[[#This Row],[ID]],Prices!D:F,3,FALSE)</f>
        <v>18</v>
      </c>
      <c r="I683" s="1">
        <f ca="1">financials[[#This Row],[Units Sold]]*financials[[#This Row],[Sale Price]]</f>
        <v>11952</v>
      </c>
      <c r="J6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597.6</v>
      </c>
      <c r="K683" s="1">
        <f ca="1">financials[[#This Row],[Gross Sales]]-financials[[#This Row],[Discounts]]</f>
        <v>11354.4</v>
      </c>
      <c r="L683" s="1">
        <f ca="1">financials[[#This Row],[Units Sold]]*financials[[#This Row],[Manufacturing Price]]</f>
        <v>9296</v>
      </c>
      <c r="M683" s="1">
        <f ca="1">financials[[#This Row],[Sales]]-financials[[#This Row],[COGS]]</f>
        <v>2058.3999999999996</v>
      </c>
      <c r="N683" s="7">
        <f t="shared" ca="1" si="21"/>
        <v>45280</v>
      </c>
      <c r="O683" s="8">
        <f ca="1">MONTH(financials[[#This Row],[Date]])</f>
        <v>12</v>
      </c>
      <c r="P683" s="6" t="str">
        <f ca="1">TEXT(financials[[#This Row],[Date]],"MMM")</f>
        <v>Dec</v>
      </c>
      <c r="Q683">
        <f ca="1">YEAR(financials[[#This Row],[Date]])</f>
        <v>2023</v>
      </c>
      <c r="S683" s="10"/>
    </row>
    <row r="684" spans="1:19" x14ac:dyDescent="0.3">
      <c r="A684" t="s">
        <v>25</v>
      </c>
      <c r="B684" t="s">
        <v>23</v>
      </c>
      <c r="C684" s="6" t="s">
        <v>29</v>
      </c>
      <c r="D684" s="6" t="str">
        <f>CONCATENATE(financials[[#This Row],[Segment]],",",financials[[#This Row],[Country]],",",financials[[#This Row],[Product]])</f>
        <v>Channel Partners,Mexico,Velo</v>
      </c>
      <c r="E684" s="6" t="s">
        <v>34</v>
      </c>
      <c r="F684">
        <f t="shared" ca="1" si="20"/>
        <v>748</v>
      </c>
      <c r="G684" s="1">
        <f ca="1">VLOOKUP(financials[[#This Row],[ID]],Prices!D:F,2,FALSE)</f>
        <v>19</v>
      </c>
      <c r="H684" s="1">
        <f ca="1">VLOOKUP(financials[[#This Row],[ID]],Prices!D:F,3,FALSE)</f>
        <v>16</v>
      </c>
      <c r="I684" s="1">
        <f ca="1">financials[[#This Row],[Units Sold]]*financials[[#This Row],[Sale Price]]</f>
        <v>11968</v>
      </c>
      <c r="J6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598.4</v>
      </c>
      <c r="K684" s="1">
        <f ca="1">financials[[#This Row],[Gross Sales]]-financials[[#This Row],[Discounts]]</f>
        <v>11369.6</v>
      </c>
      <c r="L684" s="1">
        <f ca="1">financials[[#This Row],[Units Sold]]*financials[[#This Row],[Manufacturing Price]]</f>
        <v>14212</v>
      </c>
      <c r="M684" s="1">
        <f ca="1">financials[[#This Row],[Sales]]-financials[[#This Row],[COGS]]</f>
        <v>-2842.3999999999996</v>
      </c>
      <c r="N684" s="7">
        <f t="shared" ca="1" si="21"/>
        <v>45502</v>
      </c>
      <c r="O684" s="8">
        <f ca="1">MONTH(financials[[#This Row],[Date]])</f>
        <v>7</v>
      </c>
      <c r="P684" s="6" t="str">
        <f ca="1">TEXT(financials[[#This Row],[Date]],"MMM")</f>
        <v>Jul</v>
      </c>
      <c r="Q684">
        <f ca="1">YEAR(financials[[#This Row],[Date]])</f>
        <v>2024</v>
      </c>
      <c r="S684" s="10"/>
    </row>
    <row r="685" spans="1:19" x14ac:dyDescent="0.3">
      <c r="A685" t="s">
        <v>21</v>
      </c>
      <c r="B685" t="s">
        <v>22</v>
      </c>
      <c r="C685" s="6" t="s">
        <v>29</v>
      </c>
      <c r="D685" s="6" t="str">
        <f>CONCATENATE(financials[[#This Row],[Segment]],",",financials[[#This Row],[Country]],",",financials[[#This Row],[Product]])</f>
        <v>Midmarket,France,Velo</v>
      </c>
      <c r="E685" s="6" t="s">
        <v>34</v>
      </c>
      <c r="F685">
        <f t="shared" ca="1" si="20"/>
        <v>317</v>
      </c>
      <c r="G685" s="1">
        <f ca="1">VLOOKUP(financials[[#This Row],[ID]],Prices!D:F,2,FALSE)</f>
        <v>12</v>
      </c>
      <c r="H685" s="1">
        <f ca="1">VLOOKUP(financials[[#This Row],[ID]],Prices!D:F,3,FALSE)</f>
        <v>28</v>
      </c>
      <c r="I685" s="1">
        <f ca="1">financials[[#This Row],[Units Sold]]*financials[[#This Row],[Sale Price]]</f>
        <v>8876</v>
      </c>
      <c r="J6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443.8</v>
      </c>
      <c r="K685" s="1">
        <f ca="1">financials[[#This Row],[Gross Sales]]-financials[[#This Row],[Discounts]]</f>
        <v>8432.2000000000007</v>
      </c>
      <c r="L685" s="1">
        <f ca="1">financials[[#This Row],[Units Sold]]*financials[[#This Row],[Manufacturing Price]]</f>
        <v>3804</v>
      </c>
      <c r="M685" s="1">
        <f ca="1">financials[[#This Row],[Sales]]-financials[[#This Row],[COGS]]</f>
        <v>4628.2000000000007</v>
      </c>
      <c r="N685" s="7">
        <f t="shared" ca="1" si="21"/>
        <v>45495</v>
      </c>
      <c r="O685" s="8">
        <f ca="1">MONTH(financials[[#This Row],[Date]])</f>
        <v>7</v>
      </c>
      <c r="P685" s="6" t="str">
        <f ca="1">TEXT(financials[[#This Row],[Date]],"MMM")</f>
        <v>Jul</v>
      </c>
      <c r="Q685">
        <f ca="1">YEAR(financials[[#This Row],[Date]])</f>
        <v>2024</v>
      </c>
      <c r="S685" s="10"/>
    </row>
    <row r="686" spans="1:19" x14ac:dyDescent="0.3">
      <c r="A686" t="s">
        <v>26</v>
      </c>
      <c r="B686" t="s">
        <v>22</v>
      </c>
      <c r="C686" s="6" t="s">
        <v>29</v>
      </c>
      <c r="D686" s="6" t="str">
        <f>CONCATENATE(financials[[#This Row],[Segment]],",",financials[[#This Row],[Country]],",",financials[[#This Row],[Product]])</f>
        <v>Enterprise,France,Velo</v>
      </c>
      <c r="E686" s="6" t="s">
        <v>34</v>
      </c>
      <c r="F686">
        <f t="shared" ca="1" si="20"/>
        <v>54</v>
      </c>
      <c r="G686" s="1">
        <f ca="1">VLOOKUP(financials[[#This Row],[ID]],Prices!D:F,2,FALSE)</f>
        <v>20</v>
      </c>
      <c r="H686" s="1">
        <f ca="1">VLOOKUP(financials[[#This Row],[ID]],Prices!D:F,3,FALSE)</f>
        <v>27</v>
      </c>
      <c r="I686" s="1">
        <f ca="1">financials[[#This Row],[Units Sold]]*financials[[#This Row],[Sale Price]]</f>
        <v>1458</v>
      </c>
      <c r="J6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72.900000000000006</v>
      </c>
      <c r="K686" s="1">
        <f ca="1">financials[[#This Row],[Gross Sales]]-financials[[#This Row],[Discounts]]</f>
        <v>1385.1</v>
      </c>
      <c r="L686" s="1">
        <f ca="1">financials[[#This Row],[Units Sold]]*financials[[#This Row],[Manufacturing Price]]</f>
        <v>1080</v>
      </c>
      <c r="M686" s="1">
        <f ca="1">financials[[#This Row],[Sales]]-financials[[#This Row],[COGS]]</f>
        <v>305.09999999999991</v>
      </c>
      <c r="N686" s="7">
        <f t="shared" ca="1" si="21"/>
        <v>45318</v>
      </c>
      <c r="O686" s="8">
        <f ca="1">MONTH(financials[[#This Row],[Date]])</f>
        <v>1</v>
      </c>
      <c r="P686" s="6" t="str">
        <f ca="1">TEXT(financials[[#This Row],[Date]],"MMM")</f>
        <v>Jan</v>
      </c>
      <c r="Q686">
        <f ca="1">YEAR(financials[[#This Row],[Date]])</f>
        <v>2024</v>
      </c>
      <c r="S686" s="10"/>
    </row>
    <row r="687" spans="1:19" x14ac:dyDescent="0.3">
      <c r="A687" t="s">
        <v>27</v>
      </c>
      <c r="B687" t="s">
        <v>36</v>
      </c>
      <c r="C687" s="6" t="s">
        <v>29</v>
      </c>
      <c r="D687" s="6" t="str">
        <f>CONCATENATE(financials[[#This Row],[Segment]],",",financials[[#This Row],[Country]],",",financials[[#This Row],[Product]])</f>
        <v>Small Business,USA,Velo</v>
      </c>
      <c r="E687" s="6" t="s">
        <v>34</v>
      </c>
      <c r="F687">
        <f t="shared" ca="1" si="20"/>
        <v>777</v>
      </c>
      <c r="G687" s="1">
        <f ca="1">VLOOKUP(financials[[#This Row],[ID]],Prices!D:F,2,FALSE)</f>
        <v>13</v>
      </c>
      <c r="H687" s="1">
        <f ca="1">VLOOKUP(financials[[#This Row],[ID]],Prices!D:F,3,FALSE)</f>
        <v>22</v>
      </c>
      <c r="I687" s="1">
        <f ca="1">financials[[#This Row],[Units Sold]]*financials[[#This Row],[Sale Price]]</f>
        <v>17094</v>
      </c>
      <c r="J6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854.7</v>
      </c>
      <c r="K687" s="1">
        <f ca="1">financials[[#This Row],[Gross Sales]]-financials[[#This Row],[Discounts]]</f>
        <v>16239.3</v>
      </c>
      <c r="L687" s="1">
        <f ca="1">financials[[#This Row],[Units Sold]]*financials[[#This Row],[Manufacturing Price]]</f>
        <v>10101</v>
      </c>
      <c r="M687" s="1">
        <f ca="1">financials[[#This Row],[Sales]]-financials[[#This Row],[COGS]]</f>
        <v>6138.2999999999993</v>
      </c>
      <c r="N687" s="7">
        <f t="shared" ca="1" si="21"/>
        <v>45084</v>
      </c>
      <c r="O687" s="8">
        <f ca="1">MONTH(financials[[#This Row],[Date]])</f>
        <v>6</v>
      </c>
      <c r="P687" s="6" t="str">
        <f ca="1">TEXT(financials[[#This Row],[Date]],"MMM")</f>
        <v>Jun</v>
      </c>
      <c r="Q687">
        <f ca="1">YEAR(financials[[#This Row],[Date]])</f>
        <v>2023</v>
      </c>
      <c r="S687" s="10"/>
    </row>
    <row r="688" spans="1:19" x14ac:dyDescent="0.3">
      <c r="A688" t="s">
        <v>26</v>
      </c>
      <c r="B688" t="s">
        <v>36</v>
      </c>
      <c r="C688" s="6" t="s">
        <v>29</v>
      </c>
      <c r="D688" s="6" t="str">
        <f>CONCATENATE(financials[[#This Row],[Segment]],",",financials[[#This Row],[Country]],",",financials[[#This Row],[Product]])</f>
        <v>Enterprise,USA,Velo</v>
      </c>
      <c r="E688" s="6" t="s">
        <v>34</v>
      </c>
      <c r="F688">
        <f t="shared" ca="1" si="20"/>
        <v>52</v>
      </c>
      <c r="G688" s="1">
        <f ca="1">VLOOKUP(financials[[#This Row],[ID]],Prices!D:F,2,FALSE)</f>
        <v>20</v>
      </c>
      <c r="H688" s="1">
        <f ca="1">VLOOKUP(financials[[#This Row],[ID]],Prices!D:F,3,FALSE)</f>
        <v>24</v>
      </c>
      <c r="I688" s="1">
        <f ca="1">financials[[#This Row],[Units Sold]]*financials[[#This Row],[Sale Price]]</f>
        <v>1248</v>
      </c>
      <c r="J6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62.400000000000006</v>
      </c>
      <c r="K688" s="1">
        <f ca="1">financials[[#This Row],[Gross Sales]]-financials[[#This Row],[Discounts]]</f>
        <v>1185.5999999999999</v>
      </c>
      <c r="L688" s="1">
        <f ca="1">financials[[#This Row],[Units Sold]]*financials[[#This Row],[Manufacturing Price]]</f>
        <v>1040</v>
      </c>
      <c r="M688" s="1">
        <f ca="1">financials[[#This Row],[Sales]]-financials[[#This Row],[COGS]]</f>
        <v>145.59999999999991</v>
      </c>
      <c r="N688" s="7">
        <f t="shared" ca="1" si="21"/>
        <v>45720</v>
      </c>
      <c r="O688" s="8">
        <f ca="1">MONTH(financials[[#This Row],[Date]])</f>
        <v>3</v>
      </c>
      <c r="P688" s="6" t="str">
        <f ca="1">TEXT(financials[[#This Row],[Date]],"MMM")</f>
        <v>Mar</v>
      </c>
      <c r="Q688">
        <f ca="1">YEAR(financials[[#This Row],[Date]])</f>
        <v>2025</v>
      </c>
      <c r="S688" s="10"/>
    </row>
    <row r="689" spans="1:19" x14ac:dyDescent="0.3">
      <c r="A689" t="s">
        <v>25</v>
      </c>
      <c r="B689" t="s">
        <v>36</v>
      </c>
      <c r="C689" s="6" t="s">
        <v>29</v>
      </c>
      <c r="D689" s="6" t="str">
        <f>CONCATENATE(financials[[#This Row],[Segment]],",",financials[[#This Row],[Country]],",",financials[[#This Row],[Product]])</f>
        <v>Channel Partners,USA,Velo</v>
      </c>
      <c r="E689" s="6" t="s">
        <v>34</v>
      </c>
      <c r="F689">
        <f t="shared" ca="1" si="20"/>
        <v>230</v>
      </c>
      <c r="G689" s="1">
        <f ca="1">VLOOKUP(financials[[#This Row],[ID]],Prices!D:F,2,FALSE)</f>
        <v>11</v>
      </c>
      <c r="H689" s="1">
        <f ca="1">VLOOKUP(financials[[#This Row],[ID]],Prices!D:F,3,FALSE)</f>
        <v>34</v>
      </c>
      <c r="I689" s="1">
        <f ca="1">financials[[#This Row],[Units Sold]]*financials[[#This Row],[Sale Price]]</f>
        <v>7820</v>
      </c>
      <c r="J6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391</v>
      </c>
      <c r="K689" s="1">
        <f ca="1">financials[[#This Row],[Gross Sales]]-financials[[#This Row],[Discounts]]</f>
        <v>7429</v>
      </c>
      <c r="L689" s="1">
        <f ca="1">financials[[#This Row],[Units Sold]]*financials[[#This Row],[Manufacturing Price]]</f>
        <v>2530</v>
      </c>
      <c r="M689" s="1">
        <f ca="1">financials[[#This Row],[Sales]]-financials[[#This Row],[COGS]]</f>
        <v>4899</v>
      </c>
      <c r="N689" s="7">
        <f t="shared" ca="1" si="21"/>
        <v>45603</v>
      </c>
      <c r="O689" s="8">
        <f ca="1">MONTH(financials[[#This Row],[Date]])</f>
        <v>11</v>
      </c>
      <c r="P689" s="6" t="str">
        <f ca="1">TEXT(financials[[#This Row],[Date]],"MMM")</f>
        <v>Nov</v>
      </c>
      <c r="Q689">
        <f ca="1">YEAR(financials[[#This Row],[Date]])</f>
        <v>2024</v>
      </c>
      <c r="S689" s="10"/>
    </row>
    <row r="690" spans="1:19" x14ac:dyDescent="0.3">
      <c r="A690" t="s">
        <v>16</v>
      </c>
      <c r="B690" t="s">
        <v>17</v>
      </c>
      <c r="C690" s="6" t="s">
        <v>30</v>
      </c>
      <c r="D690" s="6" t="str">
        <f>CONCATENATE(financials[[#This Row],[Segment]],",",financials[[#This Row],[Country]],",",financials[[#This Row],[Product]])</f>
        <v>Government,Canada,VTT</v>
      </c>
      <c r="E690" s="6" t="s">
        <v>34</v>
      </c>
      <c r="F690">
        <f t="shared" ca="1" si="20"/>
        <v>131</v>
      </c>
      <c r="G690" s="1">
        <f ca="1">VLOOKUP(financials[[#This Row],[ID]],Prices!D:F,2,FALSE)</f>
        <v>17</v>
      </c>
      <c r="H690" s="1">
        <f ca="1">VLOOKUP(financials[[#This Row],[ID]],Prices!D:F,3,FALSE)</f>
        <v>38</v>
      </c>
      <c r="I690" s="1">
        <f ca="1">financials[[#This Row],[Units Sold]]*financials[[#This Row],[Sale Price]]</f>
        <v>4978</v>
      </c>
      <c r="J6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248.9</v>
      </c>
      <c r="K690" s="1">
        <f ca="1">financials[[#This Row],[Gross Sales]]-financials[[#This Row],[Discounts]]</f>
        <v>4729.1000000000004</v>
      </c>
      <c r="L690" s="1">
        <f ca="1">financials[[#This Row],[Units Sold]]*financials[[#This Row],[Manufacturing Price]]</f>
        <v>2227</v>
      </c>
      <c r="M690" s="1">
        <f ca="1">financials[[#This Row],[Sales]]-financials[[#This Row],[COGS]]</f>
        <v>2502.1000000000004</v>
      </c>
      <c r="N690" s="7">
        <f t="shared" ca="1" si="21"/>
        <v>45290</v>
      </c>
      <c r="O690" s="8">
        <f ca="1">MONTH(financials[[#This Row],[Date]])</f>
        <v>12</v>
      </c>
      <c r="P690" s="6" t="str">
        <f ca="1">TEXT(financials[[#This Row],[Date]],"MMM")</f>
        <v>Dec</v>
      </c>
      <c r="Q690">
        <f ca="1">YEAR(financials[[#This Row],[Date]])</f>
        <v>2023</v>
      </c>
      <c r="S690" s="10"/>
    </row>
    <row r="691" spans="1:19" x14ac:dyDescent="0.3">
      <c r="A691" t="s">
        <v>21</v>
      </c>
      <c r="B691" t="s">
        <v>20</v>
      </c>
      <c r="C691" s="6" t="s">
        <v>30</v>
      </c>
      <c r="D691" s="6" t="str">
        <f>CONCATENATE(financials[[#This Row],[Segment]],",",financials[[#This Row],[Country]],",",financials[[#This Row],[Product]])</f>
        <v>Midmarket,Germany,VTT</v>
      </c>
      <c r="E691" s="6" t="s">
        <v>34</v>
      </c>
      <c r="F691">
        <f t="shared" ca="1" si="20"/>
        <v>158</v>
      </c>
      <c r="G691" s="1">
        <f ca="1">VLOOKUP(financials[[#This Row],[ID]],Prices!D:F,2,FALSE)</f>
        <v>12</v>
      </c>
      <c r="H691" s="1">
        <f ca="1">VLOOKUP(financials[[#This Row],[ID]],Prices!D:F,3,FALSE)</f>
        <v>17</v>
      </c>
      <c r="I691" s="1">
        <f ca="1">financials[[#This Row],[Units Sold]]*financials[[#This Row],[Sale Price]]</f>
        <v>2686</v>
      </c>
      <c r="J6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134.30000000000001</v>
      </c>
      <c r="K691" s="1">
        <f ca="1">financials[[#This Row],[Gross Sales]]-financials[[#This Row],[Discounts]]</f>
        <v>2551.6999999999998</v>
      </c>
      <c r="L691" s="1">
        <f ca="1">financials[[#This Row],[Units Sold]]*financials[[#This Row],[Manufacturing Price]]</f>
        <v>1896</v>
      </c>
      <c r="M691" s="1">
        <f ca="1">financials[[#This Row],[Sales]]-financials[[#This Row],[COGS]]</f>
        <v>655.69999999999982</v>
      </c>
      <c r="N691" s="7">
        <f t="shared" ca="1" si="21"/>
        <v>45138</v>
      </c>
      <c r="O691" s="8">
        <f ca="1">MONTH(financials[[#This Row],[Date]])</f>
        <v>7</v>
      </c>
      <c r="P691" s="6" t="str">
        <f ca="1">TEXT(financials[[#This Row],[Date]],"MMM")</f>
        <v>Jul</v>
      </c>
      <c r="Q691">
        <f ca="1">YEAR(financials[[#This Row],[Date]])</f>
        <v>2023</v>
      </c>
      <c r="S691" s="10"/>
    </row>
    <row r="692" spans="1:19" x14ac:dyDescent="0.3">
      <c r="A692" t="s">
        <v>16</v>
      </c>
      <c r="B692" t="s">
        <v>36</v>
      </c>
      <c r="C692" s="6" t="s">
        <v>30</v>
      </c>
      <c r="D692" s="6" t="str">
        <f>CONCATENATE(financials[[#This Row],[Segment]],",",financials[[#This Row],[Country]],",",financials[[#This Row],[Product]])</f>
        <v>Government,USA,VTT</v>
      </c>
      <c r="E692" s="6" t="s">
        <v>34</v>
      </c>
      <c r="F692">
        <f t="shared" ca="1" si="20"/>
        <v>737</v>
      </c>
      <c r="G692" s="1">
        <f ca="1">VLOOKUP(financials[[#This Row],[ID]],Prices!D:F,2,FALSE)</f>
        <v>13</v>
      </c>
      <c r="H692" s="1">
        <f ca="1">VLOOKUP(financials[[#This Row],[ID]],Prices!D:F,3,FALSE)</f>
        <v>31</v>
      </c>
      <c r="I692" s="1">
        <f ca="1">financials[[#This Row],[Units Sold]]*financials[[#This Row],[Sale Price]]</f>
        <v>22847</v>
      </c>
      <c r="J6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1142.3500000000001</v>
      </c>
      <c r="K692" s="1">
        <f ca="1">financials[[#This Row],[Gross Sales]]-financials[[#This Row],[Discounts]]</f>
        <v>21704.65</v>
      </c>
      <c r="L692" s="1">
        <f ca="1">financials[[#This Row],[Units Sold]]*financials[[#This Row],[Manufacturing Price]]</f>
        <v>9581</v>
      </c>
      <c r="M692" s="1">
        <f ca="1">financials[[#This Row],[Sales]]-financials[[#This Row],[COGS]]</f>
        <v>12123.650000000001</v>
      </c>
      <c r="N692" s="7">
        <f t="shared" ca="1" si="21"/>
        <v>45400</v>
      </c>
      <c r="O692" s="8">
        <f ca="1">MONTH(financials[[#This Row],[Date]])</f>
        <v>4</v>
      </c>
      <c r="P692" s="6" t="str">
        <f ca="1">TEXT(financials[[#This Row],[Date]],"MMM")</f>
        <v>Apr</v>
      </c>
      <c r="Q692">
        <f ca="1">YEAR(financials[[#This Row],[Date]])</f>
        <v>2024</v>
      </c>
      <c r="S692" s="10"/>
    </row>
    <row r="693" spans="1:19" x14ac:dyDescent="0.3">
      <c r="A693" t="s">
        <v>21</v>
      </c>
      <c r="B693" t="s">
        <v>20</v>
      </c>
      <c r="C693" s="6" t="s">
        <v>30</v>
      </c>
      <c r="D693" s="6" t="str">
        <f>CONCATENATE(financials[[#This Row],[Segment]],",",financials[[#This Row],[Country]],",",financials[[#This Row],[Product]])</f>
        <v>Midmarket,Germany,VTT</v>
      </c>
      <c r="E693" s="6" t="s">
        <v>34</v>
      </c>
      <c r="F693">
        <f t="shared" ca="1" si="20"/>
        <v>344</v>
      </c>
      <c r="G693" s="1">
        <f ca="1">VLOOKUP(financials[[#This Row],[ID]],Prices!D:F,2,FALSE)</f>
        <v>12</v>
      </c>
      <c r="H693" s="1">
        <f ca="1">VLOOKUP(financials[[#This Row],[ID]],Prices!D:F,3,FALSE)</f>
        <v>17</v>
      </c>
      <c r="I693" s="1">
        <f ca="1">financials[[#This Row],[Units Sold]]*financials[[#This Row],[Sale Price]]</f>
        <v>5848</v>
      </c>
      <c r="J6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292.40000000000003</v>
      </c>
      <c r="K693" s="1">
        <f ca="1">financials[[#This Row],[Gross Sales]]-financials[[#This Row],[Discounts]]</f>
        <v>5555.6</v>
      </c>
      <c r="L693" s="1">
        <f ca="1">financials[[#This Row],[Units Sold]]*financials[[#This Row],[Manufacturing Price]]</f>
        <v>4128</v>
      </c>
      <c r="M693" s="1">
        <f ca="1">financials[[#This Row],[Sales]]-financials[[#This Row],[COGS]]</f>
        <v>1427.6000000000004</v>
      </c>
      <c r="N693" s="7">
        <f t="shared" ca="1" si="21"/>
        <v>45467</v>
      </c>
      <c r="O693" s="8">
        <f ca="1">MONTH(financials[[#This Row],[Date]])</f>
        <v>6</v>
      </c>
      <c r="P693" s="6" t="str">
        <f ca="1">TEXT(financials[[#This Row],[Date]],"MMM")</f>
        <v>Jun</v>
      </c>
      <c r="Q693">
        <f ca="1">YEAR(financials[[#This Row],[Date]])</f>
        <v>2024</v>
      </c>
      <c r="S693" s="10"/>
    </row>
    <row r="694" spans="1:19" x14ac:dyDescent="0.3">
      <c r="A694" t="s">
        <v>26</v>
      </c>
      <c r="B694" t="s">
        <v>17</v>
      </c>
      <c r="C694" s="6" t="s">
        <v>30</v>
      </c>
      <c r="D694" s="6" t="str">
        <f>CONCATENATE(financials[[#This Row],[Segment]],",",financials[[#This Row],[Country]],",",financials[[#This Row],[Product]])</f>
        <v>Enterprise,Canada,VTT</v>
      </c>
      <c r="E694" s="6" t="s">
        <v>34</v>
      </c>
      <c r="F694">
        <f t="shared" ca="1" si="20"/>
        <v>92</v>
      </c>
      <c r="G694" s="1">
        <f ca="1">VLOOKUP(financials[[#This Row],[ID]],Prices!D:F,2,FALSE)</f>
        <v>14</v>
      </c>
      <c r="H694" s="1">
        <f ca="1">VLOOKUP(financials[[#This Row],[ID]],Prices!D:F,3,FALSE)</f>
        <v>29</v>
      </c>
      <c r="I694" s="1">
        <f ca="1">financials[[#This Row],[Units Sold]]*financials[[#This Row],[Sale Price]]</f>
        <v>2668</v>
      </c>
      <c r="J6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133.4</v>
      </c>
      <c r="K694" s="1">
        <f ca="1">financials[[#This Row],[Gross Sales]]-financials[[#This Row],[Discounts]]</f>
        <v>2534.6</v>
      </c>
      <c r="L694" s="1">
        <f ca="1">financials[[#This Row],[Units Sold]]*financials[[#This Row],[Manufacturing Price]]</f>
        <v>1288</v>
      </c>
      <c r="M694" s="1">
        <f ca="1">financials[[#This Row],[Sales]]-financials[[#This Row],[COGS]]</f>
        <v>1246.5999999999999</v>
      </c>
      <c r="N694" s="7">
        <f t="shared" ca="1" si="21"/>
        <v>45506</v>
      </c>
      <c r="O694" s="8">
        <f ca="1">MONTH(financials[[#This Row],[Date]])</f>
        <v>8</v>
      </c>
      <c r="P694" s="6" t="str">
        <f ca="1">TEXT(financials[[#This Row],[Date]],"MMM")</f>
        <v>Aug</v>
      </c>
      <c r="Q694">
        <f ca="1">YEAR(financials[[#This Row],[Date]])</f>
        <v>2024</v>
      </c>
      <c r="S694" s="10"/>
    </row>
    <row r="695" spans="1:19" x14ac:dyDescent="0.3">
      <c r="A695" t="s">
        <v>26</v>
      </c>
      <c r="B695" t="s">
        <v>20</v>
      </c>
      <c r="C695" s="6" t="s">
        <v>30</v>
      </c>
      <c r="D695" s="6" t="str">
        <f>CONCATENATE(financials[[#This Row],[Segment]],",",financials[[#This Row],[Country]],",",financials[[#This Row],[Product]])</f>
        <v>Enterprise,Germany,VTT</v>
      </c>
      <c r="E695" s="6" t="s">
        <v>34</v>
      </c>
      <c r="F695">
        <f t="shared" ca="1" si="20"/>
        <v>522</v>
      </c>
      <c r="G695" s="1">
        <f ca="1">VLOOKUP(financials[[#This Row],[ID]],Prices!D:F,2,FALSE)</f>
        <v>14</v>
      </c>
      <c r="H695" s="1">
        <f ca="1">VLOOKUP(financials[[#This Row],[ID]],Prices!D:F,3,FALSE)</f>
        <v>23</v>
      </c>
      <c r="I695" s="1">
        <f ca="1">financials[[#This Row],[Units Sold]]*financials[[#This Row],[Sale Price]]</f>
        <v>12006</v>
      </c>
      <c r="J6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600.30000000000007</v>
      </c>
      <c r="K695" s="1">
        <f ca="1">financials[[#This Row],[Gross Sales]]-financials[[#This Row],[Discounts]]</f>
        <v>11405.7</v>
      </c>
      <c r="L695" s="1">
        <f ca="1">financials[[#This Row],[Units Sold]]*financials[[#This Row],[Manufacturing Price]]</f>
        <v>7308</v>
      </c>
      <c r="M695" s="1">
        <f ca="1">financials[[#This Row],[Sales]]-financials[[#This Row],[COGS]]</f>
        <v>4097.7000000000007</v>
      </c>
      <c r="N695" s="7">
        <f t="shared" ca="1" si="21"/>
        <v>45361</v>
      </c>
      <c r="O695" s="8">
        <f ca="1">MONTH(financials[[#This Row],[Date]])</f>
        <v>3</v>
      </c>
      <c r="P695" s="6" t="str">
        <f ca="1">TEXT(financials[[#This Row],[Date]],"MMM")</f>
        <v>Mar</v>
      </c>
      <c r="Q695">
        <f ca="1">YEAR(financials[[#This Row],[Date]])</f>
        <v>2024</v>
      </c>
      <c r="S695" s="10"/>
    </row>
    <row r="696" spans="1:19" x14ac:dyDescent="0.3">
      <c r="A696" t="s">
        <v>16</v>
      </c>
      <c r="B696" t="s">
        <v>22</v>
      </c>
      <c r="C696" s="6" t="s">
        <v>30</v>
      </c>
      <c r="D696" s="6" t="str">
        <f>CONCATENATE(financials[[#This Row],[Segment]],",",financials[[#This Row],[Country]],",",financials[[#This Row],[Product]])</f>
        <v>Government,France,VTT</v>
      </c>
      <c r="E696" s="6" t="s">
        <v>34</v>
      </c>
      <c r="F696">
        <f t="shared" ca="1" si="20"/>
        <v>439</v>
      </c>
      <c r="G696" s="1">
        <f ca="1">VLOOKUP(financials[[#This Row],[ID]],Prices!D:F,2,FALSE)</f>
        <v>18</v>
      </c>
      <c r="H696" s="1">
        <f ca="1">VLOOKUP(financials[[#This Row],[ID]],Prices!D:F,3,FALSE)</f>
        <v>32</v>
      </c>
      <c r="I696" s="1">
        <f ca="1">financials[[#This Row],[Units Sold]]*financials[[#This Row],[Sale Price]]</f>
        <v>14048</v>
      </c>
      <c r="J6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702.40000000000009</v>
      </c>
      <c r="K696" s="1">
        <f ca="1">financials[[#This Row],[Gross Sales]]-financials[[#This Row],[Discounts]]</f>
        <v>13345.6</v>
      </c>
      <c r="L696" s="1">
        <f ca="1">financials[[#This Row],[Units Sold]]*financials[[#This Row],[Manufacturing Price]]</f>
        <v>7902</v>
      </c>
      <c r="M696" s="1">
        <f ca="1">financials[[#This Row],[Sales]]-financials[[#This Row],[COGS]]</f>
        <v>5443.6</v>
      </c>
      <c r="N696" s="7">
        <f t="shared" ca="1" si="21"/>
        <v>45362</v>
      </c>
      <c r="O696" s="8">
        <f ca="1">MONTH(financials[[#This Row],[Date]])</f>
        <v>3</v>
      </c>
      <c r="P696" s="6" t="str">
        <f ca="1">TEXT(financials[[#This Row],[Date]],"MMM")</f>
        <v>Mar</v>
      </c>
      <c r="Q696">
        <f ca="1">YEAR(financials[[#This Row],[Date]])</f>
        <v>2024</v>
      </c>
      <c r="S696" s="10"/>
    </row>
    <row r="697" spans="1:19" x14ac:dyDescent="0.3">
      <c r="A697" t="s">
        <v>27</v>
      </c>
      <c r="B697" t="s">
        <v>22</v>
      </c>
      <c r="C697" s="6" t="s">
        <v>31</v>
      </c>
      <c r="D697" s="6" t="str">
        <f>CONCATENATE(financials[[#This Row],[Segment]],",",financials[[#This Row],[Country]],",",financials[[#This Row],[Product]])</f>
        <v>Small Business,France,Amarilla</v>
      </c>
      <c r="E697" s="6" t="s">
        <v>34</v>
      </c>
      <c r="F697">
        <f t="shared" ca="1" si="20"/>
        <v>585</v>
      </c>
      <c r="G697" s="1">
        <f ca="1">VLOOKUP(financials[[#This Row],[ID]],Prices!D:F,2,FALSE)</f>
        <v>10</v>
      </c>
      <c r="H697" s="1">
        <f ca="1">VLOOKUP(financials[[#This Row],[ID]],Prices!D:F,3,FALSE)</f>
        <v>38</v>
      </c>
      <c r="I697" s="1">
        <f ca="1">financials[[#This Row],[Units Sold]]*financials[[#This Row],[Sale Price]]</f>
        <v>22230</v>
      </c>
      <c r="J6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1111.5</v>
      </c>
      <c r="K697" s="1">
        <f ca="1">financials[[#This Row],[Gross Sales]]-financials[[#This Row],[Discounts]]</f>
        <v>21118.5</v>
      </c>
      <c r="L697" s="1">
        <f ca="1">financials[[#This Row],[Units Sold]]*financials[[#This Row],[Manufacturing Price]]</f>
        <v>5850</v>
      </c>
      <c r="M697" s="1">
        <f ca="1">financials[[#This Row],[Sales]]-financials[[#This Row],[COGS]]</f>
        <v>15268.5</v>
      </c>
      <c r="N697" s="7">
        <f t="shared" ca="1" si="21"/>
        <v>45731</v>
      </c>
      <c r="O697" s="8">
        <f ca="1">MONTH(financials[[#This Row],[Date]])</f>
        <v>3</v>
      </c>
      <c r="P697" s="6" t="str">
        <f ca="1">TEXT(financials[[#This Row],[Date]],"MMM")</f>
        <v>Mar</v>
      </c>
      <c r="Q697">
        <f ca="1">YEAR(financials[[#This Row],[Date]])</f>
        <v>2025</v>
      </c>
      <c r="S697" s="10"/>
    </row>
    <row r="698" spans="1:19" x14ac:dyDescent="0.3">
      <c r="A698" t="s">
        <v>27</v>
      </c>
      <c r="B698" t="s">
        <v>23</v>
      </c>
      <c r="C698" s="6" t="s">
        <v>31</v>
      </c>
      <c r="D698" s="6" t="str">
        <f>CONCATENATE(financials[[#This Row],[Segment]],",",financials[[#This Row],[Country]],",",financials[[#This Row],[Product]])</f>
        <v>Small Business,Mexico,Amarilla</v>
      </c>
      <c r="E698" s="6" t="s">
        <v>34</v>
      </c>
      <c r="F698">
        <f t="shared" ca="1" si="20"/>
        <v>975</v>
      </c>
      <c r="G698" s="1">
        <f ca="1">VLOOKUP(financials[[#This Row],[ID]],Prices!D:F,2,FALSE)</f>
        <v>14</v>
      </c>
      <c r="H698" s="1">
        <f ca="1">VLOOKUP(financials[[#This Row],[ID]],Prices!D:F,3,FALSE)</f>
        <v>33</v>
      </c>
      <c r="I698" s="1">
        <f ca="1">financials[[#This Row],[Units Sold]]*financials[[#This Row],[Sale Price]]</f>
        <v>32175</v>
      </c>
      <c r="J6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1608.75</v>
      </c>
      <c r="K698" s="1">
        <f ca="1">financials[[#This Row],[Gross Sales]]-financials[[#This Row],[Discounts]]</f>
        <v>30566.25</v>
      </c>
      <c r="L698" s="1">
        <f ca="1">financials[[#This Row],[Units Sold]]*financials[[#This Row],[Manufacturing Price]]</f>
        <v>13650</v>
      </c>
      <c r="M698" s="1">
        <f ca="1">financials[[#This Row],[Sales]]-financials[[#This Row],[COGS]]</f>
        <v>16916.25</v>
      </c>
      <c r="N698" s="7">
        <f t="shared" ca="1" si="21"/>
        <v>45450</v>
      </c>
      <c r="O698" s="8">
        <f ca="1">MONTH(financials[[#This Row],[Date]])</f>
        <v>6</v>
      </c>
      <c r="P698" s="6" t="str">
        <f ca="1">TEXT(financials[[#This Row],[Date]],"MMM")</f>
        <v>Jun</v>
      </c>
      <c r="Q698">
        <f ca="1">YEAR(financials[[#This Row],[Date]])</f>
        <v>2024</v>
      </c>
      <c r="S698" s="10"/>
    </row>
    <row r="699" spans="1:19" x14ac:dyDescent="0.3">
      <c r="A699" t="s">
        <v>16</v>
      </c>
      <c r="B699" t="s">
        <v>23</v>
      </c>
      <c r="C699" s="6" t="s">
        <v>24</v>
      </c>
      <c r="D699" s="6" t="str">
        <f>CONCATENATE(financials[[#This Row],[Segment]],",",financials[[#This Row],[Country]],",",financials[[#This Row],[Product]])</f>
        <v>Government,Mexico,Montana</v>
      </c>
      <c r="E699" s="6" t="s">
        <v>34</v>
      </c>
      <c r="F699">
        <f t="shared" ca="1" si="20"/>
        <v>174</v>
      </c>
      <c r="G699" s="1">
        <f ca="1">VLOOKUP(financials[[#This Row],[ID]],Prices!D:F,2,FALSE)</f>
        <v>19</v>
      </c>
      <c r="H699" s="1">
        <f ca="1">VLOOKUP(financials[[#This Row],[ID]],Prices!D:F,3,FALSE)</f>
        <v>20</v>
      </c>
      <c r="I699" s="1">
        <f ca="1">financials[[#This Row],[Units Sold]]*financials[[#This Row],[Sale Price]]</f>
        <v>3480</v>
      </c>
      <c r="J6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174</v>
      </c>
      <c r="K699" s="1">
        <f ca="1">financials[[#This Row],[Gross Sales]]-financials[[#This Row],[Discounts]]</f>
        <v>3306</v>
      </c>
      <c r="L699" s="1">
        <f ca="1">financials[[#This Row],[Units Sold]]*financials[[#This Row],[Manufacturing Price]]</f>
        <v>3306</v>
      </c>
      <c r="M699" s="1">
        <f ca="1">financials[[#This Row],[Sales]]-financials[[#This Row],[COGS]]</f>
        <v>0</v>
      </c>
      <c r="N699" s="7">
        <f t="shared" ca="1" si="21"/>
        <v>45380</v>
      </c>
      <c r="O699" s="8">
        <f ca="1">MONTH(financials[[#This Row],[Date]])</f>
        <v>3</v>
      </c>
      <c r="P699" s="6" t="str">
        <f ca="1">TEXT(financials[[#This Row],[Date]],"MMM")</f>
        <v>Mar</v>
      </c>
      <c r="Q699">
        <f ca="1">YEAR(financials[[#This Row],[Date]])</f>
        <v>2024</v>
      </c>
      <c r="S699" s="10"/>
    </row>
    <row r="700" spans="1:19" x14ac:dyDescent="0.3">
      <c r="A700" t="s">
        <v>16</v>
      </c>
      <c r="B700" t="s">
        <v>17</v>
      </c>
      <c r="C700" s="6" t="s">
        <v>28</v>
      </c>
      <c r="D700" s="6" t="str">
        <f>CONCATENATE(financials[[#This Row],[Segment]],",",financials[[#This Row],[Country]],",",financials[[#This Row],[Product]])</f>
        <v>Government,Canada,Paseo</v>
      </c>
      <c r="E700" s="6" t="s">
        <v>34</v>
      </c>
      <c r="F700">
        <f t="shared" ca="1" si="20"/>
        <v>485</v>
      </c>
      <c r="G700" s="1">
        <f ca="1">VLOOKUP(financials[[#This Row],[ID]],Prices!D:F,2,FALSE)</f>
        <v>10</v>
      </c>
      <c r="H700" s="1">
        <f ca="1">VLOOKUP(financials[[#This Row],[ID]],Prices!D:F,3,FALSE)</f>
        <v>23</v>
      </c>
      <c r="I700" s="1">
        <f ca="1">financials[[#This Row],[Units Sold]]*financials[[#This Row],[Sale Price]]</f>
        <v>11155</v>
      </c>
      <c r="J7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557.75</v>
      </c>
      <c r="K700" s="1">
        <f ca="1">financials[[#This Row],[Gross Sales]]-financials[[#This Row],[Discounts]]</f>
        <v>10597.25</v>
      </c>
      <c r="L700" s="1">
        <f ca="1">financials[[#This Row],[Units Sold]]*financials[[#This Row],[Manufacturing Price]]</f>
        <v>4850</v>
      </c>
      <c r="M700" s="1">
        <f ca="1">financials[[#This Row],[Sales]]-financials[[#This Row],[COGS]]</f>
        <v>5747.25</v>
      </c>
      <c r="N700" s="7">
        <f t="shared" ca="1" si="21"/>
        <v>45455</v>
      </c>
      <c r="O700" s="8">
        <f ca="1">MONTH(financials[[#This Row],[Date]])</f>
        <v>6</v>
      </c>
      <c r="P700" s="6" t="str">
        <f ca="1">TEXT(financials[[#This Row],[Date]],"MMM")</f>
        <v>Jun</v>
      </c>
      <c r="Q700">
        <f ca="1">YEAR(financials[[#This Row],[Date]])</f>
        <v>2024</v>
      </c>
      <c r="S700" s="10"/>
    </row>
    <row r="701" spans="1:19" x14ac:dyDescent="0.3">
      <c r="A701" t="s">
        <v>25</v>
      </c>
      <c r="B701" t="s">
        <v>36</v>
      </c>
      <c r="C701" s="6" t="s">
        <v>30</v>
      </c>
      <c r="D701" s="6" t="str">
        <f>CONCATENATE(financials[[#This Row],[Segment]],",",financials[[#This Row],[Country]],",",financials[[#This Row],[Product]])</f>
        <v>Channel Partners,USA,VTT</v>
      </c>
      <c r="E701" s="6" t="s">
        <v>34</v>
      </c>
      <c r="F701">
        <f t="shared" ca="1" si="20"/>
        <v>412</v>
      </c>
      <c r="G701" s="1">
        <f ca="1">VLOOKUP(financials[[#This Row],[ID]],Prices!D:F,2,FALSE)</f>
        <v>20</v>
      </c>
      <c r="H701" s="1">
        <f ca="1">VLOOKUP(financials[[#This Row],[ID]],Prices!D:F,3,FALSE)</f>
        <v>38</v>
      </c>
      <c r="I701" s="1">
        <f ca="1">financials[[#This Row],[Units Sold]]*financials[[#This Row],[Sale Price]]</f>
        <v>15656</v>
      </c>
      <c r="J7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782.80000000000007</v>
      </c>
      <c r="K701" s="1">
        <f ca="1">financials[[#This Row],[Gross Sales]]-financials[[#This Row],[Discounts]]</f>
        <v>14873.2</v>
      </c>
      <c r="L701" s="1">
        <f ca="1">financials[[#This Row],[Units Sold]]*financials[[#This Row],[Manufacturing Price]]</f>
        <v>8240</v>
      </c>
      <c r="M701" s="1">
        <f ca="1">financials[[#This Row],[Sales]]-financials[[#This Row],[COGS]]</f>
        <v>6633.2000000000007</v>
      </c>
      <c r="N701" s="7">
        <f t="shared" ca="1" si="21"/>
        <v>45576</v>
      </c>
      <c r="O701" s="8">
        <f ca="1">MONTH(financials[[#This Row],[Date]])</f>
        <v>10</v>
      </c>
      <c r="P701" s="6" t="str">
        <f ca="1">TEXT(financials[[#This Row],[Date]],"MMM")</f>
        <v>Oct</v>
      </c>
      <c r="Q701">
        <f ca="1">YEAR(financials[[#This Row],[Date]])</f>
        <v>2024</v>
      </c>
      <c r="S701" s="10"/>
    </row>
    <row r="702" spans="1:19" x14ac:dyDescent="0.3">
      <c r="A702" t="s">
        <v>16</v>
      </c>
      <c r="B702" t="s">
        <v>17</v>
      </c>
      <c r="C702" s="6" t="s">
        <v>18</v>
      </c>
      <c r="D702" s="6" t="str">
        <f>CONCATENATE(financials[[#This Row],[Segment]],",",financials[[#This Row],[Country]],",",financials[[#This Row],[Product]])</f>
        <v>Government,Canada,Carretera</v>
      </c>
      <c r="E702" s="6" t="s">
        <v>19</v>
      </c>
      <c r="F702">
        <f t="shared" ca="1" si="20"/>
        <v>155</v>
      </c>
      <c r="G702" s="1">
        <f ca="1">VLOOKUP(financials[[#This Row],[ID]],Prices!D:F,2,FALSE)</f>
        <v>20</v>
      </c>
      <c r="H702" s="1">
        <f ca="1">VLOOKUP(financials[[#This Row],[ID]],Prices!D:F,3,FALSE)</f>
        <v>29</v>
      </c>
      <c r="I702" s="1">
        <f ca="1">financials[[#This Row],[Units Sold]]*financials[[#This Row],[Sale Price]]</f>
        <v>4495</v>
      </c>
      <c r="J7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224.75</v>
      </c>
      <c r="K702" s="1">
        <f ca="1">financials[[#This Row],[Gross Sales]]-financials[[#This Row],[Discounts]]</f>
        <v>4270.25</v>
      </c>
      <c r="L702" s="1">
        <f ca="1">financials[[#This Row],[Units Sold]]*financials[[#This Row],[Manufacturing Price]]</f>
        <v>3100</v>
      </c>
      <c r="M702" s="1">
        <f ca="1">financials[[#This Row],[Sales]]-financials[[#This Row],[COGS]]</f>
        <v>1170.25</v>
      </c>
      <c r="N702" s="7">
        <f t="shared" ca="1" si="21"/>
        <v>45034</v>
      </c>
      <c r="O702" s="8">
        <f ca="1">MONTH(financials[[#This Row],[Date]])</f>
        <v>4</v>
      </c>
      <c r="P702" s="6" t="str">
        <f ca="1">TEXT(financials[[#This Row],[Date]],"MMM")</f>
        <v>Apr</v>
      </c>
      <c r="Q702">
        <f ca="1">YEAR(financials[[#This Row],[Date]])</f>
        <v>2023</v>
      </c>
    </row>
    <row r="703" spans="1:19" x14ac:dyDescent="0.3">
      <c r="A703" t="s">
        <v>16</v>
      </c>
      <c r="B703" t="s">
        <v>20</v>
      </c>
      <c r="C703" s="6" t="s">
        <v>18</v>
      </c>
      <c r="D703" s="6" t="str">
        <f>CONCATENATE(financials[[#This Row],[Segment]],",",financials[[#This Row],[Country]],",",financials[[#This Row],[Product]])</f>
        <v>Government,Germany,Carretera</v>
      </c>
      <c r="E703" s="6" t="s">
        <v>19</v>
      </c>
      <c r="F703">
        <f t="shared" ca="1" si="20"/>
        <v>693</v>
      </c>
      <c r="G703" s="1">
        <f ca="1">VLOOKUP(financials[[#This Row],[ID]],Prices!D:F,2,FALSE)</f>
        <v>13</v>
      </c>
      <c r="H703" s="1">
        <f ca="1">VLOOKUP(financials[[#This Row],[ID]],Prices!D:F,3,FALSE)</f>
        <v>22</v>
      </c>
      <c r="I703" s="1">
        <f ca="1">financials[[#This Row],[Units Sold]]*financials[[#This Row],[Sale Price]]</f>
        <v>15246</v>
      </c>
      <c r="J7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762.30000000000007</v>
      </c>
      <c r="K703" s="1">
        <f ca="1">financials[[#This Row],[Gross Sales]]-financials[[#This Row],[Discounts]]</f>
        <v>14483.7</v>
      </c>
      <c r="L703" s="1">
        <f ca="1">financials[[#This Row],[Units Sold]]*financials[[#This Row],[Manufacturing Price]]</f>
        <v>9009</v>
      </c>
      <c r="M703" s="1">
        <f ca="1">financials[[#This Row],[Sales]]-financials[[#This Row],[COGS]]</f>
        <v>5474.7000000000007</v>
      </c>
      <c r="N703" s="7">
        <f t="shared" ca="1" si="21"/>
        <v>45478</v>
      </c>
      <c r="O703" s="8">
        <f ca="1">MONTH(financials[[#This Row],[Date]])</f>
        <v>7</v>
      </c>
      <c r="P703" s="6" t="str">
        <f ca="1">TEXT(financials[[#This Row],[Date]],"MMM")</f>
        <v>Jul</v>
      </c>
      <c r="Q703">
        <f ca="1">YEAR(financials[[#This Row],[Date]])</f>
        <v>2024</v>
      </c>
    </row>
    <row r="704" spans="1:19" x14ac:dyDescent="0.3">
      <c r="A704" t="s">
        <v>21</v>
      </c>
      <c r="B704" t="s">
        <v>22</v>
      </c>
      <c r="C704" s="6" t="s">
        <v>18</v>
      </c>
      <c r="D704" s="6" t="str">
        <f>CONCATENATE(financials[[#This Row],[Segment]],",",financials[[#This Row],[Country]],",",financials[[#This Row],[Product]])</f>
        <v>Midmarket,France,Carretera</v>
      </c>
      <c r="E704" s="6" t="s">
        <v>19</v>
      </c>
      <c r="F704">
        <f t="shared" ca="1" si="20"/>
        <v>500</v>
      </c>
      <c r="G704" s="1">
        <f ca="1">VLOOKUP(financials[[#This Row],[ID]],Prices!D:F,2,FALSE)</f>
        <v>19</v>
      </c>
      <c r="H704" s="1">
        <f ca="1">VLOOKUP(financials[[#This Row],[ID]],Prices!D:F,3,FALSE)</f>
        <v>32</v>
      </c>
      <c r="I704" s="1">
        <f ca="1">financials[[#This Row],[Units Sold]]*financials[[#This Row],[Sale Price]]</f>
        <v>16000</v>
      </c>
      <c r="J7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800</v>
      </c>
      <c r="K704" s="1">
        <f ca="1">financials[[#This Row],[Gross Sales]]-financials[[#This Row],[Discounts]]</f>
        <v>15200</v>
      </c>
      <c r="L704" s="1">
        <f ca="1">financials[[#This Row],[Units Sold]]*financials[[#This Row],[Manufacturing Price]]</f>
        <v>9500</v>
      </c>
      <c r="M704" s="1">
        <f ca="1">financials[[#This Row],[Sales]]-financials[[#This Row],[COGS]]</f>
        <v>5700</v>
      </c>
      <c r="N704" s="7">
        <f t="shared" ca="1" si="21"/>
        <v>45288</v>
      </c>
      <c r="O704" s="8">
        <f ca="1">MONTH(financials[[#This Row],[Date]])</f>
        <v>12</v>
      </c>
      <c r="P704" s="6" t="str">
        <f ca="1">TEXT(financials[[#This Row],[Date]],"MMM")</f>
        <v>Dec</v>
      </c>
      <c r="Q704">
        <f ca="1">YEAR(financials[[#This Row],[Date]])</f>
        <v>2023</v>
      </c>
    </row>
    <row r="705" spans="1:17" x14ac:dyDescent="0.3">
      <c r="A705" t="s">
        <v>21</v>
      </c>
      <c r="B705" t="s">
        <v>20</v>
      </c>
      <c r="C705" s="6" t="s">
        <v>18</v>
      </c>
      <c r="D705" s="6" t="str">
        <f>CONCATENATE(financials[[#This Row],[Segment]],",",financials[[#This Row],[Country]],",",financials[[#This Row],[Product]])</f>
        <v>Midmarket,Germany,Carretera</v>
      </c>
      <c r="E705" s="6" t="s">
        <v>19</v>
      </c>
      <c r="F705">
        <f t="shared" ca="1" si="20"/>
        <v>831</v>
      </c>
      <c r="G705" s="1">
        <f ca="1">VLOOKUP(financials[[#This Row],[ID]],Prices!D:F,2,FALSE)</f>
        <v>17</v>
      </c>
      <c r="H705" s="1">
        <f ca="1">VLOOKUP(financials[[#This Row],[ID]],Prices!D:F,3,FALSE)</f>
        <v>28</v>
      </c>
      <c r="I705" s="1">
        <f ca="1">financials[[#This Row],[Units Sold]]*financials[[#This Row],[Sale Price]]</f>
        <v>23268</v>
      </c>
      <c r="J7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1163.4000000000001</v>
      </c>
      <c r="K705" s="1">
        <f ca="1">financials[[#This Row],[Gross Sales]]-financials[[#This Row],[Discounts]]</f>
        <v>22104.6</v>
      </c>
      <c r="L705" s="1">
        <f ca="1">financials[[#This Row],[Units Sold]]*financials[[#This Row],[Manufacturing Price]]</f>
        <v>14127</v>
      </c>
      <c r="M705" s="1">
        <f ca="1">financials[[#This Row],[Sales]]-financials[[#This Row],[COGS]]</f>
        <v>7977.5999999999985</v>
      </c>
      <c r="N705" s="7">
        <f t="shared" ca="1" si="21"/>
        <v>45067</v>
      </c>
      <c r="O705" s="8">
        <f ca="1">MONTH(financials[[#This Row],[Date]])</f>
        <v>5</v>
      </c>
      <c r="P705" s="6" t="str">
        <f ca="1">TEXT(financials[[#This Row],[Date]],"MMM")</f>
        <v>May</v>
      </c>
      <c r="Q705">
        <f ca="1">YEAR(financials[[#This Row],[Date]])</f>
        <v>2023</v>
      </c>
    </row>
    <row r="706" spans="1:17" x14ac:dyDescent="0.3">
      <c r="A706" t="s">
        <v>21</v>
      </c>
      <c r="B706" t="s">
        <v>23</v>
      </c>
      <c r="C706" s="6" t="s">
        <v>18</v>
      </c>
      <c r="D706" s="6" t="str">
        <f>CONCATENATE(financials[[#This Row],[Segment]],",",financials[[#This Row],[Country]],",",financials[[#This Row],[Product]])</f>
        <v>Midmarket,Mexico,Carretera</v>
      </c>
      <c r="E706" s="6" t="s">
        <v>19</v>
      </c>
      <c r="F706">
        <f t="shared" ca="1" si="20"/>
        <v>322</v>
      </c>
      <c r="G706" s="1">
        <f ca="1">VLOOKUP(financials[[#This Row],[ID]],Prices!D:F,2,FALSE)</f>
        <v>16</v>
      </c>
      <c r="H706" s="1">
        <f ca="1">VLOOKUP(financials[[#This Row],[ID]],Prices!D:F,3,FALSE)</f>
        <v>21</v>
      </c>
      <c r="I706" s="1">
        <f ca="1">financials[[#This Row],[Units Sold]]*financials[[#This Row],[Sale Price]]</f>
        <v>6762</v>
      </c>
      <c r="J7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338.1</v>
      </c>
      <c r="K706" s="1">
        <f ca="1">financials[[#This Row],[Gross Sales]]-financials[[#This Row],[Discounts]]</f>
        <v>6423.9</v>
      </c>
      <c r="L706" s="1">
        <f ca="1">financials[[#This Row],[Units Sold]]*financials[[#This Row],[Manufacturing Price]]</f>
        <v>5152</v>
      </c>
      <c r="M706" s="1">
        <f ca="1">financials[[#This Row],[Sales]]-financials[[#This Row],[COGS]]</f>
        <v>1271.8999999999996</v>
      </c>
      <c r="N706" s="7">
        <f t="shared" ca="1" si="21"/>
        <v>45610</v>
      </c>
      <c r="O706" s="8">
        <f ca="1">MONTH(financials[[#This Row],[Date]])</f>
        <v>11</v>
      </c>
      <c r="P706" s="6" t="str">
        <f ca="1">TEXT(financials[[#This Row],[Date]],"MMM")</f>
        <v>Nov</v>
      </c>
      <c r="Q706">
        <f ca="1">YEAR(financials[[#This Row],[Date]])</f>
        <v>2024</v>
      </c>
    </row>
    <row r="707" spans="1:17" x14ac:dyDescent="0.3">
      <c r="A707" t="s">
        <v>16</v>
      </c>
      <c r="B707" t="s">
        <v>20</v>
      </c>
      <c r="C707" s="6" t="s">
        <v>18</v>
      </c>
      <c r="D707" s="6" t="str">
        <f>CONCATENATE(financials[[#This Row],[Segment]],",",financials[[#This Row],[Country]],",",financials[[#This Row],[Product]])</f>
        <v>Government,Germany,Carretera</v>
      </c>
      <c r="E707" s="6" t="s">
        <v>19</v>
      </c>
      <c r="F707">
        <f t="shared" ref="F707:F770" ca="1" si="22">RANDBETWEEN(10,1000)</f>
        <v>958</v>
      </c>
      <c r="G707" s="1">
        <f ca="1">VLOOKUP(financials[[#This Row],[ID]],Prices!D:F,2,FALSE)</f>
        <v>13</v>
      </c>
      <c r="H707" s="1">
        <f ca="1">VLOOKUP(financials[[#This Row],[ID]],Prices!D:F,3,FALSE)</f>
        <v>22</v>
      </c>
      <c r="I707" s="1">
        <f ca="1">financials[[#This Row],[Units Sold]]*financials[[#This Row],[Sale Price]]</f>
        <v>21076</v>
      </c>
      <c r="J7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1053.8</v>
      </c>
      <c r="K707" s="1">
        <f ca="1">financials[[#This Row],[Gross Sales]]-financials[[#This Row],[Discounts]]</f>
        <v>20022.2</v>
      </c>
      <c r="L707" s="1">
        <f ca="1">financials[[#This Row],[Units Sold]]*financials[[#This Row],[Manufacturing Price]]</f>
        <v>12454</v>
      </c>
      <c r="M707" s="1">
        <f ca="1">financials[[#This Row],[Sales]]-financials[[#This Row],[COGS]]</f>
        <v>7568.2000000000007</v>
      </c>
      <c r="N707" s="7">
        <f t="shared" ref="N707:N770" ca="1" si="23">TODAY()-RANDBETWEEN(1,732)</f>
        <v>45430</v>
      </c>
      <c r="O707" s="8">
        <f ca="1">MONTH(financials[[#This Row],[Date]])</f>
        <v>5</v>
      </c>
      <c r="P707" s="6" t="str">
        <f ca="1">TEXT(financials[[#This Row],[Date]],"MMM")</f>
        <v>May</v>
      </c>
      <c r="Q707">
        <f ca="1">YEAR(financials[[#This Row],[Date]])</f>
        <v>2024</v>
      </c>
    </row>
    <row r="708" spans="1:17" x14ac:dyDescent="0.3">
      <c r="A708" t="s">
        <v>21</v>
      </c>
      <c r="B708" t="s">
        <v>20</v>
      </c>
      <c r="C708" s="6" t="s">
        <v>24</v>
      </c>
      <c r="D708" s="6" t="str">
        <f>CONCATENATE(financials[[#This Row],[Segment]],",",financials[[#This Row],[Country]],",",financials[[#This Row],[Product]])</f>
        <v>Midmarket,Germany,Montana</v>
      </c>
      <c r="E708" s="6" t="s">
        <v>19</v>
      </c>
      <c r="F708">
        <f t="shared" ca="1" si="22"/>
        <v>835</v>
      </c>
      <c r="G708" s="1">
        <f ca="1">VLOOKUP(financials[[#This Row],[ID]],Prices!D:F,2,FALSE)</f>
        <v>19</v>
      </c>
      <c r="H708" s="1">
        <f ca="1">VLOOKUP(financials[[#This Row],[ID]],Prices!D:F,3,FALSE)</f>
        <v>34</v>
      </c>
      <c r="I708" s="1">
        <f ca="1">financials[[#This Row],[Units Sold]]*financials[[#This Row],[Sale Price]]</f>
        <v>28390</v>
      </c>
      <c r="J7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1419.5</v>
      </c>
      <c r="K708" s="1">
        <f ca="1">financials[[#This Row],[Gross Sales]]-financials[[#This Row],[Discounts]]</f>
        <v>26970.5</v>
      </c>
      <c r="L708" s="1">
        <f ca="1">financials[[#This Row],[Units Sold]]*financials[[#This Row],[Manufacturing Price]]</f>
        <v>15865</v>
      </c>
      <c r="M708" s="1">
        <f ca="1">financials[[#This Row],[Sales]]-financials[[#This Row],[COGS]]</f>
        <v>11105.5</v>
      </c>
      <c r="N708" s="7">
        <f t="shared" ca="1" si="23"/>
        <v>45029</v>
      </c>
      <c r="O708" s="8">
        <f ca="1">MONTH(financials[[#This Row],[Date]])</f>
        <v>4</v>
      </c>
      <c r="P708" s="6" t="str">
        <f ca="1">TEXT(financials[[#This Row],[Date]],"MMM")</f>
        <v>Apr</v>
      </c>
      <c r="Q708">
        <f ca="1">YEAR(financials[[#This Row],[Date]])</f>
        <v>2023</v>
      </c>
    </row>
    <row r="709" spans="1:17" x14ac:dyDescent="0.3">
      <c r="A709" t="s">
        <v>25</v>
      </c>
      <c r="B709" t="s">
        <v>17</v>
      </c>
      <c r="C709" s="6" t="s">
        <v>24</v>
      </c>
      <c r="D709" s="6" t="str">
        <f>CONCATENATE(financials[[#This Row],[Segment]],",",financials[[#This Row],[Country]],",",financials[[#This Row],[Product]])</f>
        <v>Channel Partners,Canada,Montana</v>
      </c>
      <c r="E709" s="6" t="s">
        <v>19</v>
      </c>
      <c r="F709">
        <f t="shared" ca="1" si="22"/>
        <v>885</v>
      </c>
      <c r="G709" s="1">
        <f ca="1">VLOOKUP(financials[[#This Row],[ID]],Prices!D:F,2,FALSE)</f>
        <v>17</v>
      </c>
      <c r="H709" s="1">
        <f ca="1">VLOOKUP(financials[[#This Row],[ID]],Prices!D:F,3,FALSE)</f>
        <v>26</v>
      </c>
      <c r="I709" s="1">
        <f ca="1">financials[[#This Row],[Units Sold]]*financials[[#This Row],[Sale Price]]</f>
        <v>23010</v>
      </c>
      <c r="J7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1150.5</v>
      </c>
      <c r="K709" s="1">
        <f ca="1">financials[[#This Row],[Gross Sales]]-financials[[#This Row],[Discounts]]</f>
        <v>21859.5</v>
      </c>
      <c r="L709" s="1">
        <f ca="1">financials[[#This Row],[Units Sold]]*financials[[#This Row],[Manufacturing Price]]</f>
        <v>15045</v>
      </c>
      <c r="M709" s="1">
        <f ca="1">financials[[#This Row],[Sales]]-financials[[#This Row],[COGS]]</f>
        <v>6814.5</v>
      </c>
      <c r="N709" s="7">
        <f t="shared" ca="1" si="23"/>
        <v>45404</v>
      </c>
      <c r="O709" s="8">
        <f ca="1">MONTH(financials[[#This Row],[Date]])</f>
        <v>4</v>
      </c>
      <c r="P709" s="6" t="str">
        <f ca="1">TEXT(financials[[#This Row],[Date]],"MMM")</f>
        <v>Apr</v>
      </c>
      <c r="Q709">
        <f ca="1">YEAR(financials[[#This Row],[Date]])</f>
        <v>2024</v>
      </c>
    </row>
    <row r="710" spans="1:17" x14ac:dyDescent="0.3">
      <c r="A710" t="s">
        <v>16</v>
      </c>
      <c r="B710" t="s">
        <v>22</v>
      </c>
      <c r="C710" s="6" t="s">
        <v>24</v>
      </c>
      <c r="D710" s="6" t="str">
        <f>CONCATENATE(financials[[#This Row],[Segment]],",",financials[[#This Row],[Country]],",",financials[[#This Row],[Product]])</f>
        <v>Government,France,Montana</v>
      </c>
      <c r="E710" s="6" t="s">
        <v>19</v>
      </c>
      <c r="F710">
        <f t="shared" ca="1" si="22"/>
        <v>184</v>
      </c>
      <c r="G710" s="1">
        <f ca="1">VLOOKUP(financials[[#This Row],[ID]],Prices!D:F,2,FALSE)</f>
        <v>19</v>
      </c>
      <c r="H710" s="1">
        <f ca="1">VLOOKUP(financials[[#This Row],[ID]],Prices!D:F,3,FALSE)</f>
        <v>22</v>
      </c>
      <c r="I710" s="1">
        <f ca="1">financials[[#This Row],[Units Sold]]*financials[[#This Row],[Sale Price]]</f>
        <v>4048</v>
      </c>
      <c r="J7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202.4</v>
      </c>
      <c r="K710" s="1">
        <f ca="1">financials[[#This Row],[Gross Sales]]-financials[[#This Row],[Discounts]]</f>
        <v>3845.6</v>
      </c>
      <c r="L710" s="1">
        <f ca="1">financials[[#This Row],[Units Sold]]*financials[[#This Row],[Manufacturing Price]]</f>
        <v>3496</v>
      </c>
      <c r="M710" s="1">
        <f ca="1">financials[[#This Row],[Sales]]-financials[[#This Row],[COGS]]</f>
        <v>349.59999999999991</v>
      </c>
      <c r="N710" s="7">
        <f t="shared" ca="1" si="23"/>
        <v>45684</v>
      </c>
      <c r="O710" s="8">
        <f ca="1">MONTH(financials[[#This Row],[Date]])</f>
        <v>1</v>
      </c>
      <c r="P710" s="6" t="str">
        <f ca="1">TEXT(financials[[#This Row],[Date]],"MMM")</f>
        <v>Jan</v>
      </c>
      <c r="Q710">
        <f ca="1">YEAR(financials[[#This Row],[Date]])</f>
        <v>2025</v>
      </c>
    </row>
    <row r="711" spans="1:17" x14ac:dyDescent="0.3">
      <c r="A711" t="s">
        <v>25</v>
      </c>
      <c r="B711" t="s">
        <v>20</v>
      </c>
      <c r="C711" s="6" t="s">
        <v>24</v>
      </c>
      <c r="D711" s="6" t="str">
        <f>CONCATENATE(financials[[#This Row],[Segment]],",",financials[[#This Row],[Country]],",",financials[[#This Row],[Product]])</f>
        <v>Channel Partners,Germany,Montana</v>
      </c>
      <c r="E711" s="6" t="s">
        <v>19</v>
      </c>
      <c r="F711">
        <f t="shared" ca="1" si="22"/>
        <v>852</v>
      </c>
      <c r="G711" s="1">
        <f ca="1">VLOOKUP(financials[[#This Row],[ID]],Prices!D:F,2,FALSE)</f>
        <v>12</v>
      </c>
      <c r="H711" s="1">
        <f ca="1">VLOOKUP(financials[[#This Row],[ID]],Prices!D:F,3,FALSE)</f>
        <v>33</v>
      </c>
      <c r="I711" s="1">
        <f ca="1">financials[[#This Row],[Units Sold]]*financials[[#This Row],[Sale Price]]</f>
        <v>28116</v>
      </c>
      <c r="J7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1405.8000000000002</v>
      </c>
      <c r="K711" s="1">
        <f ca="1">financials[[#This Row],[Gross Sales]]-financials[[#This Row],[Discounts]]</f>
        <v>26710.2</v>
      </c>
      <c r="L711" s="1">
        <f ca="1">financials[[#This Row],[Units Sold]]*financials[[#This Row],[Manufacturing Price]]</f>
        <v>10224</v>
      </c>
      <c r="M711" s="1">
        <f ca="1">financials[[#This Row],[Sales]]-financials[[#This Row],[COGS]]</f>
        <v>16486.2</v>
      </c>
      <c r="N711" s="7">
        <f t="shared" ca="1" si="23"/>
        <v>45308</v>
      </c>
      <c r="O711" s="8">
        <f ca="1">MONTH(financials[[#This Row],[Date]])</f>
        <v>1</v>
      </c>
      <c r="P711" s="6" t="str">
        <f ca="1">TEXT(financials[[#This Row],[Date]],"MMM")</f>
        <v>Jan</v>
      </c>
      <c r="Q711">
        <f ca="1">YEAR(financials[[#This Row],[Date]])</f>
        <v>2024</v>
      </c>
    </row>
    <row r="712" spans="1:17" x14ac:dyDescent="0.3">
      <c r="A712" t="s">
        <v>21</v>
      </c>
      <c r="B712" t="s">
        <v>23</v>
      </c>
      <c r="C712" s="6" t="s">
        <v>24</v>
      </c>
      <c r="D712" s="6" t="str">
        <f>CONCATENATE(financials[[#This Row],[Segment]],",",financials[[#This Row],[Country]],",",financials[[#This Row],[Product]])</f>
        <v>Midmarket,Mexico,Montana</v>
      </c>
      <c r="E712" s="6" t="s">
        <v>19</v>
      </c>
      <c r="F712">
        <f t="shared" ca="1" si="22"/>
        <v>78</v>
      </c>
      <c r="G712" s="1">
        <f ca="1">VLOOKUP(financials[[#This Row],[ID]],Prices!D:F,2,FALSE)</f>
        <v>19</v>
      </c>
      <c r="H712" s="1">
        <f ca="1">VLOOKUP(financials[[#This Row],[ID]],Prices!D:F,3,FALSE)</f>
        <v>17</v>
      </c>
      <c r="I712" s="1">
        <f ca="1">financials[[#This Row],[Units Sold]]*financials[[#This Row],[Sale Price]]</f>
        <v>1326</v>
      </c>
      <c r="J7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66.3</v>
      </c>
      <c r="K712" s="1">
        <f ca="1">financials[[#This Row],[Gross Sales]]-financials[[#This Row],[Discounts]]</f>
        <v>1259.7</v>
      </c>
      <c r="L712" s="1">
        <f ca="1">financials[[#This Row],[Units Sold]]*financials[[#This Row],[Manufacturing Price]]</f>
        <v>1482</v>
      </c>
      <c r="M712" s="1">
        <f ca="1">financials[[#This Row],[Sales]]-financials[[#This Row],[COGS]]</f>
        <v>-222.29999999999995</v>
      </c>
      <c r="N712" s="7">
        <f t="shared" ca="1" si="23"/>
        <v>45294</v>
      </c>
      <c r="O712" s="8">
        <f ca="1">MONTH(financials[[#This Row],[Date]])</f>
        <v>1</v>
      </c>
      <c r="P712" s="6" t="str">
        <f ca="1">TEXT(financials[[#This Row],[Date]],"MMM")</f>
        <v>Jan</v>
      </c>
      <c r="Q712">
        <f ca="1">YEAR(financials[[#This Row],[Date]])</f>
        <v>2024</v>
      </c>
    </row>
    <row r="713" spans="1:17" x14ac:dyDescent="0.3">
      <c r="A713" t="s">
        <v>26</v>
      </c>
      <c r="B713" t="s">
        <v>17</v>
      </c>
      <c r="C713" s="6" t="s">
        <v>24</v>
      </c>
      <c r="D713" s="6" t="str">
        <f>CONCATENATE(financials[[#This Row],[Segment]],",",financials[[#This Row],[Country]],",",financials[[#This Row],[Product]])</f>
        <v>Enterprise,Canada,Montana</v>
      </c>
      <c r="E713" s="6" t="s">
        <v>19</v>
      </c>
      <c r="F713">
        <f t="shared" ca="1" si="22"/>
        <v>716</v>
      </c>
      <c r="G713" s="1">
        <f ca="1">VLOOKUP(financials[[#This Row],[ID]],Prices!D:F,2,FALSE)</f>
        <v>13</v>
      </c>
      <c r="H713" s="1">
        <f ca="1">VLOOKUP(financials[[#This Row],[ID]],Prices!D:F,3,FALSE)</f>
        <v>23</v>
      </c>
      <c r="I713" s="1">
        <f ca="1">financials[[#This Row],[Units Sold]]*financials[[#This Row],[Sale Price]]</f>
        <v>16468</v>
      </c>
      <c r="J7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823.40000000000009</v>
      </c>
      <c r="K713" s="1">
        <f ca="1">financials[[#This Row],[Gross Sales]]-financials[[#This Row],[Discounts]]</f>
        <v>15644.6</v>
      </c>
      <c r="L713" s="1">
        <f ca="1">financials[[#This Row],[Units Sold]]*financials[[#This Row],[Manufacturing Price]]</f>
        <v>9308</v>
      </c>
      <c r="M713" s="1">
        <f ca="1">financials[[#This Row],[Sales]]-financials[[#This Row],[COGS]]</f>
        <v>6336.6</v>
      </c>
      <c r="N713" s="7">
        <f t="shared" ca="1" si="23"/>
        <v>45100</v>
      </c>
      <c r="O713" s="8">
        <f ca="1">MONTH(financials[[#This Row],[Date]])</f>
        <v>6</v>
      </c>
      <c r="P713" s="6" t="str">
        <f ca="1">TEXT(financials[[#This Row],[Date]],"MMM")</f>
        <v>Jun</v>
      </c>
      <c r="Q713">
        <f ca="1">YEAR(financials[[#This Row],[Date]])</f>
        <v>2023</v>
      </c>
    </row>
    <row r="714" spans="1:17" x14ac:dyDescent="0.3">
      <c r="A714" t="s">
        <v>27</v>
      </c>
      <c r="B714" t="s">
        <v>23</v>
      </c>
      <c r="C714" s="6" t="s">
        <v>24</v>
      </c>
      <c r="D714" s="6" t="str">
        <f>CONCATENATE(financials[[#This Row],[Segment]],",",financials[[#This Row],[Country]],",",financials[[#This Row],[Product]])</f>
        <v>Small Business,Mexico,Montana</v>
      </c>
      <c r="E714" s="6" t="s">
        <v>19</v>
      </c>
      <c r="F714">
        <f t="shared" ca="1" si="22"/>
        <v>509</v>
      </c>
      <c r="G714" s="1">
        <f ca="1">VLOOKUP(financials[[#This Row],[ID]],Prices!D:F,2,FALSE)</f>
        <v>20</v>
      </c>
      <c r="H714" s="1">
        <f ca="1">VLOOKUP(financials[[#This Row],[ID]],Prices!D:F,3,FALSE)</f>
        <v>37</v>
      </c>
      <c r="I714" s="1">
        <f ca="1">financials[[#This Row],[Units Sold]]*financials[[#This Row],[Sale Price]]</f>
        <v>18833</v>
      </c>
      <c r="J7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941.65000000000009</v>
      </c>
      <c r="K714" s="1">
        <f ca="1">financials[[#This Row],[Gross Sales]]-financials[[#This Row],[Discounts]]</f>
        <v>17891.349999999999</v>
      </c>
      <c r="L714" s="1">
        <f ca="1">financials[[#This Row],[Units Sold]]*financials[[#This Row],[Manufacturing Price]]</f>
        <v>10180</v>
      </c>
      <c r="M714" s="1">
        <f ca="1">financials[[#This Row],[Sales]]-financials[[#This Row],[COGS]]</f>
        <v>7711.3499999999985</v>
      </c>
      <c r="N714" s="7">
        <f t="shared" ca="1" si="23"/>
        <v>45402</v>
      </c>
      <c r="O714" s="8">
        <f ca="1">MONTH(financials[[#This Row],[Date]])</f>
        <v>4</v>
      </c>
      <c r="P714" s="6" t="str">
        <f ca="1">TEXT(financials[[#This Row],[Date]],"MMM")</f>
        <v>Apr</v>
      </c>
      <c r="Q714">
        <f ca="1">YEAR(financials[[#This Row],[Date]])</f>
        <v>2024</v>
      </c>
    </row>
    <row r="715" spans="1:17" x14ac:dyDescent="0.3">
      <c r="A715" t="s">
        <v>16</v>
      </c>
      <c r="B715" t="s">
        <v>20</v>
      </c>
      <c r="C715" s="6" t="s">
        <v>24</v>
      </c>
      <c r="D715" s="6" t="str">
        <f>CONCATENATE(financials[[#This Row],[Segment]],",",financials[[#This Row],[Country]],",",financials[[#This Row],[Product]])</f>
        <v>Government,Germany,Montana</v>
      </c>
      <c r="E715" s="6" t="s">
        <v>19</v>
      </c>
      <c r="F715">
        <f t="shared" ca="1" si="22"/>
        <v>485</v>
      </c>
      <c r="G715" s="1">
        <f ca="1">VLOOKUP(financials[[#This Row],[ID]],Prices!D:F,2,FALSE)</f>
        <v>20</v>
      </c>
      <c r="H715" s="1">
        <f ca="1">VLOOKUP(financials[[#This Row],[ID]],Prices!D:F,3,FALSE)</f>
        <v>27</v>
      </c>
      <c r="I715" s="1">
        <f ca="1">financials[[#This Row],[Units Sold]]*financials[[#This Row],[Sale Price]]</f>
        <v>13095</v>
      </c>
      <c r="J7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654.75</v>
      </c>
      <c r="K715" s="1">
        <f ca="1">financials[[#This Row],[Gross Sales]]-financials[[#This Row],[Discounts]]</f>
        <v>12440.25</v>
      </c>
      <c r="L715" s="1">
        <f ca="1">financials[[#This Row],[Units Sold]]*financials[[#This Row],[Manufacturing Price]]</f>
        <v>9700</v>
      </c>
      <c r="M715" s="1">
        <f ca="1">financials[[#This Row],[Sales]]-financials[[#This Row],[COGS]]</f>
        <v>2740.25</v>
      </c>
      <c r="N715" s="7">
        <f t="shared" ca="1" si="23"/>
        <v>45109</v>
      </c>
      <c r="O715" s="8">
        <f ca="1">MONTH(financials[[#This Row],[Date]])</f>
        <v>7</v>
      </c>
      <c r="P715" s="6" t="str">
        <f ca="1">TEXT(financials[[#This Row],[Date]],"MMM")</f>
        <v>Jul</v>
      </c>
      <c r="Q715">
        <f ca="1">YEAR(financials[[#This Row],[Date]])</f>
        <v>2023</v>
      </c>
    </row>
    <row r="716" spans="1:17" x14ac:dyDescent="0.3">
      <c r="A716" t="s">
        <v>26</v>
      </c>
      <c r="B716" t="s">
        <v>17</v>
      </c>
      <c r="C716" s="6" t="s">
        <v>24</v>
      </c>
      <c r="D716" s="6" t="str">
        <f>CONCATENATE(financials[[#This Row],[Segment]],",",financials[[#This Row],[Country]],",",financials[[#This Row],[Product]])</f>
        <v>Enterprise,Canada,Montana</v>
      </c>
      <c r="E716" s="6" t="s">
        <v>19</v>
      </c>
      <c r="F716">
        <f t="shared" ca="1" si="22"/>
        <v>324</v>
      </c>
      <c r="G716" s="1">
        <f ca="1">VLOOKUP(financials[[#This Row],[ID]],Prices!D:F,2,FALSE)</f>
        <v>13</v>
      </c>
      <c r="H716" s="1">
        <f ca="1">VLOOKUP(financials[[#This Row],[ID]],Prices!D:F,3,FALSE)</f>
        <v>23</v>
      </c>
      <c r="I716" s="1">
        <f ca="1">financials[[#This Row],[Units Sold]]*financials[[#This Row],[Sale Price]]</f>
        <v>7452</v>
      </c>
      <c r="J7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372.6</v>
      </c>
      <c r="K716" s="1">
        <f ca="1">financials[[#This Row],[Gross Sales]]-financials[[#This Row],[Discounts]]</f>
        <v>7079.4</v>
      </c>
      <c r="L716" s="1">
        <f ca="1">financials[[#This Row],[Units Sold]]*financials[[#This Row],[Manufacturing Price]]</f>
        <v>4212</v>
      </c>
      <c r="M716" s="1">
        <f ca="1">financials[[#This Row],[Sales]]-financials[[#This Row],[COGS]]</f>
        <v>2867.3999999999996</v>
      </c>
      <c r="N716" s="7">
        <f t="shared" ca="1" si="23"/>
        <v>45628</v>
      </c>
      <c r="O716" s="8">
        <f ca="1">MONTH(financials[[#This Row],[Date]])</f>
        <v>12</v>
      </c>
      <c r="P716" s="6" t="str">
        <f ca="1">TEXT(financials[[#This Row],[Date]],"MMM")</f>
        <v>Dec</v>
      </c>
      <c r="Q716">
        <f ca="1">YEAR(financials[[#This Row],[Date]])</f>
        <v>2024</v>
      </c>
    </row>
    <row r="717" spans="1:17" x14ac:dyDescent="0.3">
      <c r="A717" t="s">
        <v>21</v>
      </c>
      <c r="B717" t="s">
        <v>36</v>
      </c>
      <c r="C717" s="6" t="s">
        <v>24</v>
      </c>
      <c r="D717" s="6" t="str">
        <f>CONCATENATE(financials[[#This Row],[Segment]],",",financials[[#This Row],[Country]],",",financials[[#This Row],[Product]])</f>
        <v>Midmarket,USA,Montana</v>
      </c>
      <c r="E717" s="6" t="s">
        <v>19</v>
      </c>
      <c r="F717">
        <f t="shared" ca="1" si="22"/>
        <v>23</v>
      </c>
      <c r="G717" s="1">
        <f ca="1">VLOOKUP(financials[[#This Row],[ID]],Prices!D:F,2,FALSE)</f>
        <v>10</v>
      </c>
      <c r="H717" s="1">
        <f ca="1">VLOOKUP(financials[[#This Row],[ID]],Prices!D:F,3,FALSE)</f>
        <v>24</v>
      </c>
      <c r="I717" s="1">
        <f ca="1">financials[[#This Row],[Units Sold]]*financials[[#This Row],[Sale Price]]</f>
        <v>552</v>
      </c>
      <c r="J7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5.5200000000000005</v>
      </c>
      <c r="K717" s="1">
        <f ca="1">financials[[#This Row],[Gross Sales]]-financials[[#This Row],[Discounts]]</f>
        <v>546.48</v>
      </c>
      <c r="L717" s="1">
        <f ca="1">financials[[#This Row],[Units Sold]]*financials[[#This Row],[Manufacturing Price]]</f>
        <v>230</v>
      </c>
      <c r="M717" s="1">
        <f ca="1">financials[[#This Row],[Sales]]-financials[[#This Row],[COGS]]</f>
        <v>316.48</v>
      </c>
      <c r="N717" s="7">
        <f t="shared" ca="1" si="23"/>
        <v>45512</v>
      </c>
      <c r="O717" s="8">
        <f ca="1">MONTH(financials[[#This Row],[Date]])</f>
        <v>8</v>
      </c>
      <c r="P717" s="6" t="str">
        <f ca="1">TEXT(financials[[#This Row],[Date]],"MMM")</f>
        <v>Aug</v>
      </c>
      <c r="Q717">
        <f ca="1">YEAR(financials[[#This Row],[Date]])</f>
        <v>2024</v>
      </c>
    </row>
    <row r="718" spans="1:17" x14ac:dyDescent="0.3">
      <c r="A718" t="s">
        <v>16</v>
      </c>
      <c r="B718" t="s">
        <v>17</v>
      </c>
      <c r="C718" s="6" t="s">
        <v>28</v>
      </c>
      <c r="D718" s="6" t="str">
        <f>CONCATENATE(financials[[#This Row],[Segment]],",",financials[[#This Row],[Country]],",",financials[[#This Row],[Product]])</f>
        <v>Government,Canada,Paseo</v>
      </c>
      <c r="E718" s="6" t="s">
        <v>19</v>
      </c>
      <c r="F718">
        <f t="shared" ca="1" si="22"/>
        <v>345</v>
      </c>
      <c r="G718" s="1">
        <f ca="1">VLOOKUP(financials[[#This Row],[ID]],Prices!D:F,2,FALSE)</f>
        <v>10</v>
      </c>
      <c r="H718" s="1">
        <f ca="1">VLOOKUP(financials[[#This Row],[ID]],Prices!D:F,3,FALSE)</f>
        <v>23</v>
      </c>
      <c r="I718" s="1">
        <f ca="1">financials[[#This Row],[Units Sold]]*financials[[#This Row],[Sale Price]]</f>
        <v>7935</v>
      </c>
      <c r="J7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396.75</v>
      </c>
      <c r="K718" s="1">
        <f ca="1">financials[[#This Row],[Gross Sales]]-financials[[#This Row],[Discounts]]</f>
        <v>7538.25</v>
      </c>
      <c r="L718" s="1">
        <f ca="1">financials[[#This Row],[Units Sold]]*financials[[#This Row],[Manufacturing Price]]</f>
        <v>3450</v>
      </c>
      <c r="M718" s="1">
        <f ca="1">financials[[#This Row],[Sales]]-financials[[#This Row],[COGS]]</f>
        <v>4088.25</v>
      </c>
      <c r="N718" s="7">
        <f t="shared" ca="1" si="23"/>
        <v>45501</v>
      </c>
      <c r="O718" s="8">
        <f ca="1">MONTH(financials[[#This Row],[Date]])</f>
        <v>7</v>
      </c>
      <c r="P718" s="6" t="str">
        <f ca="1">TEXT(financials[[#This Row],[Date]],"MMM")</f>
        <v>Jul</v>
      </c>
      <c r="Q718">
        <f ca="1">YEAR(financials[[#This Row],[Date]])</f>
        <v>2024</v>
      </c>
    </row>
    <row r="719" spans="1:17" x14ac:dyDescent="0.3">
      <c r="A719" t="s">
        <v>21</v>
      </c>
      <c r="B719" t="s">
        <v>23</v>
      </c>
      <c r="C719" s="6" t="s">
        <v>28</v>
      </c>
      <c r="D719" s="6" t="str">
        <f>CONCATENATE(financials[[#This Row],[Segment]],",",financials[[#This Row],[Country]],",",financials[[#This Row],[Product]])</f>
        <v>Midmarket,Mexico,Paseo</v>
      </c>
      <c r="E719" s="6" t="s">
        <v>19</v>
      </c>
      <c r="F719">
        <f t="shared" ca="1" si="22"/>
        <v>150</v>
      </c>
      <c r="G719" s="1">
        <f ca="1">VLOOKUP(financials[[#This Row],[ID]],Prices!D:F,2,FALSE)</f>
        <v>11</v>
      </c>
      <c r="H719" s="1">
        <f ca="1">VLOOKUP(financials[[#This Row],[ID]],Prices!D:F,3,FALSE)</f>
        <v>21</v>
      </c>
      <c r="I719" s="1">
        <f ca="1">financials[[#This Row],[Units Sold]]*financials[[#This Row],[Sale Price]]</f>
        <v>3150</v>
      </c>
      <c r="J7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157.5</v>
      </c>
      <c r="K719" s="1">
        <f ca="1">financials[[#This Row],[Gross Sales]]-financials[[#This Row],[Discounts]]</f>
        <v>2992.5</v>
      </c>
      <c r="L719" s="1">
        <f ca="1">financials[[#This Row],[Units Sold]]*financials[[#This Row],[Manufacturing Price]]</f>
        <v>1650</v>
      </c>
      <c r="M719" s="1">
        <f ca="1">financials[[#This Row],[Sales]]-financials[[#This Row],[COGS]]</f>
        <v>1342.5</v>
      </c>
      <c r="N719" s="7">
        <f t="shared" ca="1" si="23"/>
        <v>45746</v>
      </c>
      <c r="O719" s="8">
        <f ca="1">MONTH(financials[[#This Row],[Date]])</f>
        <v>3</v>
      </c>
      <c r="P719" s="6" t="str">
        <f ca="1">TEXT(financials[[#This Row],[Date]],"MMM")</f>
        <v>Mar</v>
      </c>
      <c r="Q719">
        <f ca="1">YEAR(financials[[#This Row],[Date]])</f>
        <v>2025</v>
      </c>
    </row>
    <row r="720" spans="1:17" x14ac:dyDescent="0.3">
      <c r="A720" t="s">
        <v>25</v>
      </c>
      <c r="B720" t="s">
        <v>17</v>
      </c>
      <c r="C720" s="6" t="s">
        <v>28</v>
      </c>
      <c r="D720" s="6" t="str">
        <f>CONCATENATE(financials[[#This Row],[Segment]],",",financials[[#This Row],[Country]],",",financials[[#This Row],[Product]])</f>
        <v>Channel Partners,Canada,Paseo</v>
      </c>
      <c r="E720" s="6" t="s">
        <v>19</v>
      </c>
      <c r="F720">
        <f t="shared" ca="1" si="22"/>
        <v>72</v>
      </c>
      <c r="G720" s="1">
        <f ca="1">VLOOKUP(financials[[#This Row],[ID]],Prices!D:F,2,FALSE)</f>
        <v>13</v>
      </c>
      <c r="H720" s="1">
        <f ca="1">VLOOKUP(financials[[#This Row],[ID]],Prices!D:F,3,FALSE)</f>
        <v>26</v>
      </c>
      <c r="I720" s="1">
        <f ca="1">financials[[#This Row],[Units Sold]]*financials[[#This Row],[Sale Price]]</f>
        <v>1872</v>
      </c>
      <c r="J7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93.600000000000009</v>
      </c>
      <c r="K720" s="1">
        <f ca="1">financials[[#This Row],[Gross Sales]]-financials[[#This Row],[Discounts]]</f>
        <v>1778.4</v>
      </c>
      <c r="L720" s="1">
        <f ca="1">financials[[#This Row],[Units Sold]]*financials[[#This Row],[Manufacturing Price]]</f>
        <v>936</v>
      </c>
      <c r="M720" s="1">
        <f ca="1">financials[[#This Row],[Sales]]-financials[[#This Row],[COGS]]</f>
        <v>842.40000000000009</v>
      </c>
      <c r="N720" s="7">
        <f t="shared" ca="1" si="23"/>
        <v>45196</v>
      </c>
      <c r="O720" s="8">
        <f ca="1">MONTH(financials[[#This Row],[Date]])</f>
        <v>9</v>
      </c>
      <c r="P720" s="6" t="str">
        <f ca="1">TEXT(financials[[#This Row],[Date]],"MMM")</f>
        <v>Sep</v>
      </c>
      <c r="Q720">
        <f ca="1">YEAR(financials[[#This Row],[Date]])</f>
        <v>2023</v>
      </c>
    </row>
    <row r="721" spans="1:17" x14ac:dyDescent="0.3">
      <c r="A721" t="s">
        <v>16</v>
      </c>
      <c r="B721" t="s">
        <v>20</v>
      </c>
      <c r="C721" s="6" t="s">
        <v>28</v>
      </c>
      <c r="D721" s="6" t="str">
        <f>CONCATENATE(financials[[#This Row],[Segment]],",",financials[[#This Row],[Country]],",",financials[[#This Row],[Product]])</f>
        <v>Government,Germany,Paseo</v>
      </c>
      <c r="E721" s="6" t="s">
        <v>19</v>
      </c>
      <c r="F721">
        <f t="shared" ca="1" si="22"/>
        <v>208</v>
      </c>
      <c r="G721" s="1">
        <f ca="1">VLOOKUP(financials[[#This Row],[ID]],Prices!D:F,2,FALSE)</f>
        <v>19</v>
      </c>
      <c r="H721" s="1">
        <f ca="1">VLOOKUP(financials[[#This Row],[ID]],Prices!D:F,3,FALSE)</f>
        <v>37</v>
      </c>
      <c r="I721" s="1">
        <f ca="1">financials[[#This Row],[Units Sold]]*financials[[#This Row],[Sale Price]]</f>
        <v>7696</v>
      </c>
      <c r="J7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384.8</v>
      </c>
      <c r="K721" s="1">
        <f ca="1">financials[[#This Row],[Gross Sales]]-financials[[#This Row],[Discounts]]</f>
        <v>7311.2</v>
      </c>
      <c r="L721" s="1">
        <f ca="1">financials[[#This Row],[Units Sold]]*financials[[#This Row],[Manufacturing Price]]</f>
        <v>3952</v>
      </c>
      <c r="M721" s="1">
        <f ca="1">financials[[#This Row],[Sales]]-financials[[#This Row],[COGS]]</f>
        <v>3359.2</v>
      </c>
      <c r="N721" s="7">
        <f t="shared" ca="1" si="23"/>
        <v>45397</v>
      </c>
      <c r="O721" s="8">
        <f ca="1">MONTH(financials[[#This Row],[Date]])</f>
        <v>4</v>
      </c>
      <c r="P721" s="6" t="str">
        <f ca="1">TEXT(financials[[#This Row],[Date]],"MMM")</f>
        <v>Apr</v>
      </c>
      <c r="Q721">
        <f ca="1">YEAR(financials[[#This Row],[Date]])</f>
        <v>2024</v>
      </c>
    </row>
    <row r="722" spans="1:17" x14ac:dyDescent="0.3">
      <c r="A722" t="s">
        <v>25</v>
      </c>
      <c r="B722" t="s">
        <v>20</v>
      </c>
      <c r="C722" s="6" t="s">
        <v>28</v>
      </c>
      <c r="D722" s="6" t="str">
        <f>CONCATENATE(financials[[#This Row],[Segment]],",",financials[[#This Row],[Country]],",",financials[[#This Row],[Product]])</f>
        <v>Channel Partners,Germany,Paseo</v>
      </c>
      <c r="E722" s="6" t="s">
        <v>19</v>
      </c>
      <c r="F722">
        <f t="shared" ca="1" si="22"/>
        <v>987</v>
      </c>
      <c r="G722" s="1">
        <f ca="1">VLOOKUP(financials[[#This Row],[ID]],Prices!D:F,2,FALSE)</f>
        <v>13</v>
      </c>
      <c r="H722" s="1">
        <f ca="1">VLOOKUP(financials[[#This Row],[ID]],Prices!D:F,3,FALSE)</f>
        <v>25</v>
      </c>
      <c r="I722" s="1">
        <f ca="1">financials[[#This Row],[Units Sold]]*financials[[#This Row],[Sale Price]]</f>
        <v>24675</v>
      </c>
      <c r="J7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1233.75</v>
      </c>
      <c r="K722" s="1">
        <f ca="1">financials[[#This Row],[Gross Sales]]-financials[[#This Row],[Discounts]]</f>
        <v>23441.25</v>
      </c>
      <c r="L722" s="1">
        <f ca="1">financials[[#This Row],[Units Sold]]*financials[[#This Row],[Manufacturing Price]]</f>
        <v>12831</v>
      </c>
      <c r="M722" s="1">
        <f ca="1">financials[[#This Row],[Sales]]-financials[[#This Row],[COGS]]</f>
        <v>10610.25</v>
      </c>
      <c r="N722" s="7">
        <f t="shared" ca="1" si="23"/>
        <v>45726</v>
      </c>
      <c r="O722" s="8">
        <f ca="1">MONTH(financials[[#This Row],[Date]])</f>
        <v>3</v>
      </c>
      <c r="P722" s="6" t="str">
        <f ca="1">TEXT(financials[[#This Row],[Date]],"MMM")</f>
        <v>Mar</v>
      </c>
      <c r="Q722">
        <f ca="1">YEAR(financials[[#This Row],[Date]])</f>
        <v>2025</v>
      </c>
    </row>
    <row r="723" spans="1:17" x14ac:dyDescent="0.3">
      <c r="A723" t="s">
        <v>16</v>
      </c>
      <c r="B723" t="s">
        <v>23</v>
      </c>
      <c r="C723" s="6" t="s">
        <v>28</v>
      </c>
      <c r="D723" s="6" t="str">
        <f>CONCATENATE(financials[[#This Row],[Segment]],",",financials[[#This Row],[Country]],",",financials[[#This Row],[Product]])</f>
        <v>Government,Mexico,Paseo</v>
      </c>
      <c r="E723" s="6" t="s">
        <v>19</v>
      </c>
      <c r="F723">
        <f t="shared" ca="1" si="22"/>
        <v>646</v>
      </c>
      <c r="G723" s="1">
        <f ca="1">VLOOKUP(financials[[#This Row],[ID]],Prices!D:F,2,FALSE)</f>
        <v>18</v>
      </c>
      <c r="H723" s="1">
        <f ca="1">VLOOKUP(financials[[#This Row],[ID]],Prices!D:F,3,FALSE)</f>
        <v>19</v>
      </c>
      <c r="I723" s="1">
        <f ca="1">financials[[#This Row],[Units Sold]]*financials[[#This Row],[Sale Price]]</f>
        <v>12274</v>
      </c>
      <c r="J7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613.70000000000005</v>
      </c>
      <c r="K723" s="1">
        <f ca="1">financials[[#This Row],[Gross Sales]]-financials[[#This Row],[Discounts]]</f>
        <v>11660.3</v>
      </c>
      <c r="L723" s="1">
        <f ca="1">financials[[#This Row],[Units Sold]]*financials[[#This Row],[Manufacturing Price]]</f>
        <v>11628</v>
      </c>
      <c r="M723" s="1">
        <f ca="1">financials[[#This Row],[Sales]]-financials[[#This Row],[COGS]]</f>
        <v>32.299999999999272</v>
      </c>
      <c r="N723" s="7">
        <f t="shared" ca="1" si="23"/>
        <v>45693</v>
      </c>
      <c r="O723" s="8">
        <f ca="1">MONTH(financials[[#This Row],[Date]])</f>
        <v>2</v>
      </c>
      <c r="P723" s="6" t="str">
        <f ca="1">TEXT(financials[[#This Row],[Date]],"MMM")</f>
        <v>Feb</v>
      </c>
      <c r="Q723">
        <f ca="1">YEAR(financials[[#This Row],[Date]])</f>
        <v>2025</v>
      </c>
    </row>
    <row r="724" spans="1:17" x14ac:dyDescent="0.3">
      <c r="A724" t="s">
        <v>21</v>
      </c>
      <c r="B724" t="s">
        <v>22</v>
      </c>
      <c r="C724" s="6" t="s">
        <v>28</v>
      </c>
      <c r="D724" s="6" t="str">
        <f>CONCATENATE(financials[[#This Row],[Segment]],",",financials[[#This Row],[Country]],",",financials[[#This Row],[Product]])</f>
        <v>Midmarket,France,Paseo</v>
      </c>
      <c r="E724" s="6" t="s">
        <v>19</v>
      </c>
      <c r="F724">
        <f t="shared" ca="1" si="22"/>
        <v>489</v>
      </c>
      <c r="G724" s="1">
        <f ca="1">VLOOKUP(financials[[#This Row],[ID]],Prices!D:F,2,FALSE)</f>
        <v>20</v>
      </c>
      <c r="H724" s="1">
        <f ca="1">VLOOKUP(financials[[#This Row],[ID]],Prices!D:F,3,FALSE)</f>
        <v>38</v>
      </c>
      <c r="I724" s="1">
        <f ca="1">financials[[#This Row],[Units Sold]]*financials[[#This Row],[Sale Price]]</f>
        <v>18582</v>
      </c>
      <c r="J7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929.1</v>
      </c>
      <c r="K724" s="1">
        <f ca="1">financials[[#This Row],[Gross Sales]]-financials[[#This Row],[Discounts]]</f>
        <v>17652.900000000001</v>
      </c>
      <c r="L724" s="1">
        <f ca="1">financials[[#This Row],[Units Sold]]*financials[[#This Row],[Manufacturing Price]]</f>
        <v>9780</v>
      </c>
      <c r="M724" s="1">
        <f ca="1">financials[[#This Row],[Sales]]-financials[[#This Row],[COGS]]</f>
        <v>7872.9000000000015</v>
      </c>
      <c r="N724" s="7">
        <f t="shared" ca="1" si="23"/>
        <v>45758</v>
      </c>
      <c r="O724" s="8">
        <f ca="1">MONTH(financials[[#This Row],[Date]])</f>
        <v>4</v>
      </c>
      <c r="P724" s="6" t="str">
        <f ca="1">TEXT(financials[[#This Row],[Date]],"MMM")</f>
        <v>Apr</v>
      </c>
      <c r="Q724">
        <f ca="1">YEAR(financials[[#This Row],[Date]])</f>
        <v>2025</v>
      </c>
    </row>
    <row r="725" spans="1:17" x14ac:dyDescent="0.3">
      <c r="A725" t="s">
        <v>27</v>
      </c>
      <c r="B725" t="s">
        <v>23</v>
      </c>
      <c r="C725" s="6" t="s">
        <v>28</v>
      </c>
      <c r="D725" s="6" t="str">
        <f>CONCATENATE(financials[[#This Row],[Segment]],",",financials[[#This Row],[Country]],",",financials[[#This Row],[Product]])</f>
        <v>Small Business,Mexico,Paseo</v>
      </c>
      <c r="E725" s="6" t="s">
        <v>19</v>
      </c>
      <c r="F725">
        <f t="shared" ca="1" si="22"/>
        <v>490</v>
      </c>
      <c r="G725" s="1">
        <f ca="1">VLOOKUP(financials[[#This Row],[ID]],Prices!D:F,2,FALSE)</f>
        <v>20</v>
      </c>
      <c r="H725" s="1">
        <f ca="1">VLOOKUP(financials[[#This Row],[ID]],Prices!D:F,3,FALSE)</f>
        <v>20</v>
      </c>
      <c r="I725" s="1">
        <f ca="1">financials[[#This Row],[Units Sold]]*financials[[#This Row],[Sale Price]]</f>
        <v>9800</v>
      </c>
      <c r="J7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490</v>
      </c>
      <c r="K725" s="1">
        <f ca="1">financials[[#This Row],[Gross Sales]]-financials[[#This Row],[Discounts]]</f>
        <v>9310</v>
      </c>
      <c r="L725" s="1">
        <f ca="1">financials[[#This Row],[Units Sold]]*financials[[#This Row],[Manufacturing Price]]</f>
        <v>9800</v>
      </c>
      <c r="M725" s="1">
        <f ca="1">financials[[#This Row],[Sales]]-financials[[#This Row],[COGS]]</f>
        <v>-490</v>
      </c>
      <c r="N725" s="7">
        <f t="shared" ca="1" si="23"/>
        <v>45056</v>
      </c>
      <c r="O725" s="8">
        <f ca="1">MONTH(financials[[#This Row],[Date]])</f>
        <v>5</v>
      </c>
      <c r="P725" s="6" t="str">
        <f ca="1">TEXT(financials[[#This Row],[Date]],"MMM")</f>
        <v>May</v>
      </c>
      <c r="Q725">
        <f ca="1">YEAR(financials[[#This Row],[Date]])</f>
        <v>2023</v>
      </c>
    </row>
    <row r="726" spans="1:17" x14ac:dyDescent="0.3">
      <c r="A726" t="s">
        <v>21</v>
      </c>
      <c r="B726" t="s">
        <v>23</v>
      </c>
      <c r="C726" s="6" t="s">
        <v>28</v>
      </c>
      <c r="D726" s="6" t="str">
        <f>CONCATENATE(financials[[#This Row],[Segment]],",",financials[[#This Row],[Country]],",",financials[[#This Row],[Product]])</f>
        <v>Midmarket,Mexico,Paseo</v>
      </c>
      <c r="E726" s="6" t="s">
        <v>19</v>
      </c>
      <c r="F726">
        <f t="shared" ca="1" si="22"/>
        <v>395</v>
      </c>
      <c r="G726" s="1">
        <f ca="1">VLOOKUP(financials[[#This Row],[ID]],Prices!D:F,2,FALSE)</f>
        <v>11</v>
      </c>
      <c r="H726" s="1">
        <f ca="1">VLOOKUP(financials[[#This Row],[ID]],Prices!D:F,3,FALSE)</f>
        <v>21</v>
      </c>
      <c r="I726" s="1">
        <f ca="1">financials[[#This Row],[Units Sold]]*financials[[#This Row],[Sale Price]]</f>
        <v>8295</v>
      </c>
      <c r="J7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414.75</v>
      </c>
      <c r="K726" s="1">
        <f ca="1">financials[[#This Row],[Gross Sales]]-financials[[#This Row],[Discounts]]</f>
        <v>7880.25</v>
      </c>
      <c r="L726" s="1">
        <f ca="1">financials[[#This Row],[Units Sold]]*financials[[#This Row],[Manufacturing Price]]</f>
        <v>4345</v>
      </c>
      <c r="M726" s="1">
        <f ca="1">financials[[#This Row],[Sales]]-financials[[#This Row],[COGS]]</f>
        <v>3535.25</v>
      </c>
      <c r="N726" s="7">
        <f t="shared" ca="1" si="23"/>
        <v>45542</v>
      </c>
      <c r="O726" s="8">
        <f ca="1">MONTH(financials[[#This Row],[Date]])</f>
        <v>9</v>
      </c>
      <c r="P726" s="6" t="str">
        <f ca="1">TEXT(financials[[#This Row],[Date]],"MMM")</f>
        <v>Sep</v>
      </c>
      <c r="Q726">
        <f ca="1">YEAR(financials[[#This Row],[Date]])</f>
        <v>2024</v>
      </c>
    </row>
    <row r="727" spans="1:17" x14ac:dyDescent="0.3">
      <c r="A727" t="s">
        <v>16</v>
      </c>
      <c r="B727" t="s">
        <v>36</v>
      </c>
      <c r="C727" s="6" t="s">
        <v>28</v>
      </c>
      <c r="D727" s="6" t="str">
        <f>CONCATENATE(financials[[#This Row],[Segment]],",",financials[[#This Row],[Country]],",",financials[[#This Row],[Product]])</f>
        <v>Government,USA,Paseo</v>
      </c>
      <c r="E727" s="6" t="s">
        <v>19</v>
      </c>
      <c r="F727">
        <f t="shared" ca="1" si="22"/>
        <v>645</v>
      </c>
      <c r="G727" s="1">
        <f ca="1">VLOOKUP(financials[[#This Row],[ID]],Prices!D:F,2,FALSE)</f>
        <v>17</v>
      </c>
      <c r="H727" s="1">
        <f ca="1">VLOOKUP(financials[[#This Row],[ID]],Prices!D:F,3,FALSE)</f>
        <v>36</v>
      </c>
      <c r="I727" s="1">
        <f ca="1">financials[[#This Row],[Units Sold]]*financials[[#This Row],[Sale Price]]</f>
        <v>23220</v>
      </c>
      <c r="J7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1161</v>
      </c>
      <c r="K727" s="1">
        <f ca="1">financials[[#This Row],[Gross Sales]]-financials[[#This Row],[Discounts]]</f>
        <v>22059</v>
      </c>
      <c r="L727" s="1">
        <f ca="1">financials[[#This Row],[Units Sold]]*financials[[#This Row],[Manufacturing Price]]</f>
        <v>10965</v>
      </c>
      <c r="M727" s="1">
        <f ca="1">financials[[#This Row],[Sales]]-financials[[#This Row],[COGS]]</f>
        <v>11094</v>
      </c>
      <c r="N727" s="7">
        <f t="shared" ca="1" si="23"/>
        <v>45520</v>
      </c>
      <c r="O727" s="8">
        <f ca="1">MONTH(financials[[#This Row],[Date]])</f>
        <v>8</v>
      </c>
      <c r="P727" s="6" t="str">
        <f ca="1">TEXT(financials[[#This Row],[Date]],"MMM")</f>
        <v>Aug</v>
      </c>
      <c r="Q727">
        <f ca="1">YEAR(financials[[#This Row],[Date]])</f>
        <v>2024</v>
      </c>
    </row>
    <row r="728" spans="1:17" x14ac:dyDescent="0.3">
      <c r="A728" t="s">
        <v>16</v>
      </c>
      <c r="B728" t="s">
        <v>17</v>
      </c>
      <c r="C728" s="6" t="s">
        <v>28</v>
      </c>
      <c r="D728" s="6" t="str">
        <f>CONCATENATE(financials[[#This Row],[Segment]],",",financials[[#This Row],[Country]],",",financials[[#This Row],[Product]])</f>
        <v>Government,Canada,Paseo</v>
      </c>
      <c r="E728" s="6" t="s">
        <v>19</v>
      </c>
      <c r="F728">
        <f t="shared" ca="1" si="22"/>
        <v>991</v>
      </c>
      <c r="G728" s="1">
        <f ca="1">VLOOKUP(financials[[#This Row],[ID]],Prices!D:F,2,FALSE)</f>
        <v>10</v>
      </c>
      <c r="H728" s="1">
        <f ca="1">VLOOKUP(financials[[#This Row],[ID]],Prices!D:F,3,FALSE)</f>
        <v>23</v>
      </c>
      <c r="I728" s="1">
        <f ca="1">financials[[#This Row],[Units Sold]]*financials[[#This Row],[Sale Price]]</f>
        <v>22793</v>
      </c>
      <c r="J7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1139.6500000000001</v>
      </c>
      <c r="K728" s="1">
        <f ca="1">financials[[#This Row],[Gross Sales]]-financials[[#This Row],[Discounts]]</f>
        <v>21653.35</v>
      </c>
      <c r="L728" s="1">
        <f ca="1">financials[[#This Row],[Units Sold]]*financials[[#This Row],[Manufacturing Price]]</f>
        <v>9910</v>
      </c>
      <c r="M728" s="1">
        <f ca="1">financials[[#This Row],[Sales]]-financials[[#This Row],[COGS]]</f>
        <v>11743.349999999999</v>
      </c>
      <c r="N728" s="7">
        <f t="shared" ca="1" si="23"/>
        <v>45047</v>
      </c>
      <c r="O728" s="8">
        <f ca="1">MONTH(financials[[#This Row],[Date]])</f>
        <v>5</v>
      </c>
      <c r="P728" s="6" t="str">
        <f ca="1">TEXT(financials[[#This Row],[Date]],"MMM")</f>
        <v>May</v>
      </c>
      <c r="Q728">
        <f ca="1">YEAR(financials[[#This Row],[Date]])</f>
        <v>2023</v>
      </c>
    </row>
    <row r="729" spans="1:17" x14ac:dyDescent="0.3">
      <c r="A729" t="s">
        <v>25</v>
      </c>
      <c r="B729" t="s">
        <v>36</v>
      </c>
      <c r="C729" s="6" t="s">
        <v>28</v>
      </c>
      <c r="D729" s="6" t="str">
        <f>CONCATENATE(financials[[#This Row],[Segment]],",",financials[[#This Row],[Country]],",",financials[[#This Row],[Product]])</f>
        <v>Channel Partners,USA,Paseo</v>
      </c>
      <c r="E729" s="6" t="s">
        <v>19</v>
      </c>
      <c r="F729">
        <f t="shared" ca="1" si="22"/>
        <v>526</v>
      </c>
      <c r="G729" s="1">
        <f ca="1">VLOOKUP(financials[[#This Row],[ID]],Prices!D:F,2,FALSE)</f>
        <v>19</v>
      </c>
      <c r="H729" s="1">
        <f ca="1">VLOOKUP(financials[[#This Row],[ID]],Prices!D:F,3,FALSE)</f>
        <v>26</v>
      </c>
      <c r="I729" s="1">
        <f ca="1">financials[[#This Row],[Units Sold]]*financials[[#This Row],[Sale Price]]</f>
        <v>13676</v>
      </c>
      <c r="J7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683.80000000000007</v>
      </c>
      <c r="K729" s="1">
        <f ca="1">financials[[#This Row],[Gross Sales]]-financials[[#This Row],[Discounts]]</f>
        <v>12992.2</v>
      </c>
      <c r="L729" s="1">
        <f ca="1">financials[[#This Row],[Units Sold]]*financials[[#This Row],[Manufacturing Price]]</f>
        <v>9994</v>
      </c>
      <c r="M729" s="1">
        <f ca="1">financials[[#This Row],[Sales]]-financials[[#This Row],[COGS]]</f>
        <v>2998.2000000000007</v>
      </c>
      <c r="N729" s="7">
        <f t="shared" ca="1" si="23"/>
        <v>45742</v>
      </c>
      <c r="O729" s="8">
        <f ca="1">MONTH(financials[[#This Row],[Date]])</f>
        <v>3</v>
      </c>
      <c r="P729" s="6" t="str">
        <f ca="1">TEXT(financials[[#This Row],[Date]],"MMM")</f>
        <v>Mar</v>
      </c>
      <c r="Q729">
        <f ca="1">YEAR(financials[[#This Row],[Date]])</f>
        <v>2025</v>
      </c>
    </row>
    <row r="730" spans="1:17" x14ac:dyDescent="0.3">
      <c r="A730" t="s">
        <v>21</v>
      </c>
      <c r="B730" t="s">
        <v>17</v>
      </c>
      <c r="C730" s="6" t="s">
        <v>28</v>
      </c>
      <c r="D730" s="6" t="str">
        <f>CONCATENATE(financials[[#This Row],[Segment]],",",financials[[#This Row],[Country]],",",financials[[#This Row],[Product]])</f>
        <v>Midmarket,Canada,Paseo</v>
      </c>
      <c r="E730" s="6" t="s">
        <v>19</v>
      </c>
      <c r="F730">
        <f t="shared" ca="1" si="22"/>
        <v>149</v>
      </c>
      <c r="G730" s="1">
        <f ca="1">VLOOKUP(financials[[#This Row],[ID]],Prices!D:F,2,FALSE)</f>
        <v>15</v>
      </c>
      <c r="H730" s="1">
        <f ca="1">VLOOKUP(financials[[#This Row],[ID]],Prices!D:F,3,FALSE)</f>
        <v>36</v>
      </c>
      <c r="I730" s="1">
        <f ca="1">financials[[#This Row],[Units Sold]]*financials[[#This Row],[Sale Price]]</f>
        <v>5364</v>
      </c>
      <c r="J7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268.2</v>
      </c>
      <c r="K730" s="1">
        <f ca="1">financials[[#This Row],[Gross Sales]]-financials[[#This Row],[Discounts]]</f>
        <v>5095.8</v>
      </c>
      <c r="L730" s="1">
        <f ca="1">financials[[#This Row],[Units Sold]]*financials[[#This Row],[Manufacturing Price]]</f>
        <v>2235</v>
      </c>
      <c r="M730" s="1">
        <f ca="1">financials[[#This Row],[Sales]]-financials[[#This Row],[COGS]]</f>
        <v>2860.8</v>
      </c>
      <c r="N730" s="7">
        <f t="shared" ca="1" si="23"/>
        <v>45430</v>
      </c>
      <c r="O730" s="8">
        <f ca="1">MONTH(financials[[#This Row],[Date]])</f>
        <v>5</v>
      </c>
      <c r="P730" s="6" t="str">
        <f ca="1">TEXT(financials[[#This Row],[Date]],"MMM")</f>
        <v>May</v>
      </c>
      <c r="Q730">
        <f ca="1">YEAR(financials[[#This Row],[Date]])</f>
        <v>2024</v>
      </c>
    </row>
    <row r="731" spans="1:17" x14ac:dyDescent="0.3">
      <c r="A731" t="s">
        <v>16</v>
      </c>
      <c r="B731" t="s">
        <v>17</v>
      </c>
      <c r="C731" s="6" t="s">
        <v>28</v>
      </c>
      <c r="D731" s="6" t="str">
        <f>CONCATENATE(financials[[#This Row],[Segment]],",",financials[[#This Row],[Country]],",",financials[[#This Row],[Product]])</f>
        <v>Government,Canada,Paseo</v>
      </c>
      <c r="E731" s="6" t="s">
        <v>19</v>
      </c>
      <c r="F731">
        <f t="shared" ca="1" si="22"/>
        <v>620</v>
      </c>
      <c r="G731" s="1">
        <f ca="1">VLOOKUP(financials[[#This Row],[ID]],Prices!D:F,2,FALSE)</f>
        <v>10</v>
      </c>
      <c r="H731" s="1">
        <f ca="1">VLOOKUP(financials[[#This Row],[ID]],Prices!D:F,3,FALSE)</f>
        <v>23</v>
      </c>
      <c r="I731" s="1">
        <f ca="1">financials[[#This Row],[Units Sold]]*financials[[#This Row],[Sale Price]]</f>
        <v>14260</v>
      </c>
      <c r="J7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713</v>
      </c>
      <c r="K731" s="1">
        <f ca="1">financials[[#This Row],[Gross Sales]]-financials[[#This Row],[Discounts]]</f>
        <v>13547</v>
      </c>
      <c r="L731" s="1">
        <f ca="1">financials[[#This Row],[Units Sold]]*financials[[#This Row],[Manufacturing Price]]</f>
        <v>6200</v>
      </c>
      <c r="M731" s="1">
        <f ca="1">financials[[#This Row],[Sales]]-financials[[#This Row],[COGS]]</f>
        <v>7347</v>
      </c>
      <c r="N731" s="7">
        <f t="shared" ca="1" si="23"/>
        <v>45352</v>
      </c>
      <c r="O731" s="8">
        <f ca="1">MONTH(financials[[#This Row],[Date]])</f>
        <v>3</v>
      </c>
      <c r="P731" s="6" t="str">
        <f ca="1">TEXT(financials[[#This Row],[Date]],"MMM")</f>
        <v>Mar</v>
      </c>
      <c r="Q731">
        <f ca="1">YEAR(financials[[#This Row],[Date]])</f>
        <v>2024</v>
      </c>
    </row>
    <row r="732" spans="1:17" x14ac:dyDescent="0.3">
      <c r="A732" t="s">
        <v>16</v>
      </c>
      <c r="B732" t="s">
        <v>20</v>
      </c>
      <c r="C732" s="6" t="s">
        <v>28</v>
      </c>
      <c r="D732" s="6" t="str">
        <f>CONCATENATE(financials[[#This Row],[Segment]],",",financials[[#This Row],[Country]],",",financials[[#This Row],[Product]])</f>
        <v>Government,Germany,Paseo</v>
      </c>
      <c r="E732" s="6" t="s">
        <v>19</v>
      </c>
      <c r="F732">
        <f t="shared" ca="1" si="22"/>
        <v>417</v>
      </c>
      <c r="G732" s="1">
        <f ca="1">VLOOKUP(financials[[#This Row],[ID]],Prices!D:F,2,FALSE)</f>
        <v>19</v>
      </c>
      <c r="H732" s="1">
        <f ca="1">VLOOKUP(financials[[#This Row],[ID]],Prices!D:F,3,FALSE)</f>
        <v>37</v>
      </c>
      <c r="I732" s="1">
        <f ca="1">financials[[#This Row],[Units Sold]]*financials[[#This Row],[Sale Price]]</f>
        <v>15429</v>
      </c>
      <c r="J7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771.45</v>
      </c>
      <c r="K732" s="1">
        <f ca="1">financials[[#This Row],[Gross Sales]]-financials[[#This Row],[Discounts]]</f>
        <v>14657.55</v>
      </c>
      <c r="L732" s="1">
        <f ca="1">financials[[#This Row],[Units Sold]]*financials[[#This Row],[Manufacturing Price]]</f>
        <v>7923</v>
      </c>
      <c r="M732" s="1">
        <f ca="1">financials[[#This Row],[Sales]]-financials[[#This Row],[COGS]]</f>
        <v>6734.5499999999993</v>
      </c>
      <c r="N732" s="7">
        <f t="shared" ca="1" si="23"/>
        <v>45233</v>
      </c>
      <c r="O732" s="8">
        <f ca="1">MONTH(financials[[#This Row],[Date]])</f>
        <v>11</v>
      </c>
      <c r="P732" s="6" t="str">
        <f ca="1">TEXT(financials[[#This Row],[Date]],"MMM")</f>
        <v>Nov</v>
      </c>
      <c r="Q732">
        <f ca="1">YEAR(financials[[#This Row],[Date]])</f>
        <v>2023</v>
      </c>
    </row>
    <row r="733" spans="1:17" x14ac:dyDescent="0.3">
      <c r="A733" t="s">
        <v>16</v>
      </c>
      <c r="B733" t="s">
        <v>23</v>
      </c>
      <c r="C733" s="6" t="s">
        <v>29</v>
      </c>
      <c r="D733" s="6" t="str">
        <f>CONCATENATE(financials[[#This Row],[Segment]],",",financials[[#This Row],[Country]],",",financials[[#This Row],[Product]])</f>
        <v>Government,Mexico,Velo</v>
      </c>
      <c r="E733" s="6" t="s">
        <v>19</v>
      </c>
      <c r="F733">
        <f t="shared" ca="1" si="22"/>
        <v>856</v>
      </c>
      <c r="G733" s="1">
        <f ca="1">VLOOKUP(financials[[#This Row],[ID]],Prices!D:F,2,FALSE)</f>
        <v>18</v>
      </c>
      <c r="H733" s="1">
        <f ca="1">VLOOKUP(financials[[#This Row],[ID]],Prices!D:F,3,FALSE)</f>
        <v>36</v>
      </c>
      <c r="I733" s="1">
        <f ca="1">financials[[#This Row],[Units Sold]]*financials[[#This Row],[Sale Price]]</f>
        <v>30816</v>
      </c>
      <c r="J7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1540.8000000000002</v>
      </c>
      <c r="K733" s="1">
        <f ca="1">financials[[#This Row],[Gross Sales]]-financials[[#This Row],[Discounts]]</f>
        <v>29275.200000000001</v>
      </c>
      <c r="L733" s="1">
        <f ca="1">financials[[#This Row],[Units Sold]]*financials[[#This Row],[Manufacturing Price]]</f>
        <v>15408</v>
      </c>
      <c r="M733" s="1">
        <f ca="1">financials[[#This Row],[Sales]]-financials[[#This Row],[COGS]]</f>
        <v>13867.2</v>
      </c>
      <c r="N733" s="7">
        <f t="shared" ca="1" si="23"/>
        <v>45654</v>
      </c>
      <c r="O733" s="8">
        <f ca="1">MONTH(financials[[#This Row],[Date]])</f>
        <v>12</v>
      </c>
      <c r="P733" s="6" t="str">
        <f ca="1">TEXT(financials[[#This Row],[Date]],"MMM")</f>
        <v>Dec</v>
      </c>
      <c r="Q733">
        <f ca="1">YEAR(financials[[#This Row],[Date]])</f>
        <v>2024</v>
      </c>
    </row>
    <row r="734" spans="1:17" x14ac:dyDescent="0.3">
      <c r="A734" t="s">
        <v>26</v>
      </c>
      <c r="B734" t="s">
        <v>22</v>
      </c>
      <c r="C734" s="6" t="s">
        <v>29</v>
      </c>
      <c r="D734" s="6" t="str">
        <f>CONCATENATE(financials[[#This Row],[Segment]],",",financials[[#This Row],[Country]],",",financials[[#This Row],[Product]])</f>
        <v>Enterprise,France,Velo</v>
      </c>
      <c r="E734" s="6" t="s">
        <v>19</v>
      </c>
      <c r="F734">
        <f t="shared" ca="1" si="22"/>
        <v>765</v>
      </c>
      <c r="G734" s="1">
        <f ca="1">VLOOKUP(financials[[#This Row],[ID]],Prices!D:F,2,FALSE)</f>
        <v>20</v>
      </c>
      <c r="H734" s="1">
        <f ca="1">VLOOKUP(financials[[#This Row],[ID]],Prices!D:F,3,FALSE)</f>
        <v>27</v>
      </c>
      <c r="I734" s="1">
        <f ca="1">financials[[#This Row],[Units Sold]]*financials[[#This Row],[Sale Price]]</f>
        <v>20655</v>
      </c>
      <c r="J7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1032.75</v>
      </c>
      <c r="K734" s="1">
        <f ca="1">financials[[#This Row],[Gross Sales]]-financials[[#This Row],[Discounts]]</f>
        <v>19622.25</v>
      </c>
      <c r="L734" s="1">
        <f ca="1">financials[[#This Row],[Units Sold]]*financials[[#This Row],[Manufacturing Price]]</f>
        <v>15300</v>
      </c>
      <c r="M734" s="1">
        <f ca="1">financials[[#This Row],[Sales]]-financials[[#This Row],[COGS]]</f>
        <v>4322.25</v>
      </c>
      <c r="N734" s="7">
        <f t="shared" ca="1" si="23"/>
        <v>45273</v>
      </c>
      <c r="O734" s="8">
        <f ca="1">MONTH(financials[[#This Row],[Date]])</f>
        <v>12</v>
      </c>
      <c r="P734" s="6" t="str">
        <f ca="1">TEXT(financials[[#This Row],[Date]],"MMM")</f>
        <v>Dec</v>
      </c>
      <c r="Q734">
        <f ca="1">YEAR(financials[[#This Row],[Date]])</f>
        <v>2023</v>
      </c>
    </row>
    <row r="735" spans="1:17" x14ac:dyDescent="0.3">
      <c r="A735" t="s">
        <v>25</v>
      </c>
      <c r="B735" t="s">
        <v>20</v>
      </c>
      <c r="C735" s="6" t="s">
        <v>29</v>
      </c>
      <c r="D735" s="6" t="str">
        <f>CONCATENATE(financials[[#This Row],[Segment]],",",financials[[#This Row],[Country]],",",financials[[#This Row],[Product]])</f>
        <v>Channel Partners,Germany,Velo</v>
      </c>
      <c r="E735" s="6" t="s">
        <v>19</v>
      </c>
      <c r="F735">
        <f t="shared" ca="1" si="22"/>
        <v>798</v>
      </c>
      <c r="G735" s="1">
        <f ca="1">VLOOKUP(financials[[#This Row],[ID]],Prices!D:F,2,FALSE)</f>
        <v>17</v>
      </c>
      <c r="H735" s="1">
        <f ca="1">VLOOKUP(financials[[#This Row],[ID]],Prices!D:F,3,FALSE)</f>
        <v>23</v>
      </c>
      <c r="I735" s="1">
        <f ca="1">financials[[#This Row],[Units Sold]]*financials[[#This Row],[Sale Price]]</f>
        <v>18354</v>
      </c>
      <c r="J7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917.7</v>
      </c>
      <c r="K735" s="1">
        <f ca="1">financials[[#This Row],[Gross Sales]]-financials[[#This Row],[Discounts]]</f>
        <v>17436.3</v>
      </c>
      <c r="L735" s="1">
        <f ca="1">financials[[#This Row],[Units Sold]]*financials[[#This Row],[Manufacturing Price]]</f>
        <v>13566</v>
      </c>
      <c r="M735" s="1">
        <f ca="1">financials[[#This Row],[Sales]]-financials[[#This Row],[COGS]]</f>
        <v>3870.2999999999993</v>
      </c>
      <c r="N735" s="7">
        <f t="shared" ca="1" si="23"/>
        <v>45654</v>
      </c>
      <c r="O735" s="8">
        <f ca="1">MONTH(financials[[#This Row],[Date]])</f>
        <v>12</v>
      </c>
      <c r="P735" s="6" t="str">
        <f ca="1">TEXT(financials[[#This Row],[Date]],"MMM")</f>
        <v>Dec</v>
      </c>
      <c r="Q735">
        <f ca="1">YEAR(financials[[#This Row],[Date]])</f>
        <v>2024</v>
      </c>
    </row>
    <row r="736" spans="1:17" x14ac:dyDescent="0.3">
      <c r="A736" t="s">
        <v>16</v>
      </c>
      <c r="B736" t="s">
        <v>20</v>
      </c>
      <c r="C736" s="6" t="s">
        <v>29</v>
      </c>
      <c r="D736" s="6" t="str">
        <f>CONCATENATE(financials[[#This Row],[Segment]],",",financials[[#This Row],[Country]],",",financials[[#This Row],[Product]])</f>
        <v>Government,Germany,Velo</v>
      </c>
      <c r="E736" s="6" t="s">
        <v>19</v>
      </c>
      <c r="F736">
        <f t="shared" ca="1" si="22"/>
        <v>94</v>
      </c>
      <c r="G736" s="1">
        <f ca="1">VLOOKUP(financials[[#This Row],[ID]],Prices!D:F,2,FALSE)</f>
        <v>13</v>
      </c>
      <c r="H736" s="1">
        <f ca="1">VLOOKUP(financials[[#This Row],[ID]],Prices!D:F,3,FALSE)</f>
        <v>19</v>
      </c>
      <c r="I736" s="1">
        <f ca="1">financials[[#This Row],[Units Sold]]*financials[[#This Row],[Sale Price]]</f>
        <v>1786</v>
      </c>
      <c r="J7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89.300000000000011</v>
      </c>
      <c r="K736" s="1">
        <f ca="1">financials[[#This Row],[Gross Sales]]-financials[[#This Row],[Discounts]]</f>
        <v>1696.7</v>
      </c>
      <c r="L736" s="1">
        <f ca="1">financials[[#This Row],[Units Sold]]*financials[[#This Row],[Manufacturing Price]]</f>
        <v>1222</v>
      </c>
      <c r="M736" s="1">
        <f ca="1">financials[[#This Row],[Sales]]-financials[[#This Row],[COGS]]</f>
        <v>474.70000000000005</v>
      </c>
      <c r="N736" s="7">
        <f t="shared" ca="1" si="23"/>
        <v>45251</v>
      </c>
      <c r="O736" s="8">
        <f ca="1">MONTH(financials[[#This Row],[Date]])</f>
        <v>11</v>
      </c>
      <c r="P736" s="6" t="str">
        <f ca="1">TEXT(financials[[#This Row],[Date]],"MMM")</f>
        <v>Nov</v>
      </c>
      <c r="Q736">
        <f ca="1">YEAR(financials[[#This Row],[Date]])</f>
        <v>2023</v>
      </c>
    </row>
    <row r="737" spans="1:17" x14ac:dyDescent="0.3">
      <c r="A737" t="s">
        <v>25</v>
      </c>
      <c r="B737" t="s">
        <v>20</v>
      </c>
      <c r="C737" s="6" t="s">
        <v>29</v>
      </c>
      <c r="D737" s="6" t="str">
        <f>CONCATENATE(financials[[#This Row],[Segment]],",",financials[[#This Row],[Country]],",",financials[[#This Row],[Product]])</f>
        <v>Channel Partners,Germany,Velo</v>
      </c>
      <c r="E737" s="6" t="s">
        <v>19</v>
      </c>
      <c r="F737">
        <f t="shared" ca="1" si="22"/>
        <v>742</v>
      </c>
      <c r="G737" s="1">
        <f ca="1">VLOOKUP(financials[[#This Row],[ID]],Prices!D:F,2,FALSE)</f>
        <v>17</v>
      </c>
      <c r="H737" s="1">
        <f ca="1">VLOOKUP(financials[[#This Row],[ID]],Prices!D:F,3,FALSE)</f>
        <v>23</v>
      </c>
      <c r="I737" s="1">
        <f ca="1">financials[[#This Row],[Units Sold]]*financials[[#This Row],[Sale Price]]</f>
        <v>17066</v>
      </c>
      <c r="J7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853.30000000000007</v>
      </c>
      <c r="K737" s="1">
        <f ca="1">financials[[#This Row],[Gross Sales]]-financials[[#This Row],[Discounts]]</f>
        <v>16212.7</v>
      </c>
      <c r="L737" s="1">
        <f ca="1">financials[[#This Row],[Units Sold]]*financials[[#This Row],[Manufacturing Price]]</f>
        <v>12614</v>
      </c>
      <c r="M737" s="1">
        <f ca="1">financials[[#This Row],[Sales]]-financials[[#This Row],[COGS]]</f>
        <v>3598.7000000000007</v>
      </c>
      <c r="N737" s="7">
        <f t="shared" ca="1" si="23"/>
        <v>45087</v>
      </c>
      <c r="O737" s="8">
        <f ca="1">MONTH(financials[[#This Row],[Date]])</f>
        <v>6</v>
      </c>
      <c r="P737" s="6" t="str">
        <f ca="1">TEXT(financials[[#This Row],[Date]],"MMM")</f>
        <v>Jun</v>
      </c>
      <c r="Q737">
        <f ca="1">YEAR(financials[[#This Row],[Date]])</f>
        <v>2023</v>
      </c>
    </row>
    <row r="738" spans="1:17" x14ac:dyDescent="0.3">
      <c r="A738" t="s">
        <v>26</v>
      </c>
      <c r="B738" t="s">
        <v>36</v>
      </c>
      <c r="C738" s="6" t="s">
        <v>29</v>
      </c>
      <c r="D738" s="6" t="str">
        <f>CONCATENATE(financials[[#This Row],[Segment]],",",financials[[#This Row],[Country]],",",financials[[#This Row],[Product]])</f>
        <v>Enterprise,USA,Velo</v>
      </c>
      <c r="E738" s="6" t="s">
        <v>19</v>
      </c>
      <c r="F738">
        <f t="shared" ca="1" si="22"/>
        <v>363</v>
      </c>
      <c r="G738" s="1">
        <f ca="1">VLOOKUP(financials[[#This Row],[ID]],Prices!D:F,2,FALSE)</f>
        <v>20</v>
      </c>
      <c r="H738" s="1">
        <f ca="1">VLOOKUP(financials[[#This Row],[ID]],Prices!D:F,3,FALSE)</f>
        <v>24</v>
      </c>
      <c r="I738" s="1">
        <f ca="1">financials[[#This Row],[Units Sold]]*financials[[#This Row],[Sale Price]]</f>
        <v>8712</v>
      </c>
      <c r="J7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435.6</v>
      </c>
      <c r="K738" s="1">
        <f ca="1">financials[[#This Row],[Gross Sales]]-financials[[#This Row],[Discounts]]</f>
        <v>8276.4</v>
      </c>
      <c r="L738" s="1">
        <f ca="1">financials[[#This Row],[Units Sold]]*financials[[#This Row],[Manufacturing Price]]</f>
        <v>7260</v>
      </c>
      <c r="M738" s="1">
        <f ca="1">financials[[#This Row],[Sales]]-financials[[#This Row],[COGS]]</f>
        <v>1016.3999999999996</v>
      </c>
      <c r="N738" s="7">
        <f t="shared" ca="1" si="23"/>
        <v>45548</v>
      </c>
      <c r="O738" s="8">
        <f ca="1">MONTH(financials[[#This Row],[Date]])</f>
        <v>9</v>
      </c>
      <c r="P738" s="6" t="str">
        <f ca="1">TEXT(financials[[#This Row],[Date]],"MMM")</f>
        <v>Sep</v>
      </c>
      <c r="Q738">
        <f ca="1">YEAR(financials[[#This Row],[Date]])</f>
        <v>2024</v>
      </c>
    </row>
    <row r="739" spans="1:17" x14ac:dyDescent="0.3">
      <c r="A739" t="s">
        <v>26</v>
      </c>
      <c r="B739" t="s">
        <v>17</v>
      </c>
      <c r="C739" s="6" t="s">
        <v>29</v>
      </c>
      <c r="D739" s="6" t="str">
        <f>CONCATENATE(financials[[#This Row],[Segment]],",",financials[[#This Row],[Country]],",",financials[[#This Row],[Product]])</f>
        <v>Enterprise,Canada,Velo</v>
      </c>
      <c r="E739" s="6" t="s">
        <v>19</v>
      </c>
      <c r="F739">
        <f t="shared" ca="1" si="22"/>
        <v>383</v>
      </c>
      <c r="G739" s="1">
        <f ca="1">VLOOKUP(financials[[#This Row],[ID]],Prices!D:F,2,FALSE)</f>
        <v>11</v>
      </c>
      <c r="H739" s="1">
        <f ca="1">VLOOKUP(financials[[#This Row],[ID]],Prices!D:F,3,FALSE)</f>
        <v>34</v>
      </c>
      <c r="I739" s="1">
        <f ca="1">financials[[#This Row],[Units Sold]]*financials[[#This Row],[Sale Price]]</f>
        <v>13022</v>
      </c>
      <c r="J7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651.1</v>
      </c>
      <c r="K739" s="1">
        <f ca="1">financials[[#This Row],[Gross Sales]]-financials[[#This Row],[Discounts]]</f>
        <v>12370.9</v>
      </c>
      <c r="L739" s="1">
        <f ca="1">financials[[#This Row],[Units Sold]]*financials[[#This Row],[Manufacturing Price]]</f>
        <v>4213</v>
      </c>
      <c r="M739" s="1">
        <f ca="1">financials[[#This Row],[Sales]]-financials[[#This Row],[COGS]]</f>
        <v>8157.9</v>
      </c>
      <c r="N739" s="7">
        <f t="shared" ca="1" si="23"/>
        <v>45262</v>
      </c>
      <c r="O739" s="8">
        <f ca="1">MONTH(financials[[#This Row],[Date]])</f>
        <v>12</v>
      </c>
      <c r="P739" s="6" t="str">
        <f ca="1">TEXT(financials[[#This Row],[Date]],"MMM")</f>
        <v>Dec</v>
      </c>
      <c r="Q739">
        <f ca="1">YEAR(financials[[#This Row],[Date]])</f>
        <v>2023</v>
      </c>
    </row>
    <row r="740" spans="1:17" x14ac:dyDescent="0.3">
      <c r="A740" t="s">
        <v>27</v>
      </c>
      <c r="B740" t="s">
        <v>17</v>
      </c>
      <c r="C740" s="6" t="s">
        <v>30</v>
      </c>
      <c r="D740" s="6" t="str">
        <f>CONCATENATE(financials[[#This Row],[Segment]],",",financials[[#This Row],[Country]],",",financials[[#This Row],[Product]])</f>
        <v>Small Business,Canada,VTT</v>
      </c>
      <c r="E740" s="6" t="s">
        <v>19</v>
      </c>
      <c r="F740">
        <f t="shared" ca="1" si="22"/>
        <v>640</v>
      </c>
      <c r="G740" s="1">
        <f ca="1">VLOOKUP(financials[[#This Row],[ID]],Prices!D:F,2,FALSE)</f>
        <v>10</v>
      </c>
      <c r="H740" s="1">
        <f ca="1">VLOOKUP(financials[[#This Row],[ID]],Prices!D:F,3,FALSE)</f>
        <v>21</v>
      </c>
      <c r="I740" s="1">
        <f ca="1">financials[[#This Row],[Units Sold]]*financials[[#This Row],[Sale Price]]</f>
        <v>13440</v>
      </c>
      <c r="J7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672</v>
      </c>
      <c r="K740" s="1">
        <f ca="1">financials[[#This Row],[Gross Sales]]-financials[[#This Row],[Discounts]]</f>
        <v>12768</v>
      </c>
      <c r="L740" s="1">
        <f ca="1">financials[[#This Row],[Units Sold]]*financials[[#This Row],[Manufacturing Price]]</f>
        <v>6400</v>
      </c>
      <c r="M740" s="1">
        <f ca="1">financials[[#This Row],[Sales]]-financials[[#This Row],[COGS]]</f>
        <v>6368</v>
      </c>
      <c r="N740" s="7">
        <f t="shared" ca="1" si="23"/>
        <v>45377</v>
      </c>
      <c r="O740" s="8">
        <f ca="1">MONTH(financials[[#This Row],[Date]])</f>
        <v>3</v>
      </c>
      <c r="P740" s="6" t="str">
        <f ca="1">TEXT(financials[[#This Row],[Date]],"MMM")</f>
        <v>Mar</v>
      </c>
      <c r="Q740">
        <f ca="1">YEAR(financials[[#This Row],[Date]])</f>
        <v>2024</v>
      </c>
    </row>
    <row r="741" spans="1:17" x14ac:dyDescent="0.3">
      <c r="A741" t="s">
        <v>25</v>
      </c>
      <c r="B741" t="s">
        <v>20</v>
      </c>
      <c r="C741" s="6" t="s">
        <v>30</v>
      </c>
      <c r="D741" s="6" t="str">
        <f>CONCATENATE(financials[[#This Row],[Segment]],",",financials[[#This Row],[Country]],",",financials[[#This Row],[Product]])</f>
        <v>Channel Partners,Germany,VTT</v>
      </c>
      <c r="E741" s="6" t="s">
        <v>19</v>
      </c>
      <c r="F741">
        <f t="shared" ca="1" si="22"/>
        <v>302</v>
      </c>
      <c r="G741" s="1">
        <f ca="1">VLOOKUP(financials[[#This Row],[ID]],Prices!D:F,2,FALSE)</f>
        <v>20</v>
      </c>
      <c r="H741" s="1">
        <f ca="1">VLOOKUP(financials[[#This Row],[ID]],Prices!D:F,3,FALSE)</f>
        <v>32</v>
      </c>
      <c r="I741" s="1">
        <f ca="1">financials[[#This Row],[Units Sold]]*financials[[#This Row],[Sale Price]]</f>
        <v>9664</v>
      </c>
      <c r="J7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483.20000000000005</v>
      </c>
      <c r="K741" s="1">
        <f ca="1">financials[[#This Row],[Gross Sales]]-financials[[#This Row],[Discounts]]</f>
        <v>9180.7999999999993</v>
      </c>
      <c r="L741" s="1">
        <f ca="1">financials[[#This Row],[Units Sold]]*financials[[#This Row],[Manufacturing Price]]</f>
        <v>6040</v>
      </c>
      <c r="M741" s="1">
        <f ca="1">financials[[#This Row],[Sales]]-financials[[#This Row],[COGS]]</f>
        <v>3140.7999999999993</v>
      </c>
      <c r="N741" s="7">
        <f t="shared" ca="1" si="23"/>
        <v>45380</v>
      </c>
      <c r="O741" s="8">
        <f ca="1">MONTH(financials[[#This Row],[Date]])</f>
        <v>3</v>
      </c>
      <c r="P741" s="6" t="str">
        <f ca="1">TEXT(financials[[#This Row],[Date]],"MMM")</f>
        <v>Mar</v>
      </c>
      <c r="Q741">
        <f ca="1">YEAR(financials[[#This Row],[Date]])</f>
        <v>2024</v>
      </c>
    </row>
    <row r="742" spans="1:17" x14ac:dyDescent="0.3">
      <c r="A742" t="s">
        <v>21</v>
      </c>
      <c r="B742" t="s">
        <v>22</v>
      </c>
      <c r="C742" s="6" t="s">
        <v>30</v>
      </c>
      <c r="D742" s="6" t="str">
        <f>CONCATENATE(financials[[#This Row],[Segment]],",",financials[[#This Row],[Country]],",",financials[[#This Row],[Product]])</f>
        <v>Midmarket,France,VTT</v>
      </c>
      <c r="E742" s="6" t="s">
        <v>19</v>
      </c>
      <c r="F742">
        <f t="shared" ca="1" si="22"/>
        <v>452</v>
      </c>
      <c r="G742" s="1">
        <f ca="1">VLOOKUP(financials[[#This Row],[ID]],Prices!D:F,2,FALSE)</f>
        <v>11</v>
      </c>
      <c r="H742" s="1">
        <f ca="1">VLOOKUP(financials[[#This Row],[ID]],Prices!D:F,3,FALSE)</f>
        <v>25</v>
      </c>
      <c r="I742" s="1">
        <f ca="1">financials[[#This Row],[Units Sold]]*financials[[#This Row],[Sale Price]]</f>
        <v>11300</v>
      </c>
      <c r="J7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565</v>
      </c>
      <c r="K742" s="1">
        <f ca="1">financials[[#This Row],[Gross Sales]]-financials[[#This Row],[Discounts]]</f>
        <v>10735</v>
      </c>
      <c r="L742" s="1">
        <f ca="1">financials[[#This Row],[Units Sold]]*financials[[#This Row],[Manufacturing Price]]</f>
        <v>4972</v>
      </c>
      <c r="M742" s="1">
        <f ca="1">financials[[#This Row],[Sales]]-financials[[#This Row],[COGS]]</f>
        <v>5763</v>
      </c>
      <c r="N742" s="7">
        <f t="shared" ca="1" si="23"/>
        <v>45589</v>
      </c>
      <c r="O742" s="8">
        <f ca="1">MONTH(financials[[#This Row],[Date]])</f>
        <v>10</v>
      </c>
      <c r="P742" s="6" t="str">
        <f ca="1">TEXT(financials[[#This Row],[Date]],"MMM")</f>
        <v>Oct</v>
      </c>
      <c r="Q742">
        <f ca="1">YEAR(financials[[#This Row],[Date]])</f>
        <v>2024</v>
      </c>
    </row>
    <row r="743" spans="1:17" x14ac:dyDescent="0.3">
      <c r="A743" t="s">
        <v>21</v>
      </c>
      <c r="B743" t="s">
        <v>20</v>
      </c>
      <c r="C743" s="6" t="s">
        <v>30</v>
      </c>
      <c r="D743" s="6" t="str">
        <f>CONCATENATE(financials[[#This Row],[Segment]],",",financials[[#This Row],[Country]],",",financials[[#This Row],[Product]])</f>
        <v>Midmarket,Germany,VTT</v>
      </c>
      <c r="E743" s="6" t="s">
        <v>19</v>
      </c>
      <c r="F743">
        <f t="shared" ca="1" si="22"/>
        <v>251</v>
      </c>
      <c r="G743" s="1">
        <f ca="1">VLOOKUP(financials[[#This Row],[ID]],Prices!D:F,2,FALSE)</f>
        <v>12</v>
      </c>
      <c r="H743" s="1">
        <f ca="1">VLOOKUP(financials[[#This Row],[ID]],Prices!D:F,3,FALSE)</f>
        <v>17</v>
      </c>
      <c r="I743" s="1">
        <f ca="1">financials[[#This Row],[Units Sold]]*financials[[#This Row],[Sale Price]]</f>
        <v>4267</v>
      </c>
      <c r="J7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213.35000000000002</v>
      </c>
      <c r="K743" s="1">
        <f ca="1">financials[[#This Row],[Gross Sales]]-financials[[#This Row],[Discounts]]</f>
        <v>4053.65</v>
      </c>
      <c r="L743" s="1">
        <f ca="1">financials[[#This Row],[Units Sold]]*financials[[#This Row],[Manufacturing Price]]</f>
        <v>3012</v>
      </c>
      <c r="M743" s="1">
        <f ca="1">financials[[#This Row],[Sales]]-financials[[#This Row],[COGS]]</f>
        <v>1041.6500000000001</v>
      </c>
      <c r="N743" s="7">
        <f t="shared" ca="1" si="23"/>
        <v>45081</v>
      </c>
      <c r="O743" s="8">
        <f ca="1">MONTH(financials[[#This Row],[Date]])</f>
        <v>6</v>
      </c>
      <c r="P743" s="6" t="str">
        <f ca="1">TEXT(financials[[#This Row],[Date]],"MMM")</f>
        <v>Jun</v>
      </c>
      <c r="Q743">
        <f ca="1">YEAR(financials[[#This Row],[Date]])</f>
        <v>2023</v>
      </c>
    </row>
    <row r="744" spans="1:17" x14ac:dyDescent="0.3">
      <c r="A744" t="s">
        <v>16</v>
      </c>
      <c r="B744" t="s">
        <v>22</v>
      </c>
      <c r="C744" s="6" t="s">
        <v>30</v>
      </c>
      <c r="D744" s="6" t="str">
        <f>CONCATENATE(financials[[#This Row],[Segment]],",",financials[[#This Row],[Country]],",",financials[[#This Row],[Product]])</f>
        <v>Government,France,VTT</v>
      </c>
      <c r="E744" s="6" t="s">
        <v>19</v>
      </c>
      <c r="F744">
        <f t="shared" ca="1" si="22"/>
        <v>725</v>
      </c>
      <c r="G744" s="1">
        <f ca="1">VLOOKUP(financials[[#This Row],[ID]],Prices!D:F,2,FALSE)</f>
        <v>18</v>
      </c>
      <c r="H744" s="1">
        <f ca="1">VLOOKUP(financials[[#This Row],[ID]],Prices!D:F,3,FALSE)</f>
        <v>32</v>
      </c>
      <c r="I744" s="1">
        <f ca="1">financials[[#This Row],[Units Sold]]*financials[[#This Row],[Sale Price]]</f>
        <v>23200</v>
      </c>
      <c r="J7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1160</v>
      </c>
      <c r="K744" s="1">
        <f ca="1">financials[[#This Row],[Gross Sales]]-financials[[#This Row],[Discounts]]</f>
        <v>22040</v>
      </c>
      <c r="L744" s="1">
        <f ca="1">financials[[#This Row],[Units Sold]]*financials[[#This Row],[Manufacturing Price]]</f>
        <v>13050</v>
      </c>
      <c r="M744" s="1">
        <f ca="1">financials[[#This Row],[Sales]]-financials[[#This Row],[COGS]]</f>
        <v>8990</v>
      </c>
      <c r="N744" s="7">
        <f t="shared" ca="1" si="23"/>
        <v>45467</v>
      </c>
      <c r="O744" s="8">
        <f ca="1">MONTH(financials[[#This Row],[Date]])</f>
        <v>6</v>
      </c>
      <c r="P744" s="6" t="str">
        <f ca="1">TEXT(financials[[#This Row],[Date]],"MMM")</f>
        <v>Jun</v>
      </c>
      <c r="Q744">
        <f ca="1">YEAR(financials[[#This Row],[Date]])</f>
        <v>2024</v>
      </c>
    </row>
    <row r="745" spans="1:17" x14ac:dyDescent="0.3">
      <c r="A745" t="s">
        <v>27</v>
      </c>
      <c r="B745" t="s">
        <v>22</v>
      </c>
      <c r="C745" s="6" t="s">
        <v>30</v>
      </c>
      <c r="D745" s="6" t="str">
        <f>CONCATENATE(financials[[#This Row],[Segment]],",",financials[[#This Row],[Country]],",",financials[[#This Row],[Product]])</f>
        <v>Small Business,France,VTT</v>
      </c>
      <c r="E745" s="6" t="s">
        <v>19</v>
      </c>
      <c r="F745">
        <f t="shared" ca="1" si="22"/>
        <v>681</v>
      </c>
      <c r="G745" s="1">
        <f ca="1">VLOOKUP(financials[[#This Row],[ID]],Prices!D:F,2,FALSE)</f>
        <v>20</v>
      </c>
      <c r="H745" s="1">
        <f ca="1">VLOOKUP(financials[[#This Row],[ID]],Prices!D:F,3,FALSE)</f>
        <v>24</v>
      </c>
      <c r="I745" s="1">
        <f ca="1">financials[[#This Row],[Units Sold]]*financials[[#This Row],[Sale Price]]</f>
        <v>16344</v>
      </c>
      <c r="J7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817.2</v>
      </c>
      <c r="K745" s="1">
        <f ca="1">financials[[#This Row],[Gross Sales]]-financials[[#This Row],[Discounts]]</f>
        <v>15526.8</v>
      </c>
      <c r="L745" s="1">
        <f ca="1">financials[[#This Row],[Units Sold]]*financials[[#This Row],[Manufacturing Price]]</f>
        <v>13620</v>
      </c>
      <c r="M745" s="1">
        <f ca="1">financials[[#This Row],[Sales]]-financials[[#This Row],[COGS]]</f>
        <v>1906.7999999999993</v>
      </c>
      <c r="N745" s="7">
        <f t="shared" ca="1" si="23"/>
        <v>45307</v>
      </c>
      <c r="O745" s="8">
        <f ca="1">MONTH(financials[[#This Row],[Date]])</f>
        <v>1</v>
      </c>
      <c r="P745" s="6" t="str">
        <f ca="1">TEXT(financials[[#This Row],[Date]],"MMM")</f>
        <v>Jan</v>
      </c>
      <c r="Q745">
        <f ca="1">YEAR(financials[[#This Row],[Date]])</f>
        <v>2024</v>
      </c>
    </row>
    <row r="746" spans="1:17" x14ac:dyDescent="0.3">
      <c r="A746" t="s">
        <v>16</v>
      </c>
      <c r="B746" t="s">
        <v>17</v>
      </c>
      <c r="C746" s="6" t="s">
        <v>30</v>
      </c>
      <c r="D746" s="6" t="str">
        <f>CONCATENATE(financials[[#This Row],[Segment]],",",financials[[#This Row],[Country]],",",financials[[#This Row],[Product]])</f>
        <v>Government,Canada,VTT</v>
      </c>
      <c r="E746" s="6" t="s">
        <v>19</v>
      </c>
      <c r="F746">
        <f t="shared" ca="1" si="22"/>
        <v>309</v>
      </c>
      <c r="G746" s="1">
        <f ca="1">VLOOKUP(financials[[#This Row],[ID]],Prices!D:F,2,FALSE)</f>
        <v>17</v>
      </c>
      <c r="H746" s="1">
        <f ca="1">VLOOKUP(financials[[#This Row],[ID]],Prices!D:F,3,FALSE)</f>
        <v>38</v>
      </c>
      <c r="I746" s="1">
        <f ca="1">financials[[#This Row],[Units Sold]]*financials[[#This Row],[Sale Price]]</f>
        <v>11742</v>
      </c>
      <c r="J7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587.1</v>
      </c>
      <c r="K746" s="1">
        <f ca="1">financials[[#This Row],[Gross Sales]]-financials[[#This Row],[Discounts]]</f>
        <v>11154.9</v>
      </c>
      <c r="L746" s="1">
        <f ca="1">financials[[#This Row],[Units Sold]]*financials[[#This Row],[Manufacturing Price]]</f>
        <v>5253</v>
      </c>
      <c r="M746" s="1">
        <f ca="1">financials[[#This Row],[Sales]]-financials[[#This Row],[COGS]]</f>
        <v>5901.9</v>
      </c>
      <c r="N746" s="7">
        <f t="shared" ca="1" si="23"/>
        <v>45514</v>
      </c>
      <c r="O746" s="8">
        <f ca="1">MONTH(financials[[#This Row],[Date]])</f>
        <v>8</v>
      </c>
      <c r="P746" s="6" t="str">
        <f ca="1">TEXT(financials[[#This Row],[Date]],"MMM")</f>
        <v>Aug</v>
      </c>
      <c r="Q746">
        <f ca="1">YEAR(financials[[#This Row],[Date]])</f>
        <v>2024</v>
      </c>
    </row>
    <row r="747" spans="1:17" x14ac:dyDescent="0.3">
      <c r="A747" t="s">
        <v>16</v>
      </c>
      <c r="B747" t="s">
        <v>22</v>
      </c>
      <c r="C747" s="6" t="s">
        <v>31</v>
      </c>
      <c r="D747" s="6" t="str">
        <f>CONCATENATE(financials[[#This Row],[Segment]],",",financials[[#This Row],[Country]],",",financials[[#This Row],[Product]])</f>
        <v>Government,France,Amarilla</v>
      </c>
      <c r="E747" s="6" t="s">
        <v>19</v>
      </c>
      <c r="F747">
        <f t="shared" ca="1" si="22"/>
        <v>157</v>
      </c>
      <c r="G747" s="1">
        <f ca="1">VLOOKUP(financials[[#This Row],[ID]],Prices!D:F,2,FALSE)</f>
        <v>10</v>
      </c>
      <c r="H747" s="1">
        <f ca="1">VLOOKUP(financials[[#This Row],[ID]],Prices!D:F,3,FALSE)</f>
        <v>25</v>
      </c>
      <c r="I747" s="1">
        <f ca="1">financials[[#This Row],[Units Sold]]*financials[[#This Row],[Sale Price]]</f>
        <v>3925</v>
      </c>
      <c r="J7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196.25</v>
      </c>
      <c r="K747" s="1">
        <f ca="1">financials[[#This Row],[Gross Sales]]-financials[[#This Row],[Discounts]]</f>
        <v>3728.75</v>
      </c>
      <c r="L747" s="1">
        <f ca="1">financials[[#This Row],[Units Sold]]*financials[[#This Row],[Manufacturing Price]]</f>
        <v>1570</v>
      </c>
      <c r="M747" s="1">
        <f ca="1">financials[[#This Row],[Sales]]-financials[[#This Row],[COGS]]</f>
        <v>2158.75</v>
      </c>
      <c r="N747" s="7">
        <f t="shared" ca="1" si="23"/>
        <v>45588</v>
      </c>
      <c r="O747" s="8">
        <f ca="1">MONTH(financials[[#This Row],[Date]])</f>
        <v>10</v>
      </c>
      <c r="P747" s="6" t="str">
        <f ca="1">TEXT(financials[[#This Row],[Date]],"MMM")</f>
        <v>Oct</v>
      </c>
      <c r="Q747">
        <f ca="1">YEAR(financials[[#This Row],[Date]])</f>
        <v>2024</v>
      </c>
    </row>
    <row r="748" spans="1:17" x14ac:dyDescent="0.3">
      <c r="A748" t="s">
        <v>25</v>
      </c>
      <c r="B748" t="s">
        <v>36</v>
      </c>
      <c r="C748" s="6" t="s">
        <v>31</v>
      </c>
      <c r="D748" s="6" t="str">
        <f>CONCATENATE(financials[[#This Row],[Segment]],",",financials[[#This Row],[Country]],",",financials[[#This Row],[Product]])</f>
        <v>Channel Partners,USA,Amarilla</v>
      </c>
      <c r="E748" s="6" t="s">
        <v>19</v>
      </c>
      <c r="F748">
        <f t="shared" ca="1" si="22"/>
        <v>56</v>
      </c>
      <c r="G748" s="1">
        <f ca="1">VLOOKUP(financials[[#This Row],[ID]],Prices!D:F,2,FALSE)</f>
        <v>11</v>
      </c>
      <c r="H748" s="1">
        <f ca="1">VLOOKUP(financials[[#This Row],[ID]],Prices!D:F,3,FALSE)</f>
        <v>17</v>
      </c>
      <c r="I748" s="1">
        <f ca="1">financials[[#This Row],[Units Sold]]*financials[[#This Row],[Sale Price]]</f>
        <v>952</v>
      </c>
      <c r="J7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9.52</v>
      </c>
      <c r="K748" s="1">
        <f ca="1">financials[[#This Row],[Gross Sales]]-financials[[#This Row],[Discounts]]</f>
        <v>942.48</v>
      </c>
      <c r="L748" s="1">
        <f ca="1">financials[[#This Row],[Units Sold]]*financials[[#This Row],[Manufacturing Price]]</f>
        <v>616</v>
      </c>
      <c r="M748" s="1">
        <f ca="1">financials[[#This Row],[Sales]]-financials[[#This Row],[COGS]]</f>
        <v>326.48</v>
      </c>
      <c r="N748" s="7">
        <f t="shared" ca="1" si="23"/>
        <v>45050</v>
      </c>
      <c r="O748" s="8">
        <f ca="1">MONTH(financials[[#This Row],[Date]])</f>
        <v>5</v>
      </c>
      <c r="P748" s="6" t="str">
        <f ca="1">TEXT(financials[[#This Row],[Date]],"MMM")</f>
        <v>May</v>
      </c>
      <c r="Q748">
        <f ca="1">YEAR(financials[[#This Row],[Date]])</f>
        <v>2023</v>
      </c>
    </row>
    <row r="749" spans="1:17" x14ac:dyDescent="0.3">
      <c r="A749" t="s">
        <v>26</v>
      </c>
      <c r="B749" t="s">
        <v>20</v>
      </c>
      <c r="C749" s="6" t="s">
        <v>31</v>
      </c>
      <c r="D749" s="6" t="str">
        <f>CONCATENATE(financials[[#This Row],[Segment]],",",financials[[#This Row],[Country]],",",financials[[#This Row],[Product]])</f>
        <v>Enterprise,Germany,Amarilla</v>
      </c>
      <c r="E749" s="6" t="s">
        <v>19</v>
      </c>
      <c r="F749">
        <f t="shared" ca="1" si="22"/>
        <v>435</v>
      </c>
      <c r="G749" s="1">
        <f ca="1">VLOOKUP(financials[[#This Row],[ID]],Prices!D:F,2,FALSE)</f>
        <v>13</v>
      </c>
      <c r="H749" s="1">
        <f ca="1">VLOOKUP(financials[[#This Row],[ID]],Prices!D:F,3,FALSE)</f>
        <v>21</v>
      </c>
      <c r="I749" s="1">
        <f ca="1">financials[[#This Row],[Units Sold]]*financials[[#This Row],[Sale Price]]</f>
        <v>9135</v>
      </c>
      <c r="J7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456.75</v>
      </c>
      <c r="K749" s="1">
        <f ca="1">financials[[#This Row],[Gross Sales]]-financials[[#This Row],[Discounts]]</f>
        <v>8678.25</v>
      </c>
      <c r="L749" s="1">
        <f ca="1">financials[[#This Row],[Units Sold]]*financials[[#This Row],[Manufacturing Price]]</f>
        <v>5655</v>
      </c>
      <c r="M749" s="1">
        <f ca="1">financials[[#This Row],[Sales]]-financials[[#This Row],[COGS]]</f>
        <v>3023.25</v>
      </c>
      <c r="N749" s="7">
        <f t="shared" ca="1" si="23"/>
        <v>45105</v>
      </c>
      <c r="O749" s="8">
        <f ca="1">MONTH(financials[[#This Row],[Date]])</f>
        <v>6</v>
      </c>
      <c r="P749" s="6" t="str">
        <f ca="1">TEXT(financials[[#This Row],[Date]],"MMM")</f>
        <v>Jun</v>
      </c>
      <c r="Q749">
        <f ca="1">YEAR(financials[[#This Row],[Date]])</f>
        <v>2023</v>
      </c>
    </row>
    <row r="750" spans="1:17" x14ac:dyDescent="0.3">
      <c r="A750" t="s">
        <v>16</v>
      </c>
      <c r="B750" t="s">
        <v>22</v>
      </c>
      <c r="C750" s="6" t="s">
        <v>31</v>
      </c>
      <c r="D750" s="6" t="str">
        <f>CONCATENATE(financials[[#This Row],[Segment]],",",financials[[#This Row],[Country]],",",financials[[#This Row],[Product]])</f>
        <v>Government,France,Amarilla</v>
      </c>
      <c r="E750" s="6" t="s">
        <v>19</v>
      </c>
      <c r="F750">
        <f t="shared" ca="1" si="22"/>
        <v>732</v>
      </c>
      <c r="G750" s="1">
        <f ca="1">VLOOKUP(financials[[#This Row],[ID]],Prices!D:F,2,FALSE)</f>
        <v>10</v>
      </c>
      <c r="H750" s="1">
        <f ca="1">VLOOKUP(financials[[#This Row],[ID]],Prices!D:F,3,FALSE)</f>
        <v>25</v>
      </c>
      <c r="I750" s="1">
        <f ca="1">financials[[#This Row],[Units Sold]]*financials[[#This Row],[Sale Price]]</f>
        <v>18300</v>
      </c>
      <c r="J7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915</v>
      </c>
      <c r="K750" s="1">
        <f ca="1">financials[[#This Row],[Gross Sales]]-financials[[#This Row],[Discounts]]</f>
        <v>17385</v>
      </c>
      <c r="L750" s="1">
        <f ca="1">financials[[#This Row],[Units Sold]]*financials[[#This Row],[Manufacturing Price]]</f>
        <v>7320</v>
      </c>
      <c r="M750" s="1">
        <f ca="1">financials[[#This Row],[Sales]]-financials[[#This Row],[COGS]]</f>
        <v>10065</v>
      </c>
      <c r="N750" s="7">
        <f t="shared" ca="1" si="23"/>
        <v>45114</v>
      </c>
      <c r="O750" s="8">
        <f ca="1">MONTH(financials[[#This Row],[Date]])</f>
        <v>7</v>
      </c>
      <c r="P750" s="6" t="str">
        <f ca="1">TEXT(financials[[#This Row],[Date]],"MMM")</f>
        <v>Jul</v>
      </c>
      <c r="Q750">
        <f ca="1">YEAR(financials[[#This Row],[Date]])</f>
        <v>2023</v>
      </c>
    </row>
    <row r="751" spans="1:17" x14ac:dyDescent="0.3">
      <c r="A751" t="s">
        <v>16</v>
      </c>
      <c r="B751" t="s">
        <v>20</v>
      </c>
      <c r="C751" s="6" t="s">
        <v>31</v>
      </c>
      <c r="D751" s="6" t="str">
        <f>CONCATENATE(financials[[#This Row],[Segment]],",",financials[[#This Row],[Country]],",",financials[[#This Row],[Product]])</f>
        <v>Government,Germany,Amarilla</v>
      </c>
      <c r="E751" s="6" t="s">
        <v>19</v>
      </c>
      <c r="F751">
        <f t="shared" ca="1" si="22"/>
        <v>503</v>
      </c>
      <c r="G751" s="1">
        <f ca="1">VLOOKUP(financials[[#This Row],[ID]],Prices!D:F,2,FALSE)</f>
        <v>10</v>
      </c>
      <c r="H751" s="1">
        <f ca="1">VLOOKUP(financials[[#This Row],[ID]],Prices!D:F,3,FALSE)</f>
        <v>20</v>
      </c>
      <c r="I751" s="1">
        <f ca="1">financials[[#This Row],[Units Sold]]*financials[[#This Row],[Sale Price]]</f>
        <v>10060</v>
      </c>
      <c r="J7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503</v>
      </c>
      <c r="K751" s="1">
        <f ca="1">financials[[#This Row],[Gross Sales]]-financials[[#This Row],[Discounts]]</f>
        <v>9557</v>
      </c>
      <c r="L751" s="1">
        <f ca="1">financials[[#This Row],[Units Sold]]*financials[[#This Row],[Manufacturing Price]]</f>
        <v>5030</v>
      </c>
      <c r="M751" s="1">
        <f ca="1">financials[[#This Row],[Sales]]-financials[[#This Row],[COGS]]</f>
        <v>4527</v>
      </c>
      <c r="N751" s="7">
        <f t="shared" ca="1" si="23"/>
        <v>45725</v>
      </c>
      <c r="O751" s="8">
        <f ca="1">MONTH(financials[[#This Row],[Date]])</f>
        <v>3</v>
      </c>
      <c r="P751" s="6" t="str">
        <f ca="1">TEXT(financials[[#This Row],[Date]],"MMM")</f>
        <v>Mar</v>
      </c>
      <c r="Q751">
        <f ca="1">YEAR(financials[[#This Row],[Date]])</f>
        <v>2025</v>
      </c>
    </row>
    <row r="752" spans="1:17" x14ac:dyDescent="0.3">
      <c r="A752" t="s">
        <v>25</v>
      </c>
      <c r="B752" t="s">
        <v>36</v>
      </c>
      <c r="C752" s="6" t="s">
        <v>31</v>
      </c>
      <c r="D752" s="6" t="str">
        <f>CONCATENATE(financials[[#This Row],[Segment]],",",financials[[#This Row],[Country]],",",financials[[#This Row],[Product]])</f>
        <v>Channel Partners,USA,Amarilla</v>
      </c>
      <c r="E752" s="6" t="s">
        <v>19</v>
      </c>
      <c r="F752">
        <f t="shared" ca="1" si="22"/>
        <v>66</v>
      </c>
      <c r="G752" s="1">
        <f ca="1">VLOOKUP(financials[[#This Row],[ID]],Prices!D:F,2,FALSE)</f>
        <v>11</v>
      </c>
      <c r="H752" s="1">
        <f ca="1">VLOOKUP(financials[[#This Row],[ID]],Prices!D:F,3,FALSE)</f>
        <v>17</v>
      </c>
      <c r="I752" s="1">
        <f ca="1">financials[[#This Row],[Units Sold]]*financials[[#This Row],[Sale Price]]</f>
        <v>1122</v>
      </c>
      <c r="J7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56.1</v>
      </c>
      <c r="K752" s="1">
        <f ca="1">financials[[#This Row],[Gross Sales]]-financials[[#This Row],[Discounts]]</f>
        <v>1065.9000000000001</v>
      </c>
      <c r="L752" s="1">
        <f ca="1">financials[[#This Row],[Units Sold]]*financials[[#This Row],[Manufacturing Price]]</f>
        <v>726</v>
      </c>
      <c r="M752" s="1">
        <f ca="1">financials[[#This Row],[Sales]]-financials[[#This Row],[COGS]]</f>
        <v>339.90000000000009</v>
      </c>
      <c r="N752" s="7">
        <f t="shared" ca="1" si="23"/>
        <v>45659</v>
      </c>
      <c r="O752" s="8">
        <f ca="1">MONTH(financials[[#This Row],[Date]])</f>
        <v>1</v>
      </c>
      <c r="P752" s="6" t="str">
        <f ca="1">TEXT(financials[[#This Row],[Date]],"MMM")</f>
        <v>Jan</v>
      </c>
      <c r="Q752">
        <f ca="1">YEAR(financials[[#This Row],[Date]])</f>
        <v>2025</v>
      </c>
    </row>
    <row r="753" spans="1:17" x14ac:dyDescent="0.3">
      <c r="A753" t="s">
        <v>16</v>
      </c>
      <c r="B753" t="s">
        <v>36</v>
      </c>
      <c r="C753" s="6" t="s">
        <v>31</v>
      </c>
      <c r="D753" s="6" t="str">
        <f>CONCATENATE(financials[[#This Row],[Segment]],",",financials[[#This Row],[Country]],",",financials[[#This Row],[Product]])</f>
        <v>Government,USA,Amarilla</v>
      </c>
      <c r="E753" s="6" t="s">
        <v>19</v>
      </c>
      <c r="F753">
        <f t="shared" ca="1" si="22"/>
        <v>568</v>
      </c>
      <c r="G753" s="1">
        <f ca="1">VLOOKUP(financials[[#This Row],[ID]],Prices!D:F,2,FALSE)</f>
        <v>20</v>
      </c>
      <c r="H753" s="1">
        <f ca="1">VLOOKUP(financials[[#This Row],[ID]],Prices!D:F,3,FALSE)</f>
        <v>37</v>
      </c>
      <c r="I753" s="1">
        <f ca="1">financials[[#This Row],[Units Sold]]*financials[[#This Row],[Sale Price]]</f>
        <v>21016</v>
      </c>
      <c r="J7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1050.8</v>
      </c>
      <c r="K753" s="1">
        <f ca="1">financials[[#This Row],[Gross Sales]]-financials[[#This Row],[Discounts]]</f>
        <v>19965.2</v>
      </c>
      <c r="L753" s="1">
        <f ca="1">financials[[#This Row],[Units Sold]]*financials[[#This Row],[Manufacturing Price]]</f>
        <v>11360</v>
      </c>
      <c r="M753" s="1">
        <f ca="1">financials[[#This Row],[Sales]]-financials[[#This Row],[COGS]]</f>
        <v>8605.2000000000007</v>
      </c>
      <c r="N753" s="7">
        <f t="shared" ca="1" si="23"/>
        <v>45398</v>
      </c>
      <c r="O753" s="8">
        <f ca="1">MONTH(financials[[#This Row],[Date]])</f>
        <v>4</v>
      </c>
      <c r="P753" s="6" t="str">
        <f ca="1">TEXT(financials[[#This Row],[Date]],"MMM")</f>
        <v>Apr</v>
      </c>
      <c r="Q753">
        <f ca="1">YEAR(financials[[#This Row],[Date]])</f>
        <v>2024</v>
      </c>
    </row>
    <row r="754" spans="1:17" x14ac:dyDescent="0.3">
      <c r="A754" t="s">
        <v>21</v>
      </c>
      <c r="B754" t="s">
        <v>36</v>
      </c>
      <c r="C754" s="6" t="s">
        <v>31</v>
      </c>
      <c r="D754" s="6" t="str">
        <f>CONCATENATE(financials[[#This Row],[Segment]],",",financials[[#This Row],[Country]],",",financials[[#This Row],[Product]])</f>
        <v>Midmarket,USA,Amarilla</v>
      </c>
      <c r="E754" s="6" t="s">
        <v>19</v>
      </c>
      <c r="F754">
        <f t="shared" ca="1" si="22"/>
        <v>884</v>
      </c>
      <c r="G754" s="1">
        <f ca="1">VLOOKUP(financials[[#This Row],[ID]],Prices!D:F,2,FALSE)</f>
        <v>12</v>
      </c>
      <c r="H754" s="1">
        <f ca="1">VLOOKUP(financials[[#This Row],[ID]],Prices!D:F,3,FALSE)</f>
        <v>21</v>
      </c>
      <c r="I754" s="1">
        <f ca="1">financials[[#This Row],[Units Sold]]*financials[[#This Row],[Sale Price]]</f>
        <v>18564</v>
      </c>
      <c r="J7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928.2</v>
      </c>
      <c r="K754" s="1">
        <f ca="1">financials[[#This Row],[Gross Sales]]-financials[[#This Row],[Discounts]]</f>
        <v>17635.8</v>
      </c>
      <c r="L754" s="1">
        <f ca="1">financials[[#This Row],[Units Sold]]*financials[[#This Row],[Manufacturing Price]]</f>
        <v>10608</v>
      </c>
      <c r="M754" s="1">
        <f ca="1">financials[[#This Row],[Sales]]-financials[[#This Row],[COGS]]</f>
        <v>7027.7999999999993</v>
      </c>
      <c r="N754" s="7">
        <f t="shared" ca="1" si="23"/>
        <v>45444</v>
      </c>
      <c r="O754" s="8">
        <f ca="1">MONTH(financials[[#This Row],[Date]])</f>
        <v>6</v>
      </c>
      <c r="P754" s="6" t="str">
        <f ca="1">TEXT(financials[[#This Row],[Date]],"MMM")</f>
        <v>Jun</v>
      </c>
      <c r="Q754">
        <f ca="1">YEAR(financials[[#This Row],[Date]])</f>
        <v>2024</v>
      </c>
    </row>
    <row r="755" spans="1:17" x14ac:dyDescent="0.3">
      <c r="A755" t="s">
        <v>16</v>
      </c>
      <c r="B755" t="s">
        <v>22</v>
      </c>
      <c r="C755" s="6" t="s">
        <v>28</v>
      </c>
      <c r="D755" s="6" t="str">
        <f>CONCATENATE(financials[[#This Row],[Segment]],",",financials[[#This Row],[Country]],",",financials[[#This Row],[Product]])</f>
        <v>Government,France,Paseo</v>
      </c>
      <c r="E755" s="6" t="s">
        <v>32</v>
      </c>
      <c r="F755">
        <f t="shared" ca="1" si="22"/>
        <v>659</v>
      </c>
      <c r="G755" s="1">
        <f ca="1">VLOOKUP(financials[[#This Row],[ID]],Prices!D:F,2,FALSE)</f>
        <v>14</v>
      </c>
      <c r="H755" s="1">
        <f ca="1">VLOOKUP(financials[[#This Row],[ID]],Prices!D:F,3,FALSE)</f>
        <v>18</v>
      </c>
      <c r="I755" s="1">
        <f ca="1">financials[[#This Row],[Units Sold]]*financials[[#This Row],[Sale Price]]</f>
        <v>11862</v>
      </c>
      <c r="J7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593.1</v>
      </c>
      <c r="K755" s="1">
        <f ca="1">financials[[#This Row],[Gross Sales]]-financials[[#This Row],[Discounts]]</f>
        <v>11268.9</v>
      </c>
      <c r="L755" s="1">
        <f ca="1">financials[[#This Row],[Units Sold]]*financials[[#This Row],[Manufacturing Price]]</f>
        <v>9226</v>
      </c>
      <c r="M755" s="1">
        <f ca="1">financials[[#This Row],[Sales]]-financials[[#This Row],[COGS]]</f>
        <v>2042.8999999999996</v>
      </c>
      <c r="N755" s="7">
        <f t="shared" ca="1" si="23"/>
        <v>45125</v>
      </c>
      <c r="O755" s="8">
        <f ca="1">MONTH(financials[[#This Row],[Date]])</f>
        <v>7</v>
      </c>
      <c r="P755" s="6" t="str">
        <f ca="1">TEXT(financials[[#This Row],[Date]],"MMM")</f>
        <v>Jul</v>
      </c>
      <c r="Q755">
        <f ca="1">YEAR(financials[[#This Row],[Date]])</f>
        <v>2023</v>
      </c>
    </row>
    <row r="756" spans="1:17" x14ac:dyDescent="0.3">
      <c r="A756" t="s">
        <v>21</v>
      </c>
      <c r="B756" t="s">
        <v>22</v>
      </c>
      <c r="C756" s="6" t="s">
        <v>28</v>
      </c>
      <c r="D756" s="6" t="str">
        <f>CONCATENATE(financials[[#This Row],[Segment]],",",financials[[#This Row],[Country]],",",financials[[#This Row],[Product]])</f>
        <v>Midmarket,France,Paseo</v>
      </c>
      <c r="E756" s="6" t="s">
        <v>32</v>
      </c>
      <c r="F756">
        <f t="shared" ca="1" si="22"/>
        <v>789</v>
      </c>
      <c r="G756" s="1">
        <f ca="1">VLOOKUP(financials[[#This Row],[ID]],Prices!D:F,2,FALSE)</f>
        <v>20</v>
      </c>
      <c r="H756" s="1">
        <f ca="1">VLOOKUP(financials[[#This Row],[ID]],Prices!D:F,3,FALSE)</f>
        <v>38</v>
      </c>
      <c r="I756" s="1">
        <f ca="1">financials[[#This Row],[Units Sold]]*financials[[#This Row],[Sale Price]]</f>
        <v>29982</v>
      </c>
      <c r="J7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1499.1000000000001</v>
      </c>
      <c r="K756" s="1">
        <f ca="1">financials[[#This Row],[Gross Sales]]-financials[[#This Row],[Discounts]]</f>
        <v>28482.9</v>
      </c>
      <c r="L756" s="1">
        <f ca="1">financials[[#This Row],[Units Sold]]*financials[[#This Row],[Manufacturing Price]]</f>
        <v>15780</v>
      </c>
      <c r="M756" s="1">
        <f ca="1">financials[[#This Row],[Sales]]-financials[[#This Row],[COGS]]</f>
        <v>12702.900000000001</v>
      </c>
      <c r="N756" s="7">
        <f t="shared" ca="1" si="23"/>
        <v>45385</v>
      </c>
      <c r="O756" s="8">
        <f ca="1">MONTH(financials[[#This Row],[Date]])</f>
        <v>4</v>
      </c>
      <c r="P756" s="6" t="str">
        <f ca="1">TEXT(financials[[#This Row],[Date]],"MMM")</f>
        <v>Apr</v>
      </c>
      <c r="Q756">
        <f ca="1">YEAR(financials[[#This Row],[Date]])</f>
        <v>2024</v>
      </c>
    </row>
    <row r="757" spans="1:17" x14ac:dyDescent="0.3">
      <c r="A757" t="s">
        <v>16</v>
      </c>
      <c r="B757" t="s">
        <v>22</v>
      </c>
      <c r="C757" s="6" t="s">
        <v>28</v>
      </c>
      <c r="D757" s="6" t="str">
        <f>CONCATENATE(financials[[#This Row],[Segment]],",",financials[[#This Row],[Country]],",",financials[[#This Row],[Product]])</f>
        <v>Government,France,Paseo</v>
      </c>
      <c r="E757" s="6" t="s">
        <v>32</v>
      </c>
      <c r="F757">
        <f t="shared" ca="1" si="22"/>
        <v>575</v>
      </c>
      <c r="G757" s="1">
        <f ca="1">VLOOKUP(financials[[#This Row],[ID]],Prices!D:F,2,FALSE)</f>
        <v>14</v>
      </c>
      <c r="H757" s="1">
        <f ca="1">VLOOKUP(financials[[#This Row],[ID]],Prices!D:F,3,FALSE)</f>
        <v>18</v>
      </c>
      <c r="I757" s="1">
        <f ca="1">financials[[#This Row],[Units Sold]]*financials[[#This Row],[Sale Price]]</f>
        <v>10350</v>
      </c>
      <c r="J7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517.5</v>
      </c>
      <c r="K757" s="1">
        <f ca="1">financials[[#This Row],[Gross Sales]]-financials[[#This Row],[Discounts]]</f>
        <v>9832.5</v>
      </c>
      <c r="L757" s="1">
        <f ca="1">financials[[#This Row],[Units Sold]]*financials[[#This Row],[Manufacturing Price]]</f>
        <v>8050</v>
      </c>
      <c r="M757" s="1">
        <f ca="1">financials[[#This Row],[Sales]]-financials[[#This Row],[COGS]]</f>
        <v>1782.5</v>
      </c>
      <c r="N757" s="7">
        <f t="shared" ca="1" si="23"/>
        <v>45225</v>
      </c>
      <c r="O757" s="8">
        <f ca="1">MONTH(financials[[#This Row],[Date]])</f>
        <v>10</v>
      </c>
      <c r="P757" s="6" t="str">
        <f ca="1">TEXT(financials[[#This Row],[Date]],"MMM")</f>
        <v>Oct</v>
      </c>
      <c r="Q757">
        <f ca="1">YEAR(financials[[#This Row],[Date]])</f>
        <v>2023</v>
      </c>
    </row>
    <row r="758" spans="1:17" x14ac:dyDescent="0.3">
      <c r="A758" t="s">
        <v>16</v>
      </c>
      <c r="B758" t="s">
        <v>22</v>
      </c>
      <c r="C758" s="6" t="s">
        <v>29</v>
      </c>
      <c r="D758" s="6" t="str">
        <f>CONCATENATE(financials[[#This Row],[Segment]],",",financials[[#This Row],[Country]],",",financials[[#This Row],[Product]])</f>
        <v>Government,France,Velo</v>
      </c>
      <c r="E758" s="6" t="s">
        <v>32</v>
      </c>
      <c r="F758">
        <f t="shared" ca="1" si="22"/>
        <v>742</v>
      </c>
      <c r="G758" s="1">
        <f ca="1">VLOOKUP(financials[[#This Row],[ID]],Prices!D:F,2,FALSE)</f>
        <v>20</v>
      </c>
      <c r="H758" s="1">
        <f ca="1">VLOOKUP(financials[[#This Row],[ID]],Prices!D:F,3,FALSE)</f>
        <v>36</v>
      </c>
      <c r="I758" s="1">
        <f ca="1">financials[[#This Row],[Units Sold]]*financials[[#This Row],[Sale Price]]</f>
        <v>26712</v>
      </c>
      <c r="J7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1335.6000000000001</v>
      </c>
      <c r="K758" s="1">
        <f ca="1">financials[[#This Row],[Gross Sales]]-financials[[#This Row],[Discounts]]</f>
        <v>25376.400000000001</v>
      </c>
      <c r="L758" s="1">
        <f ca="1">financials[[#This Row],[Units Sold]]*financials[[#This Row],[Manufacturing Price]]</f>
        <v>14840</v>
      </c>
      <c r="M758" s="1">
        <f ca="1">financials[[#This Row],[Sales]]-financials[[#This Row],[COGS]]</f>
        <v>10536.400000000001</v>
      </c>
      <c r="N758" s="7">
        <f t="shared" ca="1" si="23"/>
        <v>45225</v>
      </c>
      <c r="O758" s="8">
        <f ca="1">MONTH(financials[[#This Row],[Date]])</f>
        <v>10</v>
      </c>
      <c r="P758" s="6" t="str">
        <f ca="1">TEXT(financials[[#This Row],[Date]],"MMM")</f>
        <v>Oct</v>
      </c>
      <c r="Q758">
        <f ca="1">YEAR(financials[[#This Row],[Date]])</f>
        <v>2023</v>
      </c>
    </row>
    <row r="759" spans="1:17" x14ac:dyDescent="0.3">
      <c r="A759" t="s">
        <v>16</v>
      </c>
      <c r="B759" t="s">
        <v>17</v>
      </c>
      <c r="C759" s="6" t="s">
        <v>30</v>
      </c>
      <c r="D759" s="6" t="str">
        <f>CONCATENATE(financials[[#This Row],[Segment]],",",financials[[#This Row],[Country]],",",financials[[#This Row],[Product]])</f>
        <v>Government,Canada,VTT</v>
      </c>
      <c r="E759" s="6" t="s">
        <v>32</v>
      </c>
      <c r="F759">
        <f t="shared" ca="1" si="22"/>
        <v>341</v>
      </c>
      <c r="G759" s="1">
        <f ca="1">VLOOKUP(financials[[#This Row],[ID]],Prices!D:F,2,FALSE)</f>
        <v>17</v>
      </c>
      <c r="H759" s="1">
        <f ca="1">VLOOKUP(financials[[#This Row],[ID]],Prices!D:F,3,FALSE)</f>
        <v>38</v>
      </c>
      <c r="I759" s="1">
        <f ca="1">financials[[#This Row],[Units Sold]]*financials[[#This Row],[Sale Price]]</f>
        <v>12958</v>
      </c>
      <c r="J7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647.90000000000009</v>
      </c>
      <c r="K759" s="1">
        <f ca="1">financials[[#This Row],[Gross Sales]]-financials[[#This Row],[Discounts]]</f>
        <v>12310.1</v>
      </c>
      <c r="L759" s="1">
        <f ca="1">financials[[#This Row],[Units Sold]]*financials[[#This Row],[Manufacturing Price]]</f>
        <v>5797</v>
      </c>
      <c r="M759" s="1">
        <f ca="1">financials[[#This Row],[Sales]]-financials[[#This Row],[COGS]]</f>
        <v>6513.1</v>
      </c>
      <c r="N759" s="7">
        <f t="shared" ca="1" si="23"/>
        <v>45112</v>
      </c>
      <c r="O759" s="8">
        <f ca="1">MONTH(financials[[#This Row],[Date]])</f>
        <v>7</v>
      </c>
      <c r="P759" s="6" t="str">
        <f ca="1">TEXT(financials[[#This Row],[Date]],"MMM")</f>
        <v>Jul</v>
      </c>
      <c r="Q759">
        <f ca="1">YEAR(financials[[#This Row],[Date]])</f>
        <v>2023</v>
      </c>
    </row>
    <row r="760" spans="1:17" x14ac:dyDescent="0.3">
      <c r="A760" t="s">
        <v>25</v>
      </c>
      <c r="B760" t="s">
        <v>36</v>
      </c>
      <c r="C760" s="6" t="s">
        <v>18</v>
      </c>
      <c r="D760" s="6" t="str">
        <f>CONCATENATE(financials[[#This Row],[Segment]],",",financials[[#This Row],[Country]],",",financials[[#This Row],[Product]])</f>
        <v>Channel Partners,USA,Carretera</v>
      </c>
      <c r="E760" s="6" t="s">
        <v>32</v>
      </c>
      <c r="F760">
        <f t="shared" ca="1" si="22"/>
        <v>100</v>
      </c>
      <c r="G760" s="1">
        <f ca="1">VLOOKUP(financials[[#This Row],[ID]],Prices!D:F,2,FALSE)</f>
        <v>13</v>
      </c>
      <c r="H760" s="1">
        <f ca="1">VLOOKUP(financials[[#This Row],[ID]],Prices!D:F,3,FALSE)</f>
        <v>27</v>
      </c>
      <c r="I760" s="1">
        <f ca="1">financials[[#This Row],[Units Sold]]*financials[[#This Row],[Sale Price]]</f>
        <v>2700</v>
      </c>
      <c r="J7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135</v>
      </c>
      <c r="K760" s="1">
        <f ca="1">financials[[#This Row],[Gross Sales]]-financials[[#This Row],[Discounts]]</f>
        <v>2565</v>
      </c>
      <c r="L760" s="1">
        <f ca="1">financials[[#This Row],[Units Sold]]*financials[[#This Row],[Manufacturing Price]]</f>
        <v>1300</v>
      </c>
      <c r="M760" s="1">
        <f ca="1">financials[[#This Row],[Sales]]-financials[[#This Row],[COGS]]</f>
        <v>1265</v>
      </c>
      <c r="N760" s="7">
        <f t="shared" ca="1" si="23"/>
        <v>45047</v>
      </c>
      <c r="O760" s="8">
        <f ca="1">MONTH(financials[[#This Row],[Date]])</f>
        <v>5</v>
      </c>
      <c r="P760" s="6" t="str">
        <f ca="1">TEXT(financials[[#This Row],[Date]],"MMM")</f>
        <v>May</v>
      </c>
      <c r="Q760">
        <f ca="1">YEAR(financials[[#This Row],[Date]])</f>
        <v>2023</v>
      </c>
    </row>
    <row r="761" spans="1:17" x14ac:dyDescent="0.3">
      <c r="A761" t="s">
        <v>16</v>
      </c>
      <c r="B761" t="s">
        <v>23</v>
      </c>
      <c r="C761" s="6" t="s">
        <v>18</v>
      </c>
      <c r="D761" s="6" t="str">
        <f>CONCATENATE(financials[[#This Row],[Segment]],",",financials[[#This Row],[Country]],",",financials[[#This Row],[Product]])</f>
        <v>Government,Mexico,Carretera</v>
      </c>
      <c r="E761" s="6" t="s">
        <v>32</v>
      </c>
      <c r="F761">
        <f t="shared" ca="1" si="22"/>
        <v>193</v>
      </c>
      <c r="G761" s="1">
        <f ca="1">VLOOKUP(financials[[#This Row],[ID]],Prices!D:F,2,FALSE)</f>
        <v>16</v>
      </c>
      <c r="H761" s="1">
        <f ca="1">VLOOKUP(financials[[#This Row],[ID]],Prices!D:F,3,FALSE)</f>
        <v>31</v>
      </c>
      <c r="I761" s="1">
        <f ca="1">financials[[#This Row],[Units Sold]]*financials[[#This Row],[Sale Price]]</f>
        <v>5983</v>
      </c>
      <c r="J7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299.15000000000003</v>
      </c>
      <c r="K761" s="1">
        <f ca="1">financials[[#This Row],[Gross Sales]]-financials[[#This Row],[Discounts]]</f>
        <v>5683.85</v>
      </c>
      <c r="L761" s="1">
        <f ca="1">financials[[#This Row],[Units Sold]]*financials[[#This Row],[Manufacturing Price]]</f>
        <v>3088</v>
      </c>
      <c r="M761" s="1">
        <f ca="1">financials[[#This Row],[Sales]]-financials[[#This Row],[COGS]]</f>
        <v>2595.8500000000004</v>
      </c>
      <c r="N761" s="7">
        <f t="shared" ca="1" si="23"/>
        <v>45392</v>
      </c>
      <c r="O761" s="8">
        <f ca="1">MONTH(financials[[#This Row],[Date]])</f>
        <v>4</v>
      </c>
      <c r="P761" s="6" t="str">
        <f ca="1">TEXT(financials[[#This Row],[Date]],"MMM")</f>
        <v>Apr</v>
      </c>
      <c r="Q761">
        <f ca="1">YEAR(financials[[#This Row],[Date]])</f>
        <v>2024</v>
      </c>
    </row>
    <row r="762" spans="1:17" x14ac:dyDescent="0.3">
      <c r="A762" t="s">
        <v>16</v>
      </c>
      <c r="B762" t="s">
        <v>36</v>
      </c>
      <c r="C762" s="6" t="s">
        <v>18</v>
      </c>
      <c r="D762" s="6" t="str">
        <f>CONCATENATE(financials[[#This Row],[Segment]],",",financials[[#This Row],[Country]],",",financials[[#This Row],[Product]])</f>
        <v>Government,USA,Carretera</v>
      </c>
      <c r="E762" s="6" t="s">
        <v>32</v>
      </c>
      <c r="F762">
        <f t="shared" ca="1" si="22"/>
        <v>489</v>
      </c>
      <c r="G762" s="1">
        <f ca="1">VLOOKUP(financials[[#This Row],[ID]],Prices!D:F,2,FALSE)</f>
        <v>11</v>
      </c>
      <c r="H762" s="1">
        <f ca="1">VLOOKUP(financials[[#This Row],[ID]],Prices!D:F,3,FALSE)</f>
        <v>21</v>
      </c>
      <c r="I762" s="1">
        <f ca="1">financials[[#This Row],[Units Sold]]*financials[[#This Row],[Sale Price]]</f>
        <v>10269</v>
      </c>
      <c r="J7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513.45000000000005</v>
      </c>
      <c r="K762" s="1">
        <f ca="1">financials[[#This Row],[Gross Sales]]-financials[[#This Row],[Discounts]]</f>
        <v>9755.5499999999993</v>
      </c>
      <c r="L762" s="1">
        <f ca="1">financials[[#This Row],[Units Sold]]*financials[[#This Row],[Manufacturing Price]]</f>
        <v>5379</v>
      </c>
      <c r="M762" s="1">
        <f ca="1">financials[[#This Row],[Sales]]-financials[[#This Row],[COGS]]</f>
        <v>4376.5499999999993</v>
      </c>
      <c r="N762" s="7">
        <f t="shared" ca="1" si="23"/>
        <v>45369</v>
      </c>
      <c r="O762" s="8">
        <f ca="1">MONTH(financials[[#This Row],[Date]])</f>
        <v>3</v>
      </c>
      <c r="P762" s="6" t="str">
        <f ca="1">TEXT(financials[[#This Row],[Date]],"MMM")</f>
        <v>Mar</v>
      </c>
      <c r="Q762">
        <f ca="1">YEAR(financials[[#This Row],[Date]])</f>
        <v>2024</v>
      </c>
    </row>
    <row r="763" spans="1:17" x14ac:dyDescent="0.3">
      <c r="A763" t="s">
        <v>25</v>
      </c>
      <c r="B763" t="s">
        <v>17</v>
      </c>
      <c r="C763" s="6" t="s">
        <v>18</v>
      </c>
      <c r="D763" s="6" t="str">
        <f>CONCATENATE(financials[[#This Row],[Segment]],",",financials[[#This Row],[Country]],",",financials[[#This Row],[Product]])</f>
        <v>Channel Partners,Canada,Carretera</v>
      </c>
      <c r="E763" s="6" t="s">
        <v>32</v>
      </c>
      <c r="F763">
        <f t="shared" ca="1" si="22"/>
        <v>158</v>
      </c>
      <c r="G763" s="1">
        <f ca="1">VLOOKUP(financials[[#This Row],[ID]],Prices!D:F,2,FALSE)</f>
        <v>17</v>
      </c>
      <c r="H763" s="1">
        <f ca="1">VLOOKUP(financials[[#This Row],[ID]],Prices!D:F,3,FALSE)</f>
        <v>24</v>
      </c>
      <c r="I763" s="1">
        <f ca="1">financials[[#This Row],[Units Sold]]*financials[[#This Row],[Sale Price]]</f>
        <v>3792</v>
      </c>
      <c r="J7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189.60000000000002</v>
      </c>
      <c r="K763" s="1">
        <f ca="1">financials[[#This Row],[Gross Sales]]-financials[[#This Row],[Discounts]]</f>
        <v>3602.4</v>
      </c>
      <c r="L763" s="1">
        <f ca="1">financials[[#This Row],[Units Sold]]*financials[[#This Row],[Manufacturing Price]]</f>
        <v>2686</v>
      </c>
      <c r="M763" s="1">
        <f ca="1">financials[[#This Row],[Sales]]-financials[[#This Row],[COGS]]</f>
        <v>916.40000000000009</v>
      </c>
      <c r="N763" s="7">
        <f t="shared" ca="1" si="23"/>
        <v>45095</v>
      </c>
      <c r="O763" s="8">
        <f ca="1">MONTH(financials[[#This Row],[Date]])</f>
        <v>6</v>
      </c>
      <c r="P763" s="6" t="str">
        <f ca="1">TEXT(financials[[#This Row],[Date]],"MMM")</f>
        <v>Jun</v>
      </c>
      <c r="Q763">
        <f ca="1">YEAR(financials[[#This Row],[Date]])</f>
        <v>2023</v>
      </c>
    </row>
    <row r="764" spans="1:17" x14ac:dyDescent="0.3">
      <c r="A764" t="s">
        <v>26</v>
      </c>
      <c r="B764" t="s">
        <v>36</v>
      </c>
      <c r="C764" s="6" t="s">
        <v>18</v>
      </c>
      <c r="D764" s="6" t="str">
        <f>CONCATENATE(financials[[#This Row],[Segment]],",",financials[[#This Row],[Country]],",",financials[[#This Row],[Product]])</f>
        <v>Enterprise,USA,Carretera</v>
      </c>
      <c r="E764" s="6" t="s">
        <v>32</v>
      </c>
      <c r="F764">
        <f t="shared" ca="1" si="22"/>
        <v>544</v>
      </c>
      <c r="G764" s="1">
        <f ca="1">VLOOKUP(financials[[#This Row],[ID]],Prices!D:F,2,FALSE)</f>
        <v>18</v>
      </c>
      <c r="H764" s="1">
        <f ca="1">VLOOKUP(financials[[#This Row],[ID]],Prices!D:F,3,FALSE)</f>
        <v>34</v>
      </c>
      <c r="I764" s="1">
        <f ca="1">financials[[#This Row],[Units Sold]]*financials[[#This Row],[Sale Price]]</f>
        <v>18496</v>
      </c>
      <c r="J7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924.80000000000007</v>
      </c>
      <c r="K764" s="1">
        <f ca="1">financials[[#This Row],[Gross Sales]]-financials[[#This Row],[Discounts]]</f>
        <v>17571.2</v>
      </c>
      <c r="L764" s="1">
        <f ca="1">financials[[#This Row],[Units Sold]]*financials[[#This Row],[Manufacturing Price]]</f>
        <v>9792</v>
      </c>
      <c r="M764" s="1">
        <f ca="1">financials[[#This Row],[Sales]]-financials[[#This Row],[COGS]]</f>
        <v>7779.2000000000007</v>
      </c>
      <c r="N764" s="7">
        <f t="shared" ca="1" si="23"/>
        <v>45404</v>
      </c>
      <c r="O764" s="8">
        <f ca="1">MONTH(financials[[#This Row],[Date]])</f>
        <v>4</v>
      </c>
      <c r="P764" s="6" t="str">
        <f ca="1">TEXT(financials[[#This Row],[Date]],"MMM")</f>
        <v>Apr</v>
      </c>
      <c r="Q764">
        <f ca="1">YEAR(financials[[#This Row],[Date]])</f>
        <v>2024</v>
      </c>
    </row>
    <row r="765" spans="1:17" x14ac:dyDescent="0.3">
      <c r="A765" t="s">
        <v>25</v>
      </c>
      <c r="B765" t="s">
        <v>22</v>
      </c>
      <c r="C765" s="6" t="s">
        <v>18</v>
      </c>
      <c r="D765" s="6" t="str">
        <f>CONCATENATE(financials[[#This Row],[Segment]],",",financials[[#This Row],[Country]],",",financials[[#This Row],[Product]])</f>
        <v>Channel Partners,France,Carretera</v>
      </c>
      <c r="E765" s="6" t="s">
        <v>32</v>
      </c>
      <c r="F765">
        <f t="shared" ca="1" si="22"/>
        <v>202</v>
      </c>
      <c r="G765" s="1">
        <f ca="1">VLOOKUP(financials[[#This Row],[ID]],Prices!D:F,2,FALSE)</f>
        <v>10</v>
      </c>
      <c r="H765" s="1">
        <f ca="1">VLOOKUP(financials[[#This Row],[ID]],Prices!D:F,3,FALSE)</f>
        <v>25</v>
      </c>
      <c r="I765" s="1">
        <f ca="1">financials[[#This Row],[Units Sold]]*financials[[#This Row],[Sale Price]]</f>
        <v>5050</v>
      </c>
      <c r="J7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252.5</v>
      </c>
      <c r="K765" s="1">
        <f ca="1">financials[[#This Row],[Gross Sales]]-financials[[#This Row],[Discounts]]</f>
        <v>4797.5</v>
      </c>
      <c r="L765" s="1">
        <f ca="1">financials[[#This Row],[Units Sold]]*financials[[#This Row],[Manufacturing Price]]</f>
        <v>2020</v>
      </c>
      <c r="M765" s="1">
        <f ca="1">financials[[#This Row],[Sales]]-financials[[#This Row],[COGS]]</f>
        <v>2777.5</v>
      </c>
      <c r="N765" s="7">
        <f t="shared" ca="1" si="23"/>
        <v>45097</v>
      </c>
      <c r="O765" s="8">
        <f ca="1">MONTH(financials[[#This Row],[Date]])</f>
        <v>6</v>
      </c>
      <c r="P765" s="6" t="str">
        <f ca="1">TEXT(financials[[#This Row],[Date]],"MMM")</f>
        <v>Jun</v>
      </c>
      <c r="Q765">
        <f ca="1">YEAR(financials[[#This Row],[Date]])</f>
        <v>2023</v>
      </c>
    </row>
    <row r="766" spans="1:17" x14ac:dyDescent="0.3">
      <c r="A766" t="s">
        <v>25</v>
      </c>
      <c r="B766" t="s">
        <v>20</v>
      </c>
      <c r="C766" s="6" t="s">
        <v>18</v>
      </c>
      <c r="D766" s="6" t="str">
        <f>CONCATENATE(financials[[#This Row],[Segment]],",",financials[[#This Row],[Country]],",",financials[[#This Row],[Product]])</f>
        <v>Channel Partners,Germany,Carretera</v>
      </c>
      <c r="E766" s="6" t="s">
        <v>32</v>
      </c>
      <c r="F766">
        <f t="shared" ca="1" si="22"/>
        <v>776</v>
      </c>
      <c r="G766" s="1">
        <f ca="1">VLOOKUP(financials[[#This Row],[ID]],Prices!D:F,2,FALSE)</f>
        <v>11</v>
      </c>
      <c r="H766" s="1">
        <f ca="1">VLOOKUP(financials[[#This Row],[ID]],Prices!D:F,3,FALSE)</f>
        <v>16</v>
      </c>
      <c r="I766" s="1">
        <f ca="1">financials[[#This Row],[Units Sold]]*financials[[#This Row],[Sale Price]]</f>
        <v>12416</v>
      </c>
      <c r="J7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620.80000000000007</v>
      </c>
      <c r="K766" s="1">
        <f ca="1">financials[[#This Row],[Gross Sales]]-financials[[#This Row],[Discounts]]</f>
        <v>11795.2</v>
      </c>
      <c r="L766" s="1">
        <f ca="1">financials[[#This Row],[Units Sold]]*financials[[#This Row],[Manufacturing Price]]</f>
        <v>8536</v>
      </c>
      <c r="M766" s="1">
        <f ca="1">financials[[#This Row],[Sales]]-financials[[#This Row],[COGS]]</f>
        <v>3259.2000000000007</v>
      </c>
      <c r="N766" s="7">
        <f t="shared" ca="1" si="23"/>
        <v>45716</v>
      </c>
      <c r="O766" s="8">
        <f ca="1">MONTH(financials[[#This Row],[Date]])</f>
        <v>2</v>
      </c>
      <c r="P766" s="6" t="str">
        <f ca="1">TEXT(financials[[#This Row],[Date]],"MMM")</f>
        <v>Feb</v>
      </c>
      <c r="Q766">
        <f ca="1">YEAR(financials[[#This Row],[Date]])</f>
        <v>2025</v>
      </c>
    </row>
    <row r="767" spans="1:17" x14ac:dyDescent="0.3">
      <c r="A767" t="s">
        <v>27</v>
      </c>
      <c r="B767" t="s">
        <v>23</v>
      </c>
      <c r="C767" s="6" t="s">
        <v>18</v>
      </c>
      <c r="D767" s="6" t="str">
        <f>CONCATENATE(financials[[#This Row],[Segment]],",",financials[[#This Row],[Country]],",",financials[[#This Row],[Product]])</f>
        <v>Small Business,Mexico,Carretera</v>
      </c>
      <c r="E767" s="6" t="s">
        <v>32</v>
      </c>
      <c r="F767">
        <f t="shared" ca="1" si="22"/>
        <v>959</v>
      </c>
      <c r="G767" s="1">
        <f ca="1">VLOOKUP(financials[[#This Row],[ID]],Prices!D:F,2,FALSE)</f>
        <v>20</v>
      </c>
      <c r="H767" s="1">
        <f ca="1">VLOOKUP(financials[[#This Row],[ID]],Prices!D:F,3,FALSE)</f>
        <v>25</v>
      </c>
      <c r="I767" s="1">
        <f ca="1">financials[[#This Row],[Units Sold]]*financials[[#This Row],[Sale Price]]</f>
        <v>23975</v>
      </c>
      <c r="J7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1198.75</v>
      </c>
      <c r="K767" s="1">
        <f ca="1">financials[[#This Row],[Gross Sales]]-financials[[#This Row],[Discounts]]</f>
        <v>22776.25</v>
      </c>
      <c r="L767" s="1">
        <f ca="1">financials[[#This Row],[Units Sold]]*financials[[#This Row],[Manufacturing Price]]</f>
        <v>19180</v>
      </c>
      <c r="M767" s="1">
        <f ca="1">financials[[#This Row],[Sales]]-financials[[#This Row],[COGS]]</f>
        <v>3596.25</v>
      </c>
      <c r="N767" s="7">
        <f t="shared" ca="1" si="23"/>
        <v>45604</v>
      </c>
      <c r="O767" s="8">
        <f ca="1">MONTH(financials[[#This Row],[Date]])</f>
        <v>11</v>
      </c>
      <c r="P767" s="6" t="str">
        <f ca="1">TEXT(financials[[#This Row],[Date]],"MMM")</f>
        <v>Nov</v>
      </c>
      <c r="Q767">
        <f ca="1">YEAR(financials[[#This Row],[Date]])</f>
        <v>2024</v>
      </c>
    </row>
    <row r="768" spans="1:17" x14ac:dyDescent="0.3">
      <c r="A768" t="s">
        <v>16</v>
      </c>
      <c r="B768" t="s">
        <v>23</v>
      </c>
      <c r="C768" s="6" t="s">
        <v>18</v>
      </c>
      <c r="D768" s="6" t="str">
        <f>CONCATENATE(financials[[#This Row],[Segment]],",",financials[[#This Row],[Country]],",",financials[[#This Row],[Product]])</f>
        <v>Government,Mexico,Carretera</v>
      </c>
      <c r="E768" s="6" t="s">
        <v>32</v>
      </c>
      <c r="F768">
        <f t="shared" ca="1" si="22"/>
        <v>516</v>
      </c>
      <c r="G768" s="1">
        <f ca="1">VLOOKUP(financials[[#This Row],[ID]],Prices!D:F,2,FALSE)</f>
        <v>16</v>
      </c>
      <c r="H768" s="1">
        <f ca="1">VLOOKUP(financials[[#This Row],[ID]],Prices!D:F,3,FALSE)</f>
        <v>31</v>
      </c>
      <c r="I768" s="1">
        <f ca="1">financials[[#This Row],[Units Sold]]*financials[[#This Row],[Sale Price]]</f>
        <v>15996</v>
      </c>
      <c r="J7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799.80000000000007</v>
      </c>
      <c r="K768" s="1">
        <f ca="1">financials[[#This Row],[Gross Sales]]-financials[[#This Row],[Discounts]]</f>
        <v>15196.2</v>
      </c>
      <c r="L768" s="1">
        <f ca="1">financials[[#This Row],[Units Sold]]*financials[[#This Row],[Manufacturing Price]]</f>
        <v>8256</v>
      </c>
      <c r="M768" s="1">
        <f ca="1">financials[[#This Row],[Sales]]-financials[[#This Row],[COGS]]</f>
        <v>6940.2000000000007</v>
      </c>
      <c r="N768" s="7">
        <f t="shared" ca="1" si="23"/>
        <v>45279</v>
      </c>
      <c r="O768" s="8">
        <f ca="1">MONTH(financials[[#This Row],[Date]])</f>
        <v>12</v>
      </c>
      <c r="P768" s="6" t="str">
        <f ca="1">TEXT(financials[[#This Row],[Date]],"MMM")</f>
        <v>Dec</v>
      </c>
      <c r="Q768">
        <f ca="1">YEAR(financials[[#This Row],[Date]])</f>
        <v>2023</v>
      </c>
    </row>
    <row r="769" spans="1:17" x14ac:dyDescent="0.3">
      <c r="A769" t="s">
        <v>16</v>
      </c>
      <c r="B769" t="s">
        <v>22</v>
      </c>
      <c r="C769" s="6" t="s">
        <v>18</v>
      </c>
      <c r="D769" s="6" t="str">
        <f>CONCATENATE(financials[[#This Row],[Segment]],",",financials[[#This Row],[Country]],",",financials[[#This Row],[Product]])</f>
        <v>Government,France,Carretera</v>
      </c>
      <c r="E769" s="6" t="s">
        <v>32</v>
      </c>
      <c r="F769">
        <f t="shared" ca="1" si="22"/>
        <v>698</v>
      </c>
      <c r="G769" s="1">
        <f ca="1">VLOOKUP(financials[[#This Row],[ID]],Prices!D:F,2,FALSE)</f>
        <v>12</v>
      </c>
      <c r="H769" s="1">
        <f ca="1">VLOOKUP(financials[[#This Row],[ID]],Prices!D:F,3,FALSE)</f>
        <v>38</v>
      </c>
      <c r="I769" s="1">
        <f ca="1">financials[[#This Row],[Units Sold]]*financials[[#This Row],[Sale Price]]</f>
        <v>26524</v>
      </c>
      <c r="J7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1326.2</v>
      </c>
      <c r="K769" s="1">
        <f ca="1">financials[[#This Row],[Gross Sales]]-financials[[#This Row],[Discounts]]</f>
        <v>25197.8</v>
      </c>
      <c r="L769" s="1">
        <f ca="1">financials[[#This Row],[Units Sold]]*financials[[#This Row],[Manufacturing Price]]</f>
        <v>8376</v>
      </c>
      <c r="M769" s="1">
        <f ca="1">financials[[#This Row],[Sales]]-financials[[#This Row],[COGS]]</f>
        <v>16821.8</v>
      </c>
      <c r="N769" s="7">
        <f t="shared" ca="1" si="23"/>
        <v>45447</v>
      </c>
      <c r="O769" s="8">
        <f ca="1">MONTH(financials[[#This Row],[Date]])</f>
        <v>6</v>
      </c>
      <c r="P769" s="6" t="str">
        <f ca="1">TEXT(financials[[#This Row],[Date]],"MMM")</f>
        <v>Jun</v>
      </c>
      <c r="Q769">
        <f ca="1">YEAR(financials[[#This Row],[Date]])</f>
        <v>2024</v>
      </c>
    </row>
    <row r="770" spans="1:17" x14ac:dyDescent="0.3">
      <c r="A770" t="s">
        <v>21</v>
      </c>
      <c r="B770" t="s">
        <v>23</v>
      </c>
      <c r="C770" s="6" t="s">
        <v>24</v>
      </c>
      <c r="D770" s="6" t="str">
        <f>CONCATENATE(financials[[#This Row],[Segment]],",",financials[[#This Row],[Country]],",",financials[[#This Row],[Product]])</f>
        <v>Midmarket,Mexico,Montana</v>
      </c>
      <c r="E770" s="6" t="s">
        <v>32</v>
      </c>
      <c r="F770">
        <f t="shared" ca="1" si="22"/>
        <v>147</v>
      </c>
      <c r="G770" s="1">
        <f ca="1">VLOOKUP(financials[[#This Row],[ID]],Prices!D:F,2,FALSE)</f>
        <v>19</v>
      </c>
      <c r="H770" s="1">
        <f ca="1">VLOOKUP(financials[[#This Row],[ID]],Prices!D:F,3,FALSE)</f>
        <v>17</v>
      </c>
      <c r="I770" s="1">
        <f ca="1">financials[[#This Row],[Units Sold]]*financials[[#This Row],[Sale Price]]</f>
        <v>2499</v>
      </c>
      <c r="J7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124.95</v>
      </c>
      <c r="K770" s="1">
        <f ca="1">financials[[#This Row],[Gross Sales]]-financials[[#This Row],[Discounts]]</f>
        <v>2374.0500000000002</v>
      </c>
      <c r="L770" s="1">
        <f ca="1">financials[[#This Row],[Units Sold]]*financials[[#This Row],[Manufacturing Price]]</f>
        <v>2793</v>
      </c>
      <c r="M770" s="1">
        <f ca="1">financials[[#This Row],[Sales]]-financials[[#This Row],[COGS]]</f>
        <v>-418.94999999999982</v>
      </c>
      <c r="N770" s="7">
        <f t="shared" ca="1" si="23"/>
        <v>45719</v>
      </c>
      <c r="O770" s="8">
        <f ca="1">MONTH(financials[[#This Row],[Date]])</f>
        <v>3</v>
      </c>
      <c r="P770" s="6" t="str">
        <f ca="1">TEXT(financials[[#This Row],[Date]],"MMM")</f>
        <v>Mar</v>
      </c>
      <c r="Q770">
        <f ca="1">YEAR(financials[[#This Row],[Date]])</f>
        <v>2025</v>
      </c>
    </row>
    <row r="771" spans="1:17" x14ac:dyDescent="0.3">
      <c r="A771" t="s">
        <v>27</v>
      </c>
      <c r="B771" t="s">
        <v>36</v>
      </c>
      <c r="C771" s="6" t="s">
        <v>24</v>
      </c>
      <c r="D771" s="6" t="str">
        <f>CONCATENATE(financials[[#This Row],[Segment]],",",financials[[#This Row],[Country]],",",financials[[#This Row],[Product]])</f>
        <v>Small Business,USA,Montana</v>
      </c>
      <c r="E771" s="6" t="s">
        <v>32</v>
      </c>
      <c r="F771">
        <f t="shared" ref="F771:F834" ca="1" si="24">RANDBETWEEN(10,1000)</f>
        <v>246</v>
      </c>
      <c r="G771" s="1">
        <f ca="1">VLOOKUP(financials[[#This Row],[ID]],Prices!D:F,2,FALSE)</f>
        <v>15</v>
      </c>
      <c r="H771" s="1">
        <f ca="1">VLOOKUP(financials[[#This Row],[ID]],Prices!D:F,3,FALSE)</f>
        <v>22</v>
      </c>
      <c r="I771" s="1">
        <f ca="1">financials[[#This Row],[Units Sold]]*financials[[#This Row],[Sale Price]]</f>
        <v>5412</v>
      </c>
      <c r="J7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270.60000000000002</v>
      </c>
      <c r="K771" s="1">
        <f ca="1">financials[[#This Row],[Gross Sales]]-financials[[#This Row],[Discounts]]</f>
        <v>5141.3999999999996</v>
      </c>
      <c r="L771" s="1">
        <f ca="1">financials[[#This Row],[Units Sold]]*financials[[#This Row],[Manufacturing Price]]</f>
        <v>3690</v>
      </c>
      <c r="M771" s="1">
        <f ca="1">financials[[#This Row],[Sales]]-financials[[#This Row],[COGS]]</f>
        <v>1451.3999999999996</v>
      </c>
      <c r="N771" s="7">
        <f t="shared" ref="N771:N834" ca="1" si="25">TODAY()-RANDBETWEEN(1,732)</f>
        <v>45054</v>
      </c>
      <c r="O771" s="8">
        <f ca="1">MONTH(financials[[#This Row],[Date]])</f>
        <v>5</v>
      </c>
      <c r="P771" s="6" t="str">
        <f ca="1">TEXT(financials[[#This Row],[Date]],"MMM")</f>
        <v>May</v>
      </c>
      <c r="Q771">
        <f ca="1">YEAR(financials[[#This Row],[Date]])</f>
        <v>2023</v>
      </c>
    </row>
    <row r="772" spans="1:17" x14ac:dyDescent="0.3">
      <c r="A772" t="s">
        <v>16</v>
      </c>
      <c r="B772" t="s">
        <v>22</v>
      </c>
      <c r="C772" s="6" t="s">
        <v>24</v>
      </c>
      <c r="D772" s="6" t="str">
        <f>CONCATENATE(financials[[#This Row],[Segment]],",",financials[[#This Row],[Country]],",",financials[[#This Row],[Product]])</f>
        <v>Government,France,Montana</v>
      </c>
      <c r="E772" s="6" t="s">
        <v>32</v>
      </c>
      <c r="F772">
        <f t="shared" ca="1" si="24"/>
        <v>780</v>
      </c>
      <c r="G772" s="1">
        <f ca="1">VLOOKUP(financials[[#This Row],[ID]],Prices!D:F,2,FALSE)</f>
        <v>19</v>
      </c>
      <c r="H772" s="1">
        <f ca="1">VLOOKUP(financials[[#This Row],[ID]],Prices!D:F,3,FALSE)</f>
        <v>22</v>
      </c>
      <c r="I772" s="1">
        <f ca="1">financials[[#This Row],[Units Sold]]*financials[[#This Row],[Sale Price]]</f>
        <v>17160</v>
      </c>
      <c r="J7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858</v>
      </c>
      <c r="K772" s="1">
        <f ca="1">financials[[#This Row],[Gross Sales]]-financials[[#This Row],[Discounts]]</f>
        <v>16302</v>
      </c>
      <c r="L772" s="1">
        <f ca="1">financials[[#This Row],[Units Sold]]*financials[[#This Row],[Manufacturing Price]]</f>
        <v>14820</v>
      </c>
      <c r="M772" s="1">
        <f ca="1">financials[[#This Row],[Sales]]-financials[[#This Row],[COGS]]</f>
        <v>1482</v>
      </c>
      <c r="N772" s="7">
        <f t="shared" ca="1" si="25"/>
        <v>45036</v>
      </c>
      <c r="O772" s="8">
        <f ca="1">MONTH(financials[[#This Row],[Date]])</f>
        <v>4</v>
      </c>
      <c r="P772" s="6" t="str">
        <f ca="1">TEXT(financials[[#This Row],[Date]],"MMM")</f>
        <v>Apr</v>
      </c>
      <c r="Q772">
        <f ca="1">YEAR(financials[[#This Row],[Date]])</f>
        <v>2023</v>
      </c>
    </row>
    <row r="773" spans="1:17" x14ac:dyDescent="0.3">
      <c r="A773" t="s">
        <v>16</v>
      </c>
      <c r="B773" t="s">
        <v>17</v>
      </c>
      <c r="C773" s="6" t="s">
        <v>24</v>
      </c>
      <c r="D773" s="6" t="str">
        <f>CONCATENATE(financials[[#This Row],[Segment]],",",financials[[#This Row],[Country]],",",financials[[#This Row],[Product]])</f>
        <v>Government,Canada,Montana</v>
      </c>
      <c r="E773" s="6" t="s">
        <v>32</v>
      </c>
      <c r="F773">
        <f t="shared" ca="1" si="24"/>
        <v>654</v>
      </c>
      <c r="G773" s="1">
        <f ca="1">VLOOKUP(financials[[#This Row],[ID]],Prices!D:F,2,FALSE)</f>
        <v>12</v>
      </c>
      <c r="H773" s="1">
        <f ca="1">VLOOKUP(financials[[#This Row],[ID]],Prices!D:F,3,FALSE)</f>
        <v>30</v>
      </c>
      <c r="I773" s="1">
        <f ca="1">financials[[#This Row],[Units Sold]]*financials[[#This Row],[Sale Price]]</f>
        <v>19620</v>
      </c>
      <c r="J7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981</v>
      </c>
      <c r="K773" s="1">
        <f ca="1">financials[[#This Row],[Gross Sales]]-financials[[#This Row],[Discounts]]</f>
        <v>18639</v>
      </c>
      <c r="L773" s="1">
        <f ca="1">financials[[#This Row],[Units Sold]]*financials[[#This Row],[Manufacturing Price]]</f>
        <v>7848</v>
      </c>
      <c r="M773" s="1">
        <f ca="1">financials[[#This Row],[Sales]]-financials[[#This Row],[COGS]]</f>
        <v>10791</v>
      </c>
      <c r="N773" s="7">
        <f t="shared" ca="1" si="25"/>
        <v>45675</v>
      </c>
      <c r="O773" s="8">
        <f ca="1">MONTH(financials[[#This Row],[Date]])</f>
        <v>1</v>
      </c>
      <c r="P773" s="6" t="str">
        <f ca="1">TEXT(financials[[#This Row],[Date]],"MMM")</f>
        <v>Jan</v>
      </c>
      <c r="Q773">
        <f ca="1">YEAR(financials[[#This Row],[Date]])</f>
        <v>2025</v>
      </c>
    </row>
    <row r="774" spans="1:17" x14ac:dyDescent="0.3">
      <c r="A774" t="s">
        <v>27</v>
      </c>
      <c r="B774" t="s">
        <v>36</v>
      </c>
      <c r="C774" s="6" t="s">
        <v>24</v>
      </c>
      <c r="D774" s="6" t="str">
        <f>CONCATENATE(financials[[#This Row],[Segment]],",",financials[[#This Row],[Country]],",",financials[[#This Row],[Product]])</f>
        <v>Small Business,USA,Montana</v>
      </c>
      <c r="E774" s="6" t="s">
        <v>32</v>
      </c>
      <c r="F774">
        <f t="shared" ca="1" si="24"/>
        <v>53</v>
      </c>
      <c r="G774" s="1">
        <f ca="1">VLOOKUP(financials[[#This Row],[ID]],Prices!D:F,2,FALSE)</f>
        <v>15</v>
      </c>
      <c r="H774" s="1">
        <f ca="1">VLOOKUP(financials[[#This Row],[ID]],Prices!D:F,3,FALSE)</f>
        <v>22</v>
      </c>
      <c r="I774" s="1">
        <f ca="1">financials[[#This Row],[Units Sold]]*financials[[#This Row],[Sale Price]]</f>
        <v>1166</v>
      </c>
      <c r="J7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58.300000000000004</v>
      </c>
      <c r="K774" s="1">
        <f ca="1">financials[[#This Row],[Gross Sales]]-financials[[#This Row],[Discounts]]</f>
        <v>1107.7</v>
      </c>
      <c r="L774" s="1">
        <f ca="1">financials[[#This Row],[Units Sold]]*financials[[#This Row],[Manufacturing Price]]</f>
        <v>795</v>
      </c>
      <c r="M774" s="1">
        <f ca="1">financials[[#This Row],[Sales]]-financials[[#This Row],[COGS]]</f>
        <v>312.70000000000005</v>
      </c>
      <c r="N774" s="7">
        <f t="shared" ca="1" si="25"/>
        <v>45355</v>
      </c>
      <c r="O774" s="8">
        <f ca="1">MONTH(financials[[#This Row],[Date]])</f>
        <v>3</v>
      </c>
      <c r="P774" s="6" t="str">
        <f ca="1">TEXT(financials[[#This Row],[Date]],"MMM")</f>
        <v>Mar</v>
      </c>
      <c r="Q774">
        <f ca="1">YEAR(financials[[#This Row],[Date]])</f>
        <v>2024</v>
      </c>
    </row>
    <row r="775" spans="1:17" x14ac:dyDescent="0.3">
      <c r="A775" t="s">
        <v>26</v>
      </c>
      <c r="B775" t="s">
        <v>36</v>
      </c>
      <c r="C775" s="6" t="s">
        <v>24</v>
      </c>
      <c r="D775" s="6" t="str">
        <f>CONCATENATE(financials[[#This Row],[Segment]],",",financials[[#This Row],[Country]],",",financials[[#This Row],[Product]])</f>
        <v>Enterprise,USA,Montana</v>
      </c>
      <c r="E775" s="6" t="s">
        <v>32</v>
      </c>
      <c r="F775">
        <f t="shared" ca="1" si="24"/>
        <v>273</v>
      </c>
      <c r="G775" s="1">
        <f ca="1">VLOOKUP(financials[[#This Row],[ID]],Prices!D:F,2,FALSE)</f>
        <v>14</v>
      </c>
      <c r="H775" s="1">
        <f ca="1">VLOOKUP(financials[[#This Row],[ID]],Prices!D:F,3,FALSE)</f>
        <v>29</v>
      </c>
      <c r="I775" s="1">
        <f ca="1">financials[[#This Row],[Units Sold]]*financials[[#This Row],[Sale Price]]</f>
        <v>7917</v>
      </c>
      <c r="J7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395.85</v>
      </c>
      <c r="K775" s="1">
        <f ca="1">financials[[#This Row],[Gross Sales]]-financials[[#This Row],[Discounts]]</f>
        <v>7521.15</v>
      </c>
      <c r="L775" s="1">
        <f ca="1">financials[[#This Row],[Units Sold]]*financials[[#This Row],[Manufacturing Price]]</f>
        <v>3822</v>
      </c>
      <c r="M775" s="1">
        <f ca="1">financials[[#This Row],[Sales]]-financials[[#This Row],[COGS]]</f>
        <v>3699.1499999999996</v>
      </c>
      <c r="N775" s="7">
        <f t="shared" ca="1" si="25"/>
        <v>45749</v>
      </c>
      <c r="O775" s="8">
        <f ca="1">MONTH(financials[[#This Row],[Date]])</f>
        <v>4</v>
      </c>
      <c r="P775" s="6" t="str">
        <f ca="1">TEXT(financials[[#This Row],[Date]],"MMM")</f>
        <v>Apr</v>
      </c>
      <c r="Q775">
        <f ca="1">YEAR(financials[[#This Row],[Date]])</f>
        <v>2025</v>
      </c>
    </row>
    <row r="776" spans="1:17" x14ac:dyDescent="0.3">
      <c r="A776" t="s">
        <v>21</v>
      </c>
      <c r="B776" t="s">
        <v>36</v>
      </c>
      <c r="C776" s="6" t="s">
        <v>28</v>
      </c>
      <c r="D776" s="6" t="str">
        <f>CONCATENATE(financials[[#This Row],[Segment]],",",financials[[#This Row],[Country]],",",financials[[#This Row],[Product]])</f>
        <v>Midmarket,USA,Paseo</v>
      </c>
      <c r="E776" s="6" t="s">
        <v>32</v>
      </c>
      <c r="F776">
        <f t="shared" ca="1" si="24"/>
        <v>384</v>
      </c>
      <c r="G776" s="1">
        <f ca="1">VLOOKUP(financials[[#This Row],[ID]],Prices!D:F,2,FALSE)</f>
        <v>13</v>
      </c>
      <c r="H776" s="1">
        <f ca="1">VLOOKUP(financials[[#This Row],[ID]],Prices!D:F,3,FALSE)</f>
        <v>25</v>
      </c>
      <c r="I776" s="1">
        <f ca="1">financials[[#This Row],[Units Sold]]*financials[[#This Row],[Sale Price]]</f>
        <v>9600</v>
      </c>
      <c r="J7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480</v>
      </c>
      <c r="K776" s="1">
        <f ca="1">financials[[#This Row],[Gross Sales]]-financials[[#This Row],[Discounts]]</f>
        <v>9120</v>
      </c>
      <c r="L776" s="1">
        <f ca="1">financials[[#This Row],[Units Sold]]*financials[[#This Row],[Manufacturing Price]]</f>
        <v>4992</v>
      </c>
      <c r="M776" s="1">
        <f ca="1">financials[[#This Row],[Sales]]-financials[[#This Row],[COGS]]</f>
        <v>4128</v>
      </c>
      <c r="N776" s="7">
        <f t="shared" ca="1" si="25"/>
        <v>45752</v>
      </c>
      <c r="O776" s="8">
        <f ca="1">MONTH(financials[[#This Row],[Date]])</f>
        <v>4</v>
      </c>
      <c r="P776" s="6" t="str">
        <f ca="1">TEXT(financials[[#This Row],[Date]],"MMM")</f>
        <v>Apr</v>
      </c>
      <c r="Q776">
        <f ca="1">YEAR(financials[[#This Row],[Date]])</f>
        <v>2025</v>
      </c>
    </row>
    <row r="777" spans="1:17" x14ac:dyDescent="0.3">
      <c r="A777" t="s">
        <v>16</v>
      </c>
      <c r="B777" t="s">
        <v>36</v>
      </c>
      <c r="C777" s="6" t="s">
        <v>28</v>
      </c>
      <c r="D777" s="6" t="str">
        <f>CONCATENATE(financials[[#This Row],[Segment]],",",financials[[#This Row],[Country]],",",financials[[#This Row],[Product]])</f>
        <v>Government,USA,Paseo</v>
      </c>
      <c r="E777" s="6" t="s">
        <v>32</v>
      </c>
      <c r="F777">
        <f t="shared" ca="1" si="24"/>
        <v>448</v>
      </c>
      <c r="G777" s="1">
        <f ca="1">VLOOKUP(financials[[#This Row],[ID]],Prices!D:F,2,FALSE)</f>
        <v>17</v>
      </c>
      <c r="H777" s="1">
        <f ca="1">VLOOKUP(financials[[#This Row],[ID]],Prices!D:F,3,FALSE)</f>
        <v>36</v>
      </c>
      <c r="I777" s="1">
        <f ca="1">financials[[#This Row],[Units Sold]]*financials[[#This Row],[Sale Price]]</f>
        <v>16128</v>
      </c>
      <c r="J7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806.40000000000009</v>
      </c>
      <c r="K777" s="1">
        <f ca="1">financials[[#This Row],[Gross Sales]]-financials[[#This Row],[Discounts]]</f>
        <v>15321.6</v>
      </c>
      <c r="L777" s="1">
        <f ca="1">financials[[#This Row],[Units Sold]]*financials[[#This Row],[Manufacturing Price]]</f>
        <v>7616</v>
      </c>
      <c r="M777" s="1">
        <f ca="1">financials[[#This Row],[Sales]]-financials[[#This Row],[COGS]]</f>
        <v>7705.6</v>
      </c>
      <c r="N777" s="7">
        <f t="shared" ca="1" si="25"/>
        <v>45224</v>
      </c>
      <c r="O777" s="8">
        <f ca="1">MONTH(financials[[#This Row],[Date]])</f>
        <v>10</v>
      </c>
      <c r="P777" s="6" t="str">
        <f ca="1">TEXT(financials[[#This Row],[Date]],"MMM")</f>
        <v>Oct</v>
      </c>
      <c r="Q777">
        <f ca="1">YEAR(financials[[#This Row],[Date]])</f>
        <v>2023</v>
      </c>
    </row>
    <row r="778" spans="1:17" x14ac:dyDescent="0.3">
      <c r="A778" t="s">
        <v>26</v>
      </c>
      <c r="B778" t="s">
        <v>36</v>
      </c>
      <c r="C778" s="6" t="s">
        <v>28</v>
      </c>
      <c r="D778" s="6" t="str">
        <f>CONCATENATE(financials[[#This Row],[Segment]],",",financials[[#This Row],[Country]],",",financials[[#This Row],[Product]])</f>
        <v>Enterprise,USA,Paseo</v>
      </c>
      <c r="E778" s="6" t="s">
        <v>32</v>
      </c>
      <c r="F778">
        <f t="shared" ca="1" si="24"/>
        <v>354</v>
      </c>
      <c r="G778" s="1">
        <f ca="1">VLOOKUP(financials[[#This Row],[ID]],Prices!D:F,2,FALSE)</f>
        <v>17</v>
      </c>
      <c r="H778" s="1">
        <f ca="1">VLOOKUP(financials[[#This Row],[ID]],Prices!D:F,3,FALSE)</f>
        <v>30</v>
      </c>
      <c r="I778" s="1">
        <f ca="1">financials[[#This Row],[Units Sold]]*financials[[#This Row],[Sale Price]]</f>
        <v>10620</v>
      </c>
      <c r="J7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531</v>
      </c>
      <c r="K778" s="1">
        <f ca="1">financials[[#This Row],[Gross Sales]]-financials[[#This Row],[Discounts]]</f>
        <v>10089</v>
      </c>
      <c r="L778" s="1">
        <f ca="1">financials[[#This Row],[Units Sold]]*financials[[#This Row],[Manufacturing Price]]</f>
        <v>6018</v>
      </c>
      <c r="M778" s="1">
        <f ca="1">financials[[#This Row],[Sales]]-financials[[#This Row],[COGS]]</f>
        <v>4071</v>
      </c>
      <c r="N778" s="7">
        <f t="shared" ca="1" si="25"/>
        <v>45197</v>
      </c>
      <c r="O778" s="8">
        <f ca="1">MONTH(financials[[#This Row],[Date]])</f>
        <v>9</v>
      </c>
      <c r="P778" s="6" t="str">
        <f ca="1">TEXT(financials[[#This Row],[Date]],"MMM")</f>
        <v>Sep</v>
      </c>
      <c r="Q778">
        <f ca="1">YEAR(financials[[#This Row],[Date]])</f>
        <v>2023</v>
      </c>
    </row>
    <row r="779" spans="1:17" x14ac:dyDescent="0.3">
      <c r="A779" t="s">
        <v>26</v>
      </c>
      <c r="B779" t="s">
        <v>22</v>
      </c>
      <c r="C779" s="6" t="s">
        <v>28</v>
      </c>
      <c r="D779" s="6" t="str">
        <f>CONCATENATE(financials[[#This Row],[Segment]],",",financials[[#This Row],[Country]],",",financials[[#This Row],[Product]])</f>
        <v>Enterprise,France,Paseo</v>
      </c>
      <c r="E779" s="6" t="s">
        <v>32</v>
      </c>
      <c r="F779">
        <f t="shared" ca="1" si="24"/>
        <v>999</v>
      </c>
      <c r="G779" s="1">
        <f ca="1">VLOOKUP(financials[[#This Row],[ID]],Prices!D:F,2,FALSE)</f>
        <v>11</v>
      </c>
      <c r="H779" s="1">
        <f ca="1">VLOOKUP(financials[[#This Row],[ID]],Prices!D:F,3,FALSE)</f>
        <v>21</v>
      </c>
      <c r="I779" s="1">
        <f ca="1">financials[[#This Row],[Units Sold]]*financials[[#This Row],[Sale Price]]</f>
        <v>20979</v>
      </c>
      <c r="J7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1048.95</v>
      </c>
      <c r="K779" s="1">
        <f ca="1">financials[[#This Row],[Gross Sales]]-financials[[#This Row],[Discounts]]</f>
        <v>19930.05</v>
      </c>
      <c r="L779" s="1">
        <f ca="1">financials[[#This Row],[Units Sold]]*financials[[#This Row],[Manufacturing Price]]</f>
        <v>10989</v>
      </c>
      <c r="M779" s="1">
        <f ca="1">financials[[#This Row],[Sales]]-financials[[#This Row],[COGS]]</f>
        <v>8941.0499999999993</v>
      </c>
      <c r="N779" s="7">
        <f t="shared" ca="1" si="25"/>
        <v>45069</v>
      </c>
      <c r="O779" s="8">
        <f ca="1">MONTH(financials[[#This Row],[Date]])</f>
        <v>5</v>
      </c>
      <c r="P779" s="6" t="str">
        <f ca="1">TEXT(financials[[#This Row],[Date]],"MMM")</f>
        <v>May</v>
      </c>
      <c r="Q779">
        <f ca="1">YEAR(financials[[#This Row],[Date]])</f>
        <v>2023</v>
      </c>
    </row>
    <row r="780" spans="1:17" x14ac:dyDescent="0.3">
      <c r="A780" t="s">
        <v>26</v>
      </c>
      <c r="B780" t="s">
        <v>23</v>
      </c>
      <c r="C780" s="6" t="s">
        <v>28</v>
      </c>
      <c r="D780" s="6" t="str">
        <f>CONCATENATE(financials[[#This Row],[Segment]],",",financials[[#This Row],[Country]],",",financials[[#This Row],[Product]])</f>
        <v>Enterprise,Mexico,Paseo</v>
      </c>
      <c r="E780" s="6" t="s">
        <v>32</v>
      </c>
      <c r="F780">
        <f t="shared" ca="1" si="24"/>
        <v>55</v>
      </c>
      <c r="G780" s="1">
        <f ca="1">VLOOKUP(financials[[#This Row],[ID]],Prices!D:F,2,FALSE)</f>
        <v>17</v>
      </c>
      <c r="H780" s="1">
        <f ca="1">VLOOKUP(financials[[#This Row],[ID]],Prices!D:F,3,FALSE)</f>
        <v>27</v>
      </c>
      <c r="I780" s="1">
        <f ca="1">financials[[#This Row],[Units Sold]]*financials[[#This Row],[Sale Price]]</f>
        <v>1485</v>
      </c>
      <c r="J7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74.25</v>
      </c>
      <c r="K780" s="1">
        <f ca="1">financials[[#This Row],[Gross Sales]]-financials[[#This Row],[Discounts]]</f>
        <v>1410.75</v>
      </c>
      <c r="L780" s="1">
        <f ca="1">financials[[#This Row],[Units Sold]]*financials[[#This Row],[Manufacturing Price]]</f>
        <v>935</v>
      </c>
      <c r="M780" s="1">
        <f ca="1">financials[[#This Row],[Sales]]-financials[[#This Row],[COGS]]</f>
        <v>475.75</v>
      </c>
      <c r="N780" s="7">
        <f t="shared" ca="1" si="25"/>
        <v>45407</v>
      </c>
      <c r="O780" s="8">
        <f ca="1">MONTH(financials[[#This Row],[Date]])</f>
        <v>4</v>
      </c>
      <c r="P780" s="6" t="str">
        <f ca="1">TEXT(financials[[#This Row],[Date]],"MMM")</f>
        <v>Apr</v>
      </c>
      <c r="Q780">
        <f ca="1">YEAR(financials[[#This Row],[Date]])</f>
        <v>2024</v>
      </c>
    </row>
    <row r="781" spans="1:17" x14ac:dyDescent="0.3">
      <c r="A781" t="s">
        <v>21</v>
      </c>
      <c r="B781" t="s">
        <v>20</v>
      </c>
      <c r="C781" s="6" t="s">
        <v>28</v>
      </c>
      <c r="D781" s="6" t="str">
        <f>CONCATENATE(financials[[#This Row],[Segment]],",",financials[[#This Row],[Country]],",",financials[[#This Row],[Product]])</f>
        <v>Midmarket,Germany,Paseo</v>
      </c>
      <c r="E781" s="6" t="s">
        <v>32</v>
      </c>
      <c r="F781">
        <f t="shared" ca="1" si="24"/>
        <v>243</v>
      </c>
      <c r="G781" s="1">
        <f ca="1">VLOOKUP(financials[[#This Row],[ID]],Prices!D:F,2,FALSE)</f>
        <v>19</v>
      </c>
      <c r="H781" s="1">
        <f ca="1">VLOOKUP(financials[[#This Row],[ID]],Prices!D:F,3,FALSE)</f>
        <v>25</v>
      </c>
      <c r="I781" s="1">
        <f ca="1">financials[[#This Row],[Units Sold]]*financials[[#This Row],[Sale Price]]</f>
        <v>6075</v>
      </c>
      <c r="J7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303.75</v>
      </c>
      <c r="K781" s="1">
        <f ca="1">financials[[#This Row],[Gross Sales]]-financials[[#This Row],[Discounts]]</f>
        <v>5771.25</v>
      </c>
      <c r="L781" s="1">
        <f ca="1">financials[[#This Row],[Units Sold]]*financials[[#This Row],[Manufacturing Price]]</f>
        <v>4617</v>
      </c>
      <c r="M781" s="1">
        <f ca="1">financials[[#This Row],[Sales]]-financials[[#This Row],[COGS]]</f>
        <v>1154.25</v>
      </c>
      <c r="N781" s="7">
        <f t="shared" ca="1" si="25"/>
        <v>45304</v>
      </c>
      <c r="O781" s="8">
        <f ca="1">MONTH(financials[[#This Row],[Date]])</f>
        <v>1</v>
      </c>
      <c r="P781" s="6" t="str">
        <f ca="1">TEXT(financials[[#This Row],[Date]],"MMM")</f>
        <v>Jan</v>
      </c>
      <c r="Q781">
        <f ca="1">YEAR(financials[[#This Row],[Date]])</f>
        <v>2024</v>
      </c>
    </row>
    <row r="782" spans="1:17" x14ac:dyDescent="0.3">
      <c r="A782" t="s">
        <v>25</v>
      </c>
      <c r="B782" t="s">
        <v>20</v>
      </c>
      <c r="C782" s="6" t="s">
        <v>28</v>
      </c>
      <c r="D782" s="6" t="str">
        <f>CONCATENATE(financials[[#This Row],[Segment]],",",financials[[#This Row],[Country]],",",financials[[#This Row],[Product]])</f>
        <v>Channel Partners,Germany,Paseo</v>
      </c>
      <c r="E782" s="6" t="s">
        <v>32</v>
      </c>
      <c r="F782">
        <f t="shared" ca="1" si="24"/>
        <v>363</v>
      </c>
      <c r="G782" s="1">
        <f ca="1">VLOOKUP(financials[[#This Row],[ID]],Prices!D:F,2,FALSE)</f>
        <v>13</v>
      </c>
      <c r="H782" s="1">
        <f ca="1">VLOOKUP(financials[[#This Row],[ID]],Prices!D:F,3,FALSE)</f>
        <v>25</v>
      </c>
      <c r="I782" s="1">
        <f ca="1">financials[[#This Row],[Units Sold]]*financials[[#This Row],[Sale Price]]</f>
        <v>9075</v>
      </c>
      <c r="J7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453.75</v>
      </c>
      <c r="K782" s="1">
        <f ca="1">financials[[#This Row],[Gross Sales]]-financials[[#This Row],[Discounts]]</f>
        <v>8621.25</v>
      </c>
      <c r="L782" s="1">
        <f ca="1">financials[[#This Row],[Units Sold]]*financials[[#This Row],[Manufacturing Price]]</f>
        <v>4719</v>
      </c>
      <c r="M782" s="1">
        <f ca="1">financials[[#This Row],[Sales]]-financials[[#This Row],[COGS]]</f>
        <v>3902.25</v>
      </c>
      <c r="N782" s="7">
        <f t="shared" ca="1" si="25"/>
        <v>45488</v>
      </c>
      <c r="O782" s="8">
        <f ca="1">MONTH(financials[[#This Row],[Date]])</f>
        <v>7</v>
      </c>
      <c r="P782" s="6" t="str">
        <f ca="1">TEXT(financials[[#This Row],[Date]],"MMM")</f>
        <v>Jul</v>
      </c>
      <c r="Q782">
        <f ca="1">YEAR(financials[[#This Row],[Date]])</f>
        <v>2024</v>
      </c>
    </row>
    <row r="783" spans="1:17" x14ac:dyDescent="0.3">
      <c r="A783" t="s">
        <v>27</v>
      </c>
      <c r="B783" t="s">
        <v>36</v>
      </c>
      <c r="C783" s="6" t="s">
        <v>28</v>
      </c>
      <c r="D783" s="6" t="str">
        <f>CONCATENATE(financials[[#This Row],[Segment]],",",financials[[#This Row],[Country]],",",financials[[#This Row],[Product]])</f>
        <v>Small Business,USA,Paseo</v>
      </c>
      <c r="E783" s="6" t="s">
        <v>32</v>
      </c>
      <c r="F783">
        <f t="shared" ca="1" si="24"/>
        <v>839</v>
      </c>
      <c r="G783" s="1">
        <f ca="1">VLOOKUP(financials[[#This Row],[ID]],Prices!D:F,2,FALSE)</f>
        <v>17</v>
      </c>
      <c r="H783" s="1">
        <f ca="1">VLOOKUP(financials[[#This Row],[ID]],Prices!D:F,3,FALSE)</f>
        <v>23</v>
      </c>
      <c r="I783" s="1">
        <f ca="1">financials[[#This Row],[Units Sold]]*financials[[#This Row],[Sale Price]]</f>
        <v>19297</v>
      </c>
      <c r="J7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964.85</v>
      </c>
      <c r="K783" s="1">
        <f ca="1">financials[[#This Row],[Gross Sales]]-financials[[#This Row],[Discounts]]</f>
        <v>18332.150000000001</v>
      </c>
      <c r="L783" s="1">
        <f ca="1">financials[[#This Row],[Units Sold]]*financials[[#This Row],[Manufacturing Price]]</f>
        <v>14263</v>
      </c>
      <c r="M783" s="1">
        <f ca="1">financials[[#This Row],[Sales]]-financials[[#This Row],[COGS]]</f>
        <v>4069.1500000000015</v>
      </c>
      <c r="N783" s="7">
        <f t="shared" ca="1" si="25"/>
        <v>45106</v>
      </c>
      <c r="O783" s="8">
        <f ca="1">MONTH(financials[[#This Row],[Date]])</f>
        <v>6</v>
      </c>
      <c r="P783" s="6" t="str">
        <f ca="1">TEXT(financials[[#This Row],[Date]],"MMM")</f>
        <v>Jun</v>
      </c>
      <c r="Q783">
        <f ca="1">YEAR(financials[[#This Row],[Date]])</f>
        <v>2023</v>
      </c>
    </row>
    <row r="784" spans="1:17" x14ac:dyDescent="0.3">
      <c r="A784" t="s">
        <v>16</v>
      </c>
      <c r="B784" t="s">
        <v>22</v>
      </c>
      <c r="C784" s="6" t="s">
        <v>28</v>
      </c>
      <c r="D784" s="6" t="str">
        <f>CONCATENATE(financials[[#This Row],[Segment]],",",financials[[#This Row],[Country]],",",financials[[#This Row],[Product]])</f>
        <v>Government,France,Paseo</v>
      </c>
      <c r="E784" s="6" t="s">
        <v>32</v>
      </c>
      <c r="F784">
        <f t="shared" ca="1" si="24"/>
        <v>372</v>
      </c>
      <c r="G784" s="1">
        <f ca="1">VLOOKUP(financials[[#This Row],[ID]],Prices!D:F,2,FALSE)</f>
        <v>14</v>
      </c>
      <c r="H784" s="1">
        <f ca="1">VLOOKUP(financials[[#This Row],[ID]],Prices!D:F,3,FALSE)</f>
        <v>18</v>
      </c>
      <c r="I784" s="1">
        <f ca="1">financials[[#This Row],[Units Sold]]*financials[[#This Row],[Sale Price]]</f>
        <v>6696</v>
      </c>
      <c r="J7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334.8</v>
      </c>
      <c r="K784" s="1">
        <f ca="1">financials[[#This Row],[Gross Sales]]-financials[[#This Row],[Discounts]]</f>
        <v>6361.2</v>
      </c>
      <c r="L784" s="1">
        <f ca="1">financials[[#This Row],[Units Sold]]*financials[[#This Row],[Manufacturing Price]]</f>
        <v>5208</v>
      </c>
      <c r="M784" s="1">
        <f ca="1">financials[[#This Row],[Sales]]-financials[[#This Row],[COGS]]</f>
        <v>1153.1999999999998</v>
      </c>
      <c r="N784" s="7">
        <f t="shared" ca="1" si="25"/>
        <v>45260</v>
      </c>
      <c r="O784" s="8">
        <f ca="1">MONTH(financials[[#This Row],[Date]])</f>
        <v>11</v>
      </c>
      <c r="P784" s="6" t="str">
        <f ca="1">TEXT(financials[[#This Row],[Date]],"MMM")</f>
        <v>Nov</v>
      </c>
      <c r="Q784">
        <f ca="1">YEAR(financials[[#This Row],[Date]])</f>
        <v>2023</v>
      </c>
    </row>
    <row r="785" spans="1:17" x14ac:dyDescent="0.3">
      <c r="A785" t="s">
        <v>16</v>
      </c>
      <c r="B785" t="s">
        <v>22</v>
      </c>
      <c r="C785" s="6" t="s">
        <v>29</v>
      </c>
      <c r="D785" s="6" t="str">
        <f>CONCATENATE(financials[[#This Row],[Segment]],",",financials[[#This Row],[Country]],",",financials[[#This Row],[Product]])</f>
        <v>Government,France,Velo</v>
      </c>
      <c r="E785" s="6" t="s">
        <v>32</v>
      </c>
      <c r="F785">
        <f t="shared" ca="1" si="24"/>
        <v>866</v>
      </c>
      <c r="G785" s="1">
        <f ca="1">VLOOKUP(financials[[#This Row],[ID]],Prices!D:F,2,FALSE)</f>
        <v>20</v>
      </c>
      <c r="H785" s="1">
        <f ca="1">VLOOKUP(financials[[#This Row],[ID]],Prices!D:F,3,FALSE)</f>
        <v>36</v>
      </c>
      <c r="I785" s="1">
        <f ca="1">financials[[#This Row],[Units Sold]]*financials[[#This Row],[Sale Price]]</f>
        <v>31176</v>
      </c>
      <c r="J7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1558.8000000000002</v>
      </c>
      <c r="K785" s="1">
        <f ca="1">financials[[#This Row],[Gross Sales]]-financials[[#This Row],[Discounts]]</f>
        <v>29617.200000000001</v>
      </c>
      <c r="L785" s="1">
        <f ca="1">financials[[#This Row],[Units Sold]]*financials[[#This Row],[Manufacturing Price]]</f>
        <v>17320</v>
      </c>
      <c r="M785" s="1">
        <f ca="1">financials[[#This Row],[Sales]]-financials[[#This Row],[COGS]]</f>
        <v>12297.2</v>
      </c>
      <c r="N785" s="7">
        <f t="shared" ca="1" si="25"/>
        <v>45662</v>
      </c>
      <c r="O785" s="8">
        <f ca="1">MONTH(financials[[#This Row],[Date]])</f>
        <v>1</v>
      </c>
      <c r="P785" s="6" t="str">
        <f ca="1">TEXT(financials[[#This Row],[Date]],"MMM")</f>
        <v>Jan</v>
      </c>
      <c r="Q785">
        <f ca="1">YEAR(financials[[#This Row],[Date]])</f>
        <v>2025</v>
      </c>
    </row>
    <row r="786" spans="1:17" x14ac:dyDescent="0.3">
      <c r="A786" t="s">
        <v>16</v>
      </c>
      <c r="B786" t="s">
        <v>23</v>
      </c>
      <c r="C786" s="6" t="s">
        <v>29</v>
      </c>
      <c r="D786" s="6" t="str">
        <f>CONCATENATE(financials[[#This Row],[Segment]],",",financials[[#This Row],[Country]],",",financials[[#This Row],[Product]])</f>
        <v>Government,Mexico,Velo</v>
      </c>
      <c r="E786" s="6" t="s">
        <v>32</v>
      </c>
      <c r="F786">
        <f t="shared" ca="1" si="24"/>
        <v>348</v>
      </c>
      <c r="G786" s="1">
        <f ca="1">VLOOKUP(financials[[#This Row],[ID]],Prices!D:F,2,FALSE)</f>
        <v>18</v>
      </c>
      <c r="H786" s="1">
        <f ca="1">VLOOKUP(financials[[#This Row],[ID]],Prices!D:F,3,FALSE)</f>
        <v>36</v>
      </c>
      <c r="I786" s="1">
        <f ca="1">financials[[#This Row],[Units Sold]]*financials[[#This Row],[Sale Price]]</f>
        <v>12528</v>
      </c>
      <c r="J7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626.40000000000009</v>
      </c>
      <c r="K786" s="1">
        <f ca="1">financials[[#This Row],[Gross Sales]]-financials[[#This Row],[Discounts]]</f>
        <v>11901.6</v>
      </c>
      <c r="L786" s="1">
        <f ca="1">financials[[#This Row],[Units Sold]]*financials[[#This Row],[Manufacturing Price]]</f>
        <v>6264</v>
      </c>
      <c r="M786" s="1">
        <f ca="1">financials[[#This Row],[Sales]]-financials[[#This Row],[COGS]]</f>
        <v>5637.6</v>
      </c>
      <c r="N786" s="7">
        <f t="shared" ca="1" si="25"/>
        <v>45678</v>
      </c>
      <c r="O786" s="8">
        <f ca="1">MONTH(financials[[#This Row],[Date]])</f>
        <v>1</v>
      </c>
      <c r="P786" s="6" t="str">
        <f ca="1">TEXT(financials[[#This Row],[Date]],"MMM")</f>
        <v>Jan</v>
      </c>
      <c r="Q786">
        <f ca="1">YEAR(financials[[#This Row],[Date]])</f>
        <v>2025</v>
      </c>
    </row>
    <row r="787" spans="1:17" x14ac:dyDescent="0.3">
      <c r="A787" t="s">
        <v>26</v>
      </c>
      <c r="B787" t="s">
        <v>17</v>
      </c>
      <c r="C787" s="6" t="s">
        <v>29</v>
      </c>
      <c r="D787" s="6" t="str">
        <f>CONCATENATE(financials[[#This Row],[Segment]],",",financials[[#This Row],[Country]],",",financials[[#This Row],[Product]])</f>
        <v>Enterprise,Canada,Velo</v>
      </c>
      <c r="E787" s="6" t="s">
        <v>32</v>
      </c>
      <c r="F787">
        <f t="shared" ca="1" si="24"/>
        <v>936</v>
      </c>
      <c r="G787" s="1">
        <f ca="1">VLOOKUP(financials[[#This Row],[ID]],Prices!D:F,2,FALSE)</f>
        <v>11</v>
      </c>
      <c r="H787" s="1">
        <f ca="1">VLOOKUP(financials[[#This Row],[ID]],Prices!D:F,3,FALSE)</f>
        <v>34</v>
      </c>
      <c r="I787" s="1">
        <f ca="1">financials[[#This Row],[Units Sold]]*financials[[#This Row],[Sale Price]]</f>
        <v>31824</v>
      </c>
      <c r="J7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1591.2</v>
      </c>
      <c r="K787" s="1">
        <f ca="1">financials[[#This Row],[Gross Sales]]-financials[[#This Row],[Discounts]]</f>
        <v>30232.799999999999</v>
      </c>
      <c r="L787" s="1">
        <f ca="1">financials[[#This Row],[Units Sold]]*financials[[#This Row],[Manufacturing Price]]</f>
        <v>10296</v>
      </c>
      <c r="M787" s="1">
        <f ca="1">financials[[#This Row],[Sales]]-financials[[#This Row],[COGS]]</f>
        <v>19936.8</v>
      </c>
      <c r="N787" s="7">
        <f t="shared" ca="1" si="25"/>
        <v>45443</v>
      </c>
      <c r="O787" s="8">
        <f ca="1">MONTH(financials[[#This Row],[Date]])</f>
        <v>5</v>
      </c>
      <c r="P787" s="6" t="str">
        <f ca="1">TEXT(financials[[#This Row],[Date]],"MMM")</f>
        <v>May</v>
      </c>
      <c r="Q787">
        <f ca="1">YEAR(financials[[#This Row],[Date]])</f>
        <v>2024</v>
      </c>
    </row>
    <row r="788" spans="1:17" x14ac:dyDescent="0.3">
      <c r="A788" t="s">
        <v>26</v>
      </c>
      <c r="B788" t="s">
        <v>36</v>
      </c>
      <c r="C788" s="6" t="s">
        <v>29</v>
      </c>
      <c r="D788" s="6" t="str">
        <f>CONCATENATE(financials[[#This Row],[Segment]],",",financials[[#This Row],[Country]],",",financials[[#This Row],[Product]])</f>
        <v>Enterprise,USA,Velo</v>
      </c>
      <c r="E788" s="6" t="s">
        <v>32</v>
      </c>
      <c r="F788">
        <f t="shared" ca="1" si="24"/>
        <v>326</v>
      </c>
      <c r="G788" s="1">
        <f ca="1">VLOOKUP(financials[[#This Row],[ID]],Prices!D:F,2,FALSE)</f>
        <v>20</v>
      </c>
      <c r="H788" s="1">
        <f ca="1">VLOOKUP(financials[[#This Row],[ID]],Prices!D:F,3,FALSE)</f>
        <v>24</v>
      </c>
      <c r="I788" s="1">
        <f ca="1">financials[[#This Row],[Units Sold]]*financials[[#This Row],[Sale Price]]</f>
        <v>7824</v>
      </c>
      <c r="J7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391.20000000000005</v>
      </c>
      <c r="K788" s="1">
        <f ca="1">financials[[#This Row],[Gross Sales]]-financials[[#This Row],[Discounts]]</f>
        <v>7432.8</v>
      </c>
      <c r="L788" s="1">
        <f ca="1">financials[[#This Row],[Units Sold]]*financials[[#This Row],[Manufacturing Price]]</f>
        <v>6520</v>
      </c>
      <c r="M788" s="1">
        <f ca="1">financials[[#This Row],[Sales]]-financials[[#This Row],[COGS]]</f>
        <v>912.80000000000018</v>
      </c>
      <c r="N788" s="7">
        <f t="shared" ca="1" si="25"/>
        <v>45639</v>
      </c>
      <c r="O788" s="8">
        <f ca="1">MONTH(financials[[#This Row],[Date]])</f>
        <v>12</v>
      </c>
      <c r="P788" s="6" t="str">
        <f ca="1">TEXT(financials[[#This Row],[Date]],"MMM")</f>
        <v>Dec</v>
      </c>
      <c r="Q788">
        <f ca="1">YEAR(financials[[#This Row],[Date]])</f>
        <v>2024</v>
      </c>
    </row>
    <row r="789" spans="1:17" x14ac:dyDescent="0.3">
      <c r="A789" t="s">
        <v>16</v>
      </c>
      <c r="B789" t="s">
        <v>17</v>
      </c>
      <c r="C789" s="6" t="s">
        <v>29</v>
      </c>
      <c r="D789" s="6" t="str">
        <f>CONCATENATE(financials[[#This Row],[Segment]],",",financials[[#This Row],[Country]],",",financials[[#This Row],[Product]])</f>
        <v>Government,Canada,Velo</v>
      </c>
      <c r="E789" s="6" t="s">
        <v>32</v>
      </c>
      <c r="F789">
        <f t="shared" ca="1" si="24"/>
        <v>298</v>
      </c>
      <c r="G789" s="1">
        <f ca="1">VLOOKUP(financials[[#This Row],[ID]],Prices!D:F,2,FALSE)</f>
        <v>19</v>
      </c>
      <c r="H789" s="1">
        <f ca="1">VLOOKUP(financials[[#This Row],[ID]],Prices!D:F,3,FALSE)</f>
        <v>37</v>
      </c>
      <c r="I789" s="1">
        <f ca="1">financials[[#This Row],[Units Sold]]*financials[[#This Row],[Sale Price]]</f>
        <v>11026</v>
      </c>
      <c r="J7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551.30000000000007</v>
      </c>
      <c r="K789" s="1">
        <f ca="1">financials[[#This Row],[Gross Sales]]-financials[[#This Row],[Discounts]]</f>
        <v>10474.700000000001</v>
      </c>
      <c r="L789" s="1">
        <f ca="1">financials[[#This Row],[Units Sold]]*financials[[#This Row],[Manufacturing Price]]</f>
        <v>5662</v>
      </c>
      <c r="M789" s="1">
        <f ca="1">financials[[#This Row],[Sales]]-financials[[#This Row],[COGS]]</f>
        <v>4812.7000000000007</v>
      </c>
      <c r="N789" s="7">
        <f t="shared" ca="1" si="25"/>
        <v>45089</v>
      </c>
      <c r="O789" s="8">
        <f ca="1">MONTH(financials[[#This Row],[Date]])</f>
        <v>6</v>
      </c>
      <c r="P789" s="6" t="str">
        <f ca="1">TEXT(financials[[#This Row],[Date]],"MMM")</f>
        <v>Jun</v>
      </c>
      <c r="Q789">
        <f ca="1">YEAR(financials[[#This Row],[Date]])</f>
        <v>2023</v>
      </c>
    </row>
    <row r="790" spans="1:17" x14ac:dyDescent="0.3">
      <c r="A790" t="s">
        <v>16</v>
      </c>
      <c r="B790" t="s">
        <v>20</v>
      </c>
      <c r="C790" s="6" t="s">
        <v>30</v>
      </c>
      <c r="D790" s="6" t="str">
        <f>CONCATENATE(financials[[#This Row],[Segment]],",",financials[[#This Row],[Country]],",",financials[[#This Row],[Product]])</f>
        <v>Government,Germany,VTT</v>
      </c>
      <c r="E790" s="6" t="s">
        <v>32</v>
      </c>
      <c r="F790">
        <f t="shared" ca="1" si="24"/>
        <v>771</v>
      </c>
      <c r="G790" s="1">
        <f ca="1">VLOOKUP(financials[[#This Row],[ID]],Prices!D:F,2,FALSE)</f>
        <v>16</v>
      </c>
      <c r="H790" s="1">
        <f ca="1">VLOOKUP(financials[[#This Row],[ID]],Prices!D:F,3,FALSE)</f>
        <v>20</v>
      </c>
      <c r="I790" s="1">
        <f ca="1">financials[[#This Row],[Units Sold]]*financials[[#This Row],[Sale Price]]</f>
        <v>15420</v>
      </c>
      <c r="J7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771</v>
      </c>
      <c r="K790" s="1">
        <f ca="1">financials[[#This Row],[Gross Sales]]-financials[[#This Row],[Discounts]]</f>
        <v>14649</v>
      </c>
      <c r="L790" s="1">
        <f ca="1">financials[[#This Row],[Units Sold]]*financials[[#This Row],[Manufacturing Price]]</f>
        <v>12336</v>
      </c>
      <c r="M790" s="1">
        <f ca="1">financials[[#This Row],[Sales]]-financials[[#This Row],[COGS]]</f>
        <v>2313</v>
      </c>
      <c r="N790" s="7">
        <f t="shared" ca="1" si="25"/>
        <v>45742</v>
      </c>
      <c r="O790" s="8">
        <f ca="1">MONTH(financials[[#This Row],[Date]])</f>
        <v>3</v>
      </c>
      <c r="P790" s="6" t="str">
        <f ca="1">TEXT(financials[[#This Row],[Date]],"MMM")</f>
        <v>Mar</v>
      </c>
      <c r="Q790">
        <f ca="1">YEAR(financials[[#This Row],[Date]])</f>
        <v>2025</v>
      </c>
    </row>
    <row r="791" spans="1:17" x14ac:dyDescent="0.3">
      <c r="A791" t="s">
        <v>16</v>
      </c>
      <c r="B791" t="s">
        <v>17</v>
      </c>
      <c r="C791" s="6" t="s">
        <v>30</v>
      </c>
      <c r="D791" s="6" t="str">
        <f>CONCATENATE(financials[[#This Row],[Segment]],",",financials[[#This Row],[Country]],",",financials[[#This Row],[Product]])</f>
        <v>Government,Canada,VTT</v>
      </c>
      <c r="E791" s="6" t="s">
        <v>32</v>
      </c>
      <c r="F791">
        <f t="shared" ca="1" si="24"/>
        <v>760</v>
      </c>
      <c r="G791" s="1">
        <f ca="1">VLOOKUP(financials[[#This Row],[ID]],Prices!D:F,2,FALSE)</f>
        <v>17</v>
      </c>
      <c r="H791" s="1">
        <f ca="1">VLOOKUP(financials[[#This Row],[ID]],Prices!D:F,3,FALSE)</f>
        <v>38</v>
      </c>
      <c r="I791" s="1">
        <f ca="1">financials[[#This Row],[Units Sold]]*financials[[#This Row],[Sale Price]]</f>
        <v>28880</v>
      </c>
      <c r="J7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1444</v>
      </c>
      <c r="K791" s="1">
        <f ca="1">financials[[#This Row],[Gross Sales]]-financials[[#This Row],[Discounts]]</f>
        <v>27436</v>
      </c>
      <c r="L791" s="1">
        <f ca="1">financials[[#This Row],[Units Sold]]*financials[[#This Row],[Manufacturing Price]]</f>
        <v>12920</v>
      </c>
      <c r="M791" s="1">
        <f ca="1">financials[[#This Row],[Sales]]-financials[[#This Row],[COGS]]</f>
        <v>14516</v>
      </c>
      <c r="N791" s="7">
        <f t="shared" ca="1" si="25"/>
        <v>45586</v>
      </c>
      <c r="O791" s="8">
        <f ca="1">MONTH(financials[[#This Row],[Date]])</f>
        <v>10</v>
      </c>
      <c r="P791" s="6" t="str">
        <f ca="1">TEXT(financials[[#This Row],[Date]],"MMM")</f>
        <v>Oct</v>
      </c>
      <c r="Q791">
        <f ca="1">YEAR(financials[[#This Row],[Date]])</f>
        <v>2024</v>
      </c>
    </row>
    <row r="792" spans="1:17" x14ac:dyDescent="0.3">
      <c r="A792" t="s">
        <v>26</v>
      </c>
      <c r="B792" t="s">
        <v>36</v>
      </c>
      <c r="C792" s="6" t="s">
        <v>30</v>
      </c>
      <c r="D792" s="6" t="str">
        <f>CONCATENATE(financials[[#This Row],[Segment]],",",financials[[#This Row],[Country]],",",financials[[#This Row],[Product]])</f>
        <v>Enterprise,USA,VTT</v>
      </c>
      <c r="E792" s="6" t="s">
        <v>32</v>
      </c>
      <c r="F792">
        <f t="shared" ca="1" si="24"/>
        <v>672</v>
      </c>
      <c r="G792" s="1">
        <f ca="1">VLOOKUP(financials[[#This Row],[ID]],Prices!D:F,2,FALSE)</f>
        <v>18</v>
      </c>
      <c r="H792" s="1">
        <f ca="1">VLOOKUP(financials[[#This Row],[ID]],Prices!D:F,3,FALSE)</f>
        <v>26</v>
      </c>
      <c r="I792" s="1">
        <f ca="1">financials[[#This Row],[Units Sold]]*financials[[#This Row],[Sale Price]]</f>
        <v>17472</v>
      </c>
      <c r="J7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873.6</v>
      </c>
      <c r="K792" s="1">
        <f ca="1">financials[[#This Row],[Gross Sales]]-financials[[#This Row],[Discounts]]</f>
        <v>16598.400000000001</v>
      </c>
      <c r="L792" s="1">
        <f ca="1">financials[[#This Row],[Units Sold]]*financials[[#This Row],[Manufacturing Price]]</f>
        <v>12096</v>
      </c>
      <c r="M792" s="1">
        <f ca="1">financials[[#This Row],[Sales]]-financials[[#This Row],[COGS]]</f>
        <v>4502.4000000000015</v>
      </c>
      <c r="N792" s="7">
        <f t="shared" ca="1" si="25"/>
        <v>45574</v>
      </c>
      <c r="O792" s="8">
        <f ca="1">MONTH(financials[[#This Row],[Date]])</f>
        <v>10</v>
      </c>
      <c r="P792" s="6" t="str">
        <f ca="1">TEXT(financials[[#This Row],[Date]],"MMM")</f>
        <v>Oct</v>
      </c>
      <c r="Q792">
        <f ca="1">YEAR(financials[[#This Row],[Date]])</f>
        <v>2024</v>
      </c>
    </row>
    <row r="793" spans="1:17" x14ac:dyDescent="0.3">
      <c r="A793" t="s">
        <v>26</v>
      </c>
      <c r="B793" t="s">
        <v>22</v>
      </c>
      <c r="C793" s="6" t="s">
        <v>30</v>
      </c>
      <c r="D793" s="6" t="str">
        <f>CONCATENATE(financials[[#This Row],[Segment]],",",financials[[#This Row],[Country]],",",financials[[#This Row],[Product]])</f>
        <v>Enterprise,France,VTT</v>
      </c>
      <c r="E793" s="6" t="s">
        <v>32</v>
      </c>
      <c r="F793">
        <f t="shared" ca="1" si="24"/>
        <v>831</v>
      </c>
      <c r="G793" s="1">
        <f ca="1">VLOOKUP(financials[[#This Row],[ID]],Prices!D:F,2,FALSE)</f>
        <v>10</v>
      </c>
      <c r="H793" s="1">
        <f ca="1">VLOOKUP(financials[[#This Row],[ID]],Prices!D:F,3,FALSE)</f>
        <v>19</v>
      </c>
      <c r="I793" s="1">
        <f ca="1">financials[[#This Row],[Units Sold]]*financials[[#This Row],[Sale Price]]</f>
        <v>15789</v>
      </c>
      <c r="J7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789.45</v>
      </c>
      <c r="K793" s="1">
        <f ca="1">financials[[#This Row],[Gross Sales]]-financials[[#This Row],[Discounts]]</f>
        <v>14999.55</v>
      </c>
      <c r="L793" s="1">
        <f ca="1">financials[[#This Row],[Units Sold]]*financials[[#This Row],[Manufacturing Price]]</f>
        <v>8310</v>
      </c>
      <c r="M793" s="1">
        <f ca="1">financials[[#This Row],[Sales]]-financials[[#This Row],[COGS]]</f>
        <v>6689.5499999999993</v>
      </c>
      <c r="N793" s="7">
        <f t="shared" ca="1" si="25"/>
        <v>45028</v>
      </c>
      <c r="O793" s="8">
        <f ca="1">MONTH(financials[[#This Row],[Date]])</f>
        <v>4</v>
      </c>
      <c r="P793" s="6" t="str">
        <f ca="1">TEXT(financials[[#This Row],[Date]],"MMM")</f>
        <v>Apr</v>
      </c>
      <c r="Q793">
        <f ca="1">YEAR(financials[[#This Row],[Date]])</f>
        <v>2023</v>
      </c>
    </row>
    <row r="794" spans="1:17" x14ac:dyDescent="0.3">
      <c r="A794" t="s">
        <v>27</v>
      </c>
      <c r="B794" t="s">
        <v>20</v>
      </c>
      <c r="C794" s="6" t="s">
        <v>30</v>
      </c>
      <c r="D794" s="6" t="str">
        <f>CONCATENATE(financials[[#This Row],[Segment]],",",financials[[#This Row],[Country]],",",financials[[#This Row],[Product]])</f>
        <v>Small Business,Germany,VTT</v>
      </c>
      <c r="E794" s="6" t="s">
        <v>32</v>
      </c>
      <c r="F794">
        <f t="shared" ca="1" si="24"/>
        <v>795</v>
      </c>
      <c r="G794" s="1">
        <f ca="1">VLOOKUP(financials[[#This Row],[ID]],Prices!D:F,2,FALSE)</f>
        <v>18</v>
      </c>
      <c r="H794" s="1">
        <f ca="1">VLOOKUP(financials[[#This Row],[ID]],Prices!D:F,3,FALSE)</f>
        <v>38</v>
      </c>
      <c r="I794" s="1">
        <f ca="1">financials[[#This Row],[Units Sold]]*financials[[#This Row],[Sale Price]]</f>
        <v>30210</v>
      </c>
      <c r="J7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1510.5</v>
      </c>
      <c r="K794" s="1">
        <f ca="1">financials[[#This Row],[Gross Sales]]-financials[[#This Row],[Discounts]]</f>
        <v>28699.5</v>
      </c>
      <c r="L794" s="1">
        <f ca="1">financials[[#This Row],[Units Sold]]*financials[[#This Row],[Manufacturing Price]]</f>
        <v>14310</v>
      </c>
      <c r="M794" s="1">
        <f ca="1">financials[[#This Row],[Sales]]-financials[[#This Row],[COGS]]</f>
        <v>14389.5</v>
      </c>
      <c r="N794" s="7">
        <f t="shared" ca="1" si="25"/>
        <v>45559</v>
      </c>
      <c r="O794" s="8">
        <f ca="1">MONTH(financials[[#This Row],[Date]])</f>
        <v>9</v>
      </c>
      <c r="P794" s="6" t="str">
        <f ca="1">TEXT(financials[[#This Row],[Date]],"MMM")</f>
        <v>Sep</v>
      </c>
      <c r="Q794">
        <f ca="1">YEAR(financials[[#This Row],[Date]])</f>
        <v>2024</v>
      </c>
    </row>
    <row r="795" spans="1:17" x14ac:dyDescent="0.3">
      <c r="A795" t="s">
        <v>27</v>
      </c>
      <c r="B795" t="s">
        <v>23</v>
      </c>
      <c r="C795" s="6" t="s">
        <v>30</v>
      </c>
      <c r="D795" s="6" t="str">
        <f>CONCATENATE(financials[[#This Row],[Segment]],",",financials[[#This Row],[Country]],",",financials[[#This Row],[Product]])</f>
        <v>Small Business,Mexico,VTT</v>
      </c>
      <c r="E795" s="6" t="s">
        <v>32</v>
      </c>
      <c r="F795">
        <f t="shared" ca="1" si="24"/>
        <v>351</v>
      </c>
      <c r="G795" s="1">
        <f ca="1">VLOOKUP(financials[[#This Row],[ID]],Prices!D:F,2,FALSE)</f>
        <v>17</v>
      </c>
      <c r="H795" s="1">
        <f ca="1">VLOOKUP(financials[[#This Row],[ID]],Prices!D:F,3,FALSE)</f>
        <v>36</v>
      </c>
      <c r="I795" s="1">
        <f ca="1">financials[[#This Row],[Units Sold]]*financials[[#This Row],[Sale Price]]</f>
        <v>12636</v>
      </c>
      <c r="J7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631.80000000000007</v>
      </c>
      <c r="K795" s="1">
        <f ca="1">financials[[#This Row],[Gross Sales]]-financials[[#This Row],[Discounts]]</f>
        <v>12004.2</v>
      </c>
      <c r="L795" s="1">
        <f ca="1">financials[[#This Row],[Units Sold]]*financials[[#This Row],[Manufacturing Price]]</f>
        <v>5967</v>
      </c>
      <c r="M795" s="1">
        <f ca="1">financials[[#This Row],[Sales]]-financials[[#This Row],[COGS]]</f>
        <v>6037.2000000000007</v>
      </c>
      <c r="N795" s="7">
        <f t="shared" ca="1" si="25"/>
        <v>45550</v>
      </c>
      <c r="O795" s="8">
        <f ca="1">MONTH(financials[[#This Row],[Date]])</f>
        <v>9</v>
      </c>
      <c r="P795" s="6" t="str">
        <f ca="1">TEXT(financials[[#This Row],[Date]],"MMM")</f>
        <v>Sep</v>
      </c>
      <c r="Q795">
        <f ca="1">YEAR(financials[[#This Row],[Date]])</f>
        <v>2024</v>
      </c>
    </row>
    <row r="796" spans="1:17" x14ac:dyDescent="0.3">
      <c r="A796" t="s">
        <v>16</v>
      </c>
      <c r="B796" t="s">
        <v>23</v>
      </c>
      <c r="C796" s="6" t="s">
        <v>30</v>
      </c>
      <c r="D796" s="6" t="str">
        <f>CONCATENATE(financials[[#This Row],[Segment]],",",financials[[#This Row],[Country]],",",financials[[#This Row],[Product]])</f>
        <v>Government,Mexico,VTT</v>
      </c>
      <c r="E796" s="6" t="s">
        <v>32</v>
      </c>
      <c r="F796">
        <f t="shared" ca="1" si="24"/>
        <v>951</v>
      </c>
      <c r="G796" s="1">
        <f ca="1">VLOOKUP(financials[[#This Row],[ID]],Prices!D:F,2,FALSE)</f>
        <v>18</v>
      </c>
      <c r="H796" s="1">
        <f ca="1">VLOOKUP(financials[[#This Row],[ID]],Prices!D:F,3,FALSE)</f>
        <v>20</v>
      </c>
      <c r="I796" s="1">
        <f ca="1">financials[[#This Row],[Units Sold]]*financials[[#This Row],[Sale Price]]</f>
        <v>19020</v>
      </c>
      <c r="J7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951</v>
      </c>
      <c r="K796" s="1">
        <f ca="1">financials[[#This Row],[Gross Sales]]-financials[[#This Row],[Discounts]]</f>
        <v>18069</v>
      </c>
      <c r="L796" s="1">
        <f ca="1">financials[[#This Row],[Units Sold]]*financials[[#This Row],[Manufacturing Price]]</f>
        <v>17118</v>
      </c>
      <c r="M796" s="1">
        <f ca="1">financials[[#This Row],[Sales]]-financials[[#This Row],[COGS]]</f>
        <v>951</v>
      </c>
      <c r="N796" s="7">
        <f t="shared" ca="1" si="25"/>
        <v>45595</v>
      </c>
      <c r="O796" s="8">
        <f ca="1">MONTH(financials[[#This Row],[Date]])</f>
        <v>10</v>
      </c>
      <c r="P796" s="6" t="str">
        <f ca="1">TEXT(financials[[#This Row],[Date]],"MMM")</f>
        <v>Oct</v>
      </c>
      <c r="Q796">
        <f ca="1">YEAR(financials[[#This Row],[Date]])</f>
        <v>2024</v>
      </c>
    </row>
    <row r="797" spans="1:17" x14ac:dyDescent="0.3">
      <c r="A797" t="s">
        <v>26</v>
      </c>
      <c r="B797" t="s">
        <v>22</v>
      </c>
      <c r="C797" s="6" t="s">
        <v>30</v>
      </c>
      <c r="D797" s="6" t="str">
        <f>CONCATENATE(financials[[#This Row],[Segment]],",",financials[[#This Row],[Country]],",",financials[[#This Row],[Product]])</f>
        <v>Enterprise,France,VTT</v>
      </c>
      <c r="E797" s="6" t="s">
        <v>32</v>
      </c>
      <c r="F797">
        <f t="shared" ca="1" si="24"/>
        <v>631</v>
      </c>
      <c r="G797" s="1">
        <f ca="1">VLOOKUP(financials[[#This Row],[ID]],Prices!D:F,2,FALSE)</f>
        <v>10</v>
      </c>
      <c r="H797" s="1">
        <f ca="1">VLOOKUP(financials[[#This Row],[ID]],Prices!D:F,3,FALSE)</f>
        <v>19</v>
      </c>
      <c r="I797" s="1">
        <f ca="1">financials[[#This Row],[Units Sold]]*financials[[#This Row],[Sale Price]]</f>
        <v>11989</v>
      </c>
      <c r="J7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599.45000000000005</v>
      </c>
      <c r="K797" s="1">
        <f ca="1">financials[[#This Row],[Gross Sales]]-financials[[#This Row],[Discounts]]</f>
        <v>11389.55</v>
      </c>
      <c r="L797" s="1">
        <f ca="1">financials[[#This Row],[Units Sold]]*financials[[#This Row],[Manufacturing Price]]</f>
        <v>6310</v>
      </c>
      <c r="M797" s="1">
        <f ca="1">financials[[#This Row],[Sales]]-financials[[#This Row],[COGS]]</f>
        <v>5079.5499999999993</v>
      </c>
      <c r="N797" s="7">
        <f t="shared" ca="1" si="25"/>
        <v>45464</v>
      </c>
      <c r="O797" s="8">
        <f ca="1">MONTH(financials[[#This Row],[Date]])</f>
        <v>6</v>
      </c>
      <c r="P797" s="6" t="str">
        <f ca="1">TEXT(financials[[#This Row],[Date]],"MMM")</f>
        <v>Jun</v>
      </c>
      <c r="Q797">
        <f ca="1">YEAR(financials[[#This Row],[Date]])</f>
        <v>2024</v>
      </c>
    </row>
    <row r="798" spans="1:17" x14ac:dyDescent="0.3">
      <c r="A798" t="s">
        <v>25</v>
      </c>
      <c r="B798" t="s">
        <v>36</v>
      </c>
      <c r="C798" s="6" t="s">
        <v>31</v>
      </c>
      <c r="D798" s="6" t="str">
        <f>CONCATENATE(financials[[#This Row],[Segment]],",",financials[[#This Row],[Country]],",",financials[[#This Row],[Product]])</f>
        <v>Channel Partners,USA,Amarilla</v>
      </c>
      <c r="E798" s="6" t="s">
        <v>32</v>
      </c>
      <c r="F798">
        <f t="shared" ca="1" si="24"/>
        <v>15</v>
      </c>
      <c r="G798" s="1">
        <f ca="1">VLOOKUP(financials[[#This Row],[ID]],Prices!D:F,2,FALSE)</f>
        <v>11</v>
      </c>
      <c r="H798" s="1">
        <f ca="1">VLOOKUP(financials[[#This Row],[ID]],Prices!D:F,3,FALSE)</f>
        <v>17</v>
      </c>
      <c r="I798" s="1">
        <f ca="1">financials[[#This Row],[Units Sold]]*financials[[#This Row],[Sale Price]]</f>
        <v>255</v>
      </c>
      <c r="J7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2.5500000000000003</v>
      </c>
      <c r="K798" s="1">
        <f ca="1">financials[[#This Row],[Gross Sales]]-financials[[#This Row],[Discounts]]</f>
        <v>252.45</v>
      </c>
      <c r="L798" s="1">
        <f ca="1">financials[[#This Row],[Units Sold]]*financials[[#This Row],[Manufacturing Price]]</f>
        <v>165</v>
      </c>
      <c r="M798" s="1">
        <f ca="1">financials[[#This Row],[Sales]]-financials[[#This Row],[COGS]]</f>
        <v>87.449999999999989</v>
      </c>
      <c r="N798" s="7">
        <f t="shared" ca="1" si="25"/>
        <v>45341</v>
      </c>
      <c r="O798" s="8">
        <f ca="1">MONTH(financials[[#This Row],[Date]])</f>
        <v>2</v>
      </c>
      <c r="P798" s="6" t="str">
        <f ca="1">TEXT(financials[[#This Row],[Date]],"MMM")</f>
        <v>Feb</v>
      </c>
      <c r="Q798">
        <f ca="1">YEAR(financials[[#This Row],[Date]])</f>
        <v>2024</v>
      </c>
    </row>
    <row r="799" spans="1:17" x14ac:dyDescent="0.3">
      <c r="A799" t="s">
        <v>21</v>
      </c>
      <c r="B799" t="s">
        <v>22</v>
      </c>
      <c r="C799" s="6" t="s">
        <v>31</v>
      </c>
      <c r="D799" s="6" t="str">
        <f>CONCATENATE(financials[[#This Row],[Segment]],",",financials[[#This Row],[Country]],",",financials[[#This Row],[Product]])</f>
        <v>Midmarket,France,Amarilla</v>
      </c>
      <c r="E799" s="6" t="s">
        <v>32</v>
      </c>
      <c r="F799">
        <f t="shared" ca="1" si="24"/>
        <v>994</v>
      </c>
      <c r="G799" s="1">
        <f ca="1">VLOOKUP(financials[[#This Row],[ID]],Prices!D:F,2,FALSE)</f>
        <v>19</v>
      </c>
      <c r="H799" s="1">
        <f ca="1">VLOOKUP(financials[[#This Row],[ID]],Prices!D:F,3,FALSE)</f>
        <v>38</v>
      </c>
      <c r="I799" s="1">
        <f ca="1">financials[[#This Row],[Units Sold]]*financials[[#This Row],[Sale Price]]</f>
        <v>37772</v>
      </c>
      <c r="J7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1888.6000000000001</v>
      </c>
      <c r="K799" s="1">
        <f ca="1">financials[[#This Row],[Gross Sales]]-financials[[#This Row],[Discounts]]</f>
        <v>35883.4</v>
      </c>
      <c r="L799" s="1">
        <f ca="1">financials[[#This Row],[Units Sold]]*financials[[#This Row],[Manufacturing Price]]</f>
        <v>18886</v>
      </c>
      <c r="M799" s="1">
        <f ca="1">financials[[#This Row],[Sales]]-financials[[#This Row],[COGS]]</f>
        <v>16997.400000000001</v>
      </c>
      <c r="N799" s="7">
        <f t="shared" ca="1" si="25"/>
        <v>45236</v>
      </c>
      <c r="O799" s="8">
        <f ca="1">MONTH(financials[[#This Row],[Date]])</f>
        <v>11</v>
      </c>
      <c r="P799" s="6" t="str">
        <f ca="1">TEXT(financials[[#This Row],[Date]],"MMM")</f>
        <v>Nov</v>
      </c>
      <c r="Q799">
        <f ca="1">YEAR(financials[[#This Row],[Date]])</f>
        <v>2023</v>
      </c>
    </row>
    <row r="800" spans="1:17" x14ac:dyDescent="0.3">
      <c r="A800" t="s">
        <v>26</v>
      </c>
      <c r="B800" t="s">
        <v>17</v>
      </c>
      <c r="C800" s="6" t="s">
        <v>18</v>
      </c>
      <c r="D800" s="6" t="str">
        <f>CONCATENATE(financials[[#This Row],[Segment]],",",financials[[#This Row],[Country]],",",financials[[#This Row],[Product]])</f>
        <v>Enterprise,Canada,Carretera</v>
      </c>
      <c r="E800" s="6" t="s">
        <v>32</v>
      </c>
      <c r="F800">
        <f t="shared" ca="1" si="24"/>
        <v>416</v>
      </c>
      <c r="G800" s="1">
        <f ca="1">VLOOKUP(financials[[#This Row],[ID]],Prices!D:F,2,FALSE)</f>
        <v>11</v>
      </c>
      <c r="H800" s="1">
        <f ca="1">VLOOKUP(financials[[#This Row],[ID]],Prices!D:F,3,FALSE)</f>
        <v>30</v>
      </c>
      <c r="I800" s="1">
        <f ca="1">financials[[#This Row],[Units Sold]]*financials[[#This Row],[Sale Price]]</f>
        <v>12480</v>
      </c>
      <c r="J8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624</v>
      </c>
      <c r="K800" s="1">
        <f ca="1">financials[[#This Row],[Gross Sales]]-financials[[#This Row],[Discounts]]</f>
        <v>11856</v>
      </c>
      <c r="L800" s="1">
        <f ca="1">financials[[#This Row],[Units Sold]]*financials[[#This Row],[Manufacturing Price]]</f>
        <v>4576</v>
      </c>
      <c r="M800" s="1">
        <f ca="1">financials[[#This Row],[Sales]]-financials[[#This Row],[COGS]]</f>
        <v>7280</v>
      </c>
      <c r="N800" s="7">
        <f t="shared" ca="1" si="25"/>
        <v>45193</v>
      </c>
      <c r="O800" s="8">
        <f ca="1">MONTH(financials[[#This Row],[Date]])</f>
        <v>9</v>
      </c>
      <c r="P800" s="6" t="str">
        <f ca="1">TEXT(financials[[#This Row],[Date]],"MMM")</f>
        <v>Sep</v>
      </c>
      <c r="Q800">
        <f ca="1">YEAR(financials[[#This Row],[Date]])</f>
        <v>2023</v>
      </c>
    </row>
    <row r="801" spans="1:17" x14ac:dyDescent="0.3">
      <c r="A801" t="s">
        <v>25</v>
      </c>
      <c r="B801" t="s">
        <v>17</v>
      </c>
      <c r="C801" s="6" t="s">
        <v>18</v>
      </c>
      <c r="D801" s="6" t="str">
        <f>CONCATENATE(financials[[#This Row],[Segment]],",",financials[[#This Row],[Country]],",",financials[[#This Row],[Product]])</f>
        <v>Channel Partners,Canada,Carretera</v>
      </c>
      <c r="E801" s="6" t="s">
        <v>32</v>
      </c>
      <c r="F801">
        <f t="shared" ca="1" si="24"/>
        <v>555</v>
      </c>
      <c r="G801" s="1">
        <f ca="1">VLOOKUP(financials[[#This Row],[ID]],Prices!D:F,2,FALSE)</f>
        <v>17</v>
      </c>
      <c r="H801" s="1">
        <f ca="1">VLOOKUP(financials[[#This Row],[ID]],Prices!D:F,3,FALSE)</f>
        <v>24</v>
      </c>
      <c r="I801" s="1">
        <f ca="1">financials[[#This Row],[Units Sold]]*financials[[#This Row],[Sale Price]]</f>
        <v>13320</v>
      </c>
      <c r="J8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666</v>
      </c>
      <c r="K801" s="1">
        <f ca="1">financials[[#This Row],[Gross Sales]]-financials[[#This Row],[Discounts]]</f>
        <v>12654</v>
      </c>
      <c r="L801" s="1">
        <f ca="1">financials[[#This Row],[Units Sold]]*financials[[#This Row],[Manufacturing Price]]</f>
        <v>9435</v>
      </c>
      <c r="M801" s="1">
        <f ca="1">financials[[#This Row],[Sales]]-financials[[#This Row],[COGS]]</f>
        <v>3219</v>
      </c>
      <c r="N801" s="7">
        <f t="shared" ca="1" si="25"/>
        <v>45645</v>
      </c>
      <c r="O801" s="8">
        <f ca="1">MONTH(financials[[#This Row],[Date]])</f>
        <v>12</v>
      </c>
      <c r="P801" s="6" t="str">
        <f ca="1">TEXT(financials[[#This Row],[Date]],"MMM")</f>
        <v>Dec</v>
      </c>
      <c r="Q801">
        <f ca="1">YEAR(financials[[#This Row],[Date]])</f>
        <v>2024</v>
      </c>
    </row>
    <row r="802" spans="1:17" x14ac:dyDescent="0.3">
      <c r="A802" t="s">
        <v>27</v>
      </c>
      <c r="B802" t="s">
        <v>20</v>
      </c>
      <c r="C802" s="6" t="s">
        <v>18</v>
      </c>
      <c r="D802" s="6" t="str">
        <f>CONCATENATE(financials[[#This Row],[Segment]],",",financials[[#This Row],[Country]],",",financials[[#This Row],[Product]])</f>
        <v>Small Business,Germany,Carretera</v>
      </c>
      <c r="E802" s="6" t="s">
        <v>32</v>
      </c>
      <c r="F802">
        <f t="shared" ca="1" si="24"/>
        <v>91</v>
      </c>
      <c r="G802" s="1">
        <f ca="1">VLOOKUP(financials[[#This Row],[ID]],Prices!D:F,2,FALSE)</f>
        <v>20</v>
      </c>
      <c r="H802" s="1">
        <f ca="1">VLOOKUP(financials[[#This Row],[ID]],Prices!D:F,3,FALSE)</f>
        <v>30</v>
      </c>
      <c r="I802" s="1">
        <f ca="1">financials[[#This Row],[Units Sold]]*financials[[#This Row],[Sale Price]]</f>
        <v>2730</v>
      </c>
      <c r="J8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136.5</v>
      </c>
      <c r="K802" s="1">
        <f ca="1">financials[[#This Row],[Gross Sales]]-financials[[#This Row],[Discounts]]</f>
        <v>2593.5</v>
      </c>
      <c r="L802" s="1">
        <f ca="1">financials[[#This Row],[Units Sold]]*financials[[#This Row],[Manufacturing Price]]</f>
        <v>1820</v>
      </c>
      <c r="M802" s="1">
        <f ca="1">financials[[#This Row],[Sales]]-financials[[#This Row],[COGS]]</f>
        <v>773.5</v>
      </c>
      <c r="N802" s="7">
        <f t="shared" ca="1" si="25"/>
        <v>45304</v>
      </c>
      <c r="O802" s="8">
        <f ca="1">MONTH(financials[[#This Row],[Date]])</f>
        <v>1</v>
      </c>
      <c r="P802" s="6" t="str">
        <f ca="1">TEXT(financials[[#This Row],[Date]],"MMM")</f>
        <v>Jan</v>
      </c>
      <c r="Q802">
        <f ca="1">YEAR(financials[[#This Row],[Date]])</f>
        <v>2024</v>
      </c>
    </row>
    <row r="803" spans="1:17" x14ac:dyDescent="0.3">
      <c r="A803" t="s">
        <v>16</v>
      </c>
      <c r="B803" t="s">
        <v>22</v>
      </c>
      <c r="C803" s="6" t="s">
        <v>18</v>
      </c>
      <c r="D803" s="6" t="str">
        <f>CONCATENATE(financials[[#This Row],[Segment]],",",financials[[#This Row],[Country]],",",financials[[#This Row],[Product]])</f>
        <v>Government,France,Carretera</v>
      </c>
      <c r="E803" s="6" t="s">
        <v>32</v>
      </c>
      <c r="F803">
        <f t="shared" ca="1" si="24"/>
        <v>219</v>
      </c>
      <c r="G803" s="1">
        <f ca="1">VLOOKUP(financials[[#This Row],[ID]],Prices!D:F,2,FALSE)</f>
        <v>12</v>
      </c>
      <c r="H803" s="1">
        <f ca="1">VLOOKUP(financials[[#This Row],[ID]],Prices!D:F,3,FALSE)</f>
        <v>38</v>
      </c>
      <c r="I803" s="1">
        <f ca="1">financials[[#This Row],[Units Sold]]*financials[[#This Row],[Sale Price]]</f>
        <v>8322</v>
      </c>
      <c r="J8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416.1</v>
      </c>
      <c r="K803" s="1">
        <f ca="1">financials[[#This Row],[Gross Sales]]-financials[[#This Row],[Discounts]]</f>
        <v>7905.9</v>
      </c>
      <c r="L803" s="1">
        <f ca="1">financials[[#This Row],[Units Sold]]*financials[[#This Row],[Manufacturing Price]]</f>
        <v>2628</v>
      </c>
      <c r="M803" s="1">
        <f ca="1">financials[[#This Row],[Sales]]-financials[[#This Row],[COGS]]</f>
        <v>5277.9</v>
      </c>
      <c r="N803" s="7">
        <f t="shared" ca="1" si="25"/>
        <v>45192</v>
      </c>
      <c r="O803" s="8">
        <f ca="1">MONTH(financials[[#This Row],[Date]])</f>
        <v>9</v>
      </c>
      <c r="P803" s="6" t="str">
        <f ca="1">TEXT(financials[[#This Row],[Date]],"MMM")</f>
        <v>Sep</v>
      </c>
      <c r="Q803">
        <f ca="1">YEAR(financials[[#This Row],[Date]])</f>
        <v>2023</v>
      </c>
    </row>
    <row r="804" spans="1:17" x14ac:dyDescent="0.3">
      <c r="A804" t="s">
        <v>16</v>
      </c>
      <c r="B804" t="s">
        <v>17</v>
      </c>
      <c r="C804" s="6" t="s">
        <v>18</v>
      </c>
      <c r="D804" s="6" t="str">
        <f>CONCATENATE(financials[[#This Row],[Segment]],",",financials[[#This Row],[Country]],",",financials[[#This Row],[Product]])</f>
        <v>Government,Canada,Carretera</v>
      </c>
      <c r="E804" s="6" t="s">
        <v>32</v>
      </c>
      <c r="F804">
        <f t="shared" ca="1" si="24"/>
        <v>324</v>
      </c>
      <c r="G804" s="1">
        <f ca="1">VLOOKUP(financials[[#This Row],[ID]],Prices!D:F,2,FALSE)</f>
        <v>20</v>
      </c>
      <c r="H804" s="1">
        <f ca="1">VLOOKUP(financials[[#This Row],[ID]],Prices!D:F,3,FALSE)</f>
        <v>29</v>
      </c>
      <c r="I804" s="1">
        <f ca="1">financials[[#This Row],[Units Sold]]*financials[[#This Row],[Sale Price]]</f>
        <v>9396</v>
      </c>
      <c r="J8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469.8</v>
      </c>
      <c r="K804" s="1">
        <f ca="1">financials[[#This Row],[Gross Sales]]-financials[[#This Row],[Discounts]]</f>
        <v>8926.2000000000007</v>
      </c>
      <c r="L804" s="1">
        <f ca="1">financials[[#This Row],[Units Sold]]*financials[[#This Row],[Manufacturing Price]]</f>
        <v>6480</v>
      </c>
      <c r="M804" s="1">
        <f ca="1">financials[[#This Row],[Sales]]-financials[[#This Row],[COGS]]</f>
        <v>2446.2000000000007</v>
      </c>
      <c r="N804" s="7">
        <f t="shared" ca="1" si="25"/>
        <v>45401</v>
      </c>
      <c r="O804" s="8">
        <f ca="1">MONTH(financials[[#This Row],[Date]])</f>
        <v>4</v>
      </c>
      <c r="P804" s="6" t="str">
        <f ca="1">TEXT(financials[[#This Row],[Date]],"MMM")</f>
        <v>Apr</v>
      </c>
      <c r="Q804">
        <f ca="1">YEAR(financials[[#This Row],[Date]])</f>
        <v>2024</v>
      </c>
    </row>
    <row r="805" spans="1:17" x14ac:dyDescent="0.3">
      <c r="A805" t="s">
        <v>25</v>
      </c>
      <c r="B805" t="s">
        <v>36</v>
      </c>
      <c r="C805" s="6" t="s">
        <v>24</v>
      </c>
      <c r="D805" s="6" t="str">
        <f>CONCATENATE(financials[[#This Row],[Segment]],",",financials[[#This Row],[Country]],",",financials[[#This Row],[Product]])</f>
        <v>Channel Partners,USA,Montana</v>
      </c>
      <c r="E805" s="6" t="s">
        <v>32</v>
      </c>
      <c r="F805">
        <f t="shared" ca="1" si="24"/>
        <v>469</v>
      </c>
      <c r="G805" s="1">
        <f ca="1">VLOOKUP(financials[[#This Row],[ID]],Prices!D:F,2,FALSE)</f>
        <v>12</v>
      </c>
      <c r="H805" s="1">
        <f ca="1">VLOOKUP(financials[[#This Row],[ID]],Prices!D:F,3,FALSE)</f>
        <v>38</v>
      </c>
      <c r="I805" s="1">
        <f ca="1">financials[[#This Row],[Units Sold]]*financials[[#This Row],[Sale Price]]</f>
        <v>17822</v>
      </c>
      <c r="J8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891.1</v>
      </c>
      <c r="K805" s="1">
        <f ca="1">financials[[#This Row],[Gross Sales]]-financials[[#This Row],[Discounts]]</f>
        <v>16930.900000000001</v>
      </c>
      <c r="L805" s="1">
        <f ca="1">financials[[#This Row],[Units Sold]]*financials[[#This Row],[Manufacturing Price]]</f>
        <v>5628</v>
      </c>
      <c r="M805" s="1">
        <f ca="1">financials[[#This Row],[Sales]]-financials[[#This Row],[COGS]]</f>
        <v>11302.900000000001</v>
      </c>
      <c r="N805" s="7">
        <f t="shared" ca="1" si="25"/>
        <v>45340</v>
      </c>
      <c r="O805" s="8">
        <f ca="1">MONTH(financials[[#This Row],[Date]])</f>
        <v>2</v>
      </c>
      <c r="P805" s="6" t="str">
        <f ca="1">TEXT(financials[[#This Row],[Date]],"MMM")</f>
        <v>Feb</v>
      </c>
      <c r="Q805">
        <f ca="1">YEAR(financials[[#This Row],[Date]])</f>
        <v>2024</v>
      </c>
    </row>
    <row r="806" spans="1:17" x14ac:dyDescent="0.3">
      <c r="A806" t="s">
        <v>16</v>
      </c>
      <c r="B806" t="s">
        <v>36</v>
      </c>
      <c r="C806" s="6" t="s">
        <v>24</v>
      </c>
      <c r="D806" s="6" t="str">
        <f>CONCATENATE(financials[[#This Row],[Segment]],",",financials[[#This Row],[Country]],",",financials[[#This Row],[Product]])</f>
        <v>Government,USA,Montana</v>
      </c>
      <c r="E806" s="6" t="s">
        <v>32</v>
      </c>
      <c r="F806">
        <f t="shared" ca="1" si="24"/>
        <v>606</v>
      </c>
      <c r="G806" s="1">
        <f ca="1">VLOOKUP(financials[[#This Row],[ID]],Prices!D:F,2,FALSE)</f>
        <v>10</v>
      </c>
      <c r="H806" s="1">
        <f ca="1">VLOOKUP(financials[[#This Row],[ID]],Prices!D:F,3,FALSE)</f>
        <v>34</v>
      </c>
      <c r="I806" s="1">
        <f ca="1">financials[[#This Row],[Units Sold]]*financials[[#This Row],[Sale Price]]</f>
        <v>20604</v>
      </c>
      <c r="J8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1030.2</v>
      </c>
      <c r="K806" s="1">
        <f ca="1">financials[[#This Row],[Gross Sales]]-financials[[#This Row],[Discounts]]</f>
        <v>19573.8</v>
      </c>
      <c r="L806" s="1">
        <f ca="1">financials[[#This Row],[Units Sold]]*financials[[#This Row],[Manufacturing Price]]</f>
        <v>6060</v>
      </c>
      <c r="M806" s="1">
        <f ca="1">financials[[#This Row],[Sales]]-financials[[#This Row],[COGS]]</f>
        <v>13513.8</v>
      </c>
      <c r="N806" s="7">
        <f t="shared" ca="1" si="25"/>
        <v>45572</v>
      </c>
      <c r="O806" s="8">
        <f ca="1">MONTH(financials[[#This Row],[Date]])</f>
        <v>10</v>
      </c>
      <c r="P806" s="6" t="str">
        <f ca="1">TEXT(financials[[#This Row],[Date]],"MMM")</f>
        <v>Oct</v>
      </c>
      <c r="Q806">
        <f ca="1">YEAR(financials[[#This Row],[Date]])</f>
        <v>2024</v>
      </c>
    </row>
    <row r="807" spans="1:17" x14ac:dyDescent="0.3">
      <c r="A807" t="s">
        <v>25</v>
      </c>
      <c r="B807" t="s">
        <v>23</v>
      </c>
      <c r="C807" s="6" t="s">
        <v>24</v>
      </c>
      <c r="D807" s="6" t="str">
        <f>CONCATENATE(financials[[#This Row],[Segment]],",",financials[[#This Row],[Country]],",",financials[[#This Row],[Product]])</f>
        <v>Channel Partners,Mexico,Montana</v>
      </c>
      <c r="E807" s="6" t="s">
        <v>32</v>
      </c>
      <c r="F807">
        <f t="shared" ca="1" si="24"/>
        <v>316</v>
      </c>
      <c r="G807" s="1">
        <f ca="1">VLOOKUP(financials[[#This Row],[ID]],Prices!D:F,2,FALSE)</f>
        <v>15</v>
      </c>
      <c r="H807" s="1">
        <f ca="1">VLOOKUP(financials[[#This Row],[ID]],Prices!D:F,3,FALSE)</f>
        <v>17</v>
      </c>
      <c r="I807" s="1">
        <f ca="1">financials[[#This Row],[Units Sold]]*financials[[#This Row],[Sale Price]]</f>
        <v>5372</v>
      </c>
      <c r="J8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268.60000000000002</v>
      </c>
      <c r="K807" s="1">
        <f ca="1">financials[[#This Row],[Gross Sales]]-financials[[#This Row],[Discounts]]</f>
        <v>5103.3999999999996</v>
      </c>
      <c r="L807" s="1">
        <f ca="1">financials[[#This Row],[Units Sold]]*financials[[#This Row],[Manufacturing Price]]</f>
        <v>4740</v>
      </c>
      <c r="M807" s="1">
        <f ca="1">financials[[#This Row],[Sales]]-financials[[#This Row],[COGS]]</f>
        <v>363.39999999999964</v>
      </c>
      <c r="N807" s="7">
        <f t="shared" ca="1" si="25"/>
        <v>45408</v>
      </c>
      <c r="O807" s="8">
        <f ca="1">MONTH(financials[[#This Row],[Date]])</f>
        <v>4</v>
      </c>
      <c r="P807" s="6" t="str">
        <f ca="1">TEXT(financials[[#This Row],[Date]],"MMM")</f>
        <v>Apr</v>
      </c>
      <c r="Q807">
        <f ca="1">YEAR(financials[[#This Row],[Date]])</f>
        <v>2024</v>
      </c>
    </row>
    <row r="808" spans="1:17" x14ac:dyDescent="0.3">
      <c r="A808" t="s">
        <v>26</v>
      </c>
      <c r="B808" t="s">
        <v>23</v>
      </c>
      <c r="C808" s="6" t="s">
        <v>24</v>
      </c>
      <c r="D808" s="6" t="str">
        <f>CONCATENATE(financials[[#This Row],[Segment]],",",financials[[#This Row],[Country]],",",financials[[#This Row],[Product]])</f>
        <v>Enterprise,Mexico,Montana</v>
      </c>
      <c r="E808" s="6" t="s">
        <v>32</v>
      </c>
      <c r="F808">
        <f t="shared" ca="1" si="24"/>
        <v>477</v>
      </c>
      <c r="G808" s="1">
        <f ca="1">VLOOKUP(financials[[#This Row],[ID]],Prices!D:F,2,FALSE)</f>
        <v>10</v>
      </c>
      <c r="H808" s="1">
        <f ca="1">VLOOKUP(financials[[#This Row],[ID]],Prices!D:F,3,FALSE)</f>
        <v>31</v>
      </c>
      <c r="I808" s="1">
        <f ca="1">financials[[#This Row],[Units Sold]]*financials[[#This Row],[Sale Price]]</f>
        <v>14787</v>
      </c>
      <c r="J8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739.35</v>
      </c>
      <c r="K808" s="1">
        <f ca="1">financials[[#This Row],[Gross Sales]]-financials[[#This Row],[Discounts]]</f>
        <v>14047.65</v>
      </c>
      <c r="L808" s="1">
        <f ca="1">financials[[#This Row],[Units Sold]]*financials[[#This Row],[Manufacturing Price]]</f>
        <v>4770</v>
      </c>
      <c r="M808" s="1">
        <f ca="1">financials[[#This Row],[Sales]]-financials[[#This Row],[COGS]]</f>
        <v>9277.65</v>
      </c>
      <c r="N808" s="7">
        <f t="shared" ca="1" si="25"/>
        <v>45497</v>
      </c>
      <c r="O808" s="8">
        <f ca="1">MONTH(financials[[#This Row],[Date]])</f>
        <v>7</v>
      </c>
      <c r="P808" s="6" t="str">
        <f ca="1">TEXT(financials[[#This Row],[Date]],"MMM")</f>
        <v>Jul</v>
      </c>
      <c r="Q808">
        <f ca="1">YEAR(financials[[#This Row],[Date]])</f>
        <v>2024</v>
      </c>
    </row>
    <row r="809" spans="1:17" x14ac:dyDescent="0.3">
      <c r="A809" t="s">
        <v>21</v>
      </c>
      <c r="B809" t="s">
        <v>17</v>
      </c>
      <c r="C809" s="6" t="s">
        <v>28</v>
      </c>
      <c r="D809" s="6" t="str">
        <f>CONCATENATE(financials[[#This Row],[Segment]],",",financials[[#This Row],[Country]],",",financials[[#This Row],[Product]])</f>
        <v>Midmarket,Canada,Paseo</v>
      </c>
      <c r="E809" s="6" t="s">
        <v>32</v>
      </c>
      <c r="F809">
        <f t="shared" ca="1" si="24"/>
        <v>975</v>
      </c>
      <c r="G809" s="1">
        <f ca="1">VLOOKUP(financials[[#This Row],[ID]],Prices!D:F,2,FALSE)</f>
        <v>15</v>
      </c>
      <c r="H809" s="1">
        <f ca="1">VLOOKUP(financials[[#This Row],[ID]],Prices!D:F,3,FALSE)</f>
        <v>36</v>
      </c>
      <c r="I809" s="1">
        <f ca="1">financials[[#This Row],[Units Sold]]*financials[[#This Row],[Sale Price]]</f>
        <v>35100</v>
      </c>
      <c r="J8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1755</v>
      </c>
      <c r="K809" s="1">
        <f ca="1">financials[[#This Row],[Gross Sales]]-financials[[#This Row],[Discounts]]</f>
        <v>33345</v>
      </c>
      <c r="L809" s="1">
        <f ca="1">financials[[#This Row],[Units Sold]]*financials[[#This Row],[Manufacturing Price]]</f>
        <v>14625</v>
      </c>
      <c r="M809" s="1">
        <f ca="1">financials[[#This Row],[Sales]]-financials[[#This Row],[COGS]]</f>
        <v>18720</v>
      </c>
      <c r="N809" s="7">
        <f t="shared" ca="1" si="25"/>
        <v>45189</v>
      </c>
      <c r="O809" s="8">
        <f ca="1">MONTH(financials[[#This Row],[Date]])</f>
        <v>9</v>
      </c>
      <c r="P809" s="6" t="str">
        <f ca="1">TEXT(financials[[#This Row],[Date]],"MMM")</f>
        <v>Sep</v>
      </c>
      <c r="Q809">
        <f ca="1">YEAR(financials[[#This Row],[Date]])</f>
        <v>2023</v>
      </c>
    </row>
    <row r="810" spans="1:17" x14ac:dyDescent="0.3">
      <c r="A810" t="s">
        <v>27</v>
      </c>
      <c r="B810" t="s">
        <v>22</v>
      </c>
      <c r="C810" s="6" t="s">
        <v>28</v>
      </c>
      <c r="D810" s="6" t="str">
        <f>CONCATENATE(financials[[#This Row],[Segment]],",",financials[[#This Row],[Country]],",",financials[[#This Row],[Product]])</f>
        <v>Small Business,France,Paseo</v>
      </c>
      <c r="E810" s="6" t="s">
        <v>32</v>
      </c>
      <c r="F810">
        <f t="shared" ca="1" si="24"/>
        <v>575</v>
      </c>
      <c r="G810" s="1">
        <f ca="1">VLOOKUP(financials[[#This Row],[ID]],Prices!D:F,2,FALSE)</f>
        <v>16</v>
      </c>
      <c r="H810" s="1">
        <f ca="1">VLOOKUP(financials[[#This Row],[ID]],Prices!D:F,3,FALSE)</f>
        <v>29</v>
      </c>
      <c r="I810" s="1">
        <f ca="1">financials[[#This Row],[Units Sold]]*financials[[#This Row],[Sale Price]]</f>
        <v>16675</v>
      </c>
      <c r="J8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833.75</v>
      </c>
      <c r="K810" s="1">
        <f ca="1">financials[[#This Row],[Gross Sales]]-financials[[#This Row],[Discounts]]</f>
        <v>15841.25</v>
      </c>
      <c r="L810" s="1">
        <f ca="1">financials[[#This Row],[Units Sold]]*financials[[#This Row],[Manufacturing Price]]</f>
        <v>9200</v>
      </c>
      <c r="M810" s="1">
        <f ca="1">financials[[#This Row],[Sales]]-financials[[#This Row],[COGS]]</f>
        <v>6641.25</v>
      </c>
      <c r="N810" s="7">
        <f t="shared" ca="1" si="25"/>
        <v>45666</v>
      </c>
      <c r="O810" s="8">
        <f ca="1">MONTH(financials[[#This Row],[Date]])</f>
        <v>1</v>
      </c>
      <c r="P810" s="6" t="str">
        <f ca="1">TEXT(financials[[#This Row],[Date]],"MMM")</f>
        <v>Jan</v>
      </c>
      <c r="Q810">
        <f ca="1">YEAR(financials[[#This Row],[Date]])</f>
        <v>2025</v>
      </c>
    </row>
    <row r="811" spans="1:17" x14ac:dyDescent="0.3">
      <c r="A811" t="s">
        <v>27</v>
      </c>
      <c r="B811" t="s">
        <v>20</v>
      </c>
      <c r="C811" s="6" t="s">
        <v>28</v>
      </c>
      <c r="D811" s="6" t="str">
        <f>CONCATENATE(financials[[#This Row],[Segment]],",",financials[[#This Row],[Country]],",",financials[[#This Row],[Product]])</f>
        <v>Small Business,Germany,Paseo</v>
      </c>
      <c r="E811" s="6" t="s">
        <v>32</v>
      </c>
      <c r="F811">
        <f t="shared" ca="1" si="24"/>
        <v>998</v>
      </c>
      <c r="G811" s="1">
        <f ca="1">VLOOKUP(financials[[#This Row],[ID]],Prices!D:F,2,FALSE)</f>
        <v>19</v>
      </c>
      <c r="H811" s="1">
        <f ca="1">VLOOKUP(financials[[#This Row],[ID]],Prices!D:F,3,FALSE)</f>
        <v>25</v>
      </c>
      <c r="I811" s="1">
        <f ca="1">financials[[#This Row],[Units Sold]]*financials[[#This Row],[Sale Price]]</f>
        <v>24950</v>
      </c>
      <c r="J8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1247.5</v>
      </c>
      <c r="K811" s="1">
        <f ca="1">financials[[#This Row],[Gross Sales]]-financials[[#This Row],[Discounts]]</f>
        <v>23702.5</v>
      </c>
      <c r="L811" s="1">
        <f ca="1">financials[[#This Row],[Units Sold]]*financials[[#This Row],[Manufacturing Price]]</f>
        <v>18962</v>
      </c>
      <c r="M811" s="1">
        <f ca="1">financials[[#This Row],[Sales]]-financials[[#This Row],[COGS]]</f>
        <v>4740.5</v>
      </c>
      <c r="N811" s="7">
        <f t="shared" ca="1" si="25"/>
        <v>45544</v>
      </c>
      <c r="O811" s="8">
        <f ca="1">MONTH(financials[[#This Row],[Date]])</f>
        <v>9</v>
      </c>
      <c r="P811" s="6" t="str">
        <f ca="1">TEXT(financials[[#This Row],[Date]],"MMM")</f>
        <v>Sep</v>
      </c>
      <c r="Q811">
        <f ca="1">YEAR(financials[[#This Row],[Date]])</f>
        <v>2024</v>
      </c>
    </row>
    <row r="812" spans="1:17" x14ac:dyDescent="0.3">
      <c r="A812" t="s">
        <v>25</v>
      </c>
      <c r="B812" t="s">
        <v>36</v>
      </c>
      <c r="C812" s="6" t="s">
        <v>28</v>
      </c>
      <c r="D812" s="6" t="str">
        <f>CONCATENATE(financials[[#This Row],[Segment]],",",financials[[#This Row],[Country]],",",financials[[#This Row],[Product]])</f>
        <v>Channel Partners,USA,Paseo</v>
      </c>
      <c r="E812" s="6" t="s">
        <v>32</v>
      </c>
      <c r="F812">
        <f t="shared" ca="1" si="24"/>
        <v>671</v>
      </c>
      <c r="G812" s="1">
        <f ca="1">VLOOKUP(financials[[#This Row],[ID]],Prices!D:F,2,FALSE)</f>
        <v>19</v>
      </c>
      <c r="H812" s="1">
        <f ca="1">VLOOKUP(financials[[#This Row],[ID]],Prices!D:F,3,FALSE)</f>
        <v>26</v>
      </c>
      <c r="I812" s="1">
        <f ca="1">financials[[#This Row],[Units Sold]]*financials[[#This Row],[Sale Price]]</f>
        <v>17446</v>
      </c>
      <c r="J8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872.30000000000007</v>
      </c>
      <c r="K812" s="1">
        <f ca="1">financials[[#This Row],[Gross Sales]]-financials[[#This Row],[Discounts]]</f>
        <v>16573.7</v>
      </c>
      <c r="L812" s="1">
        <f ca="1">financials[[#This Row],[Units Sold]]*financials[[#This Row],[Manufacturing Price]]</f>
        <v>12749</v>
      </c>
      <c r="M812" s="1">
        <f ca="1">financials[[#This Row],[Sales]]-financials[[#This Row],[COGS]]</f>
        <v>3824.7000000000007</v>
      </c>
      <c r="N812" s="7">
        <f t="shared" ca="1" si="25"/>
        <v>45190</v>
      </c>
      <c r="O812" s="8">
        <f ca="1">MONTH(financials[[#This Row],[Date]])</f>
        <v>9</v>
      </c>
      <c r="P812" s="6" t="str">
        <f ca="1">TEXT(financials[[#This Row],[Date]],"MMM")</f>
        <v>Sep</v>
      </c>
      <c r="Q812">
        <f ca="1">YEAR(financials[[#This Row],[Date]])</f>
        <v>2023</v>
      </c>
    </row>
    <row r="813" spans="1:17" x14ac:dyDescent="0.3">
      <c r="A813" t="s">
        <v>26</v>
      </c>
      <c r="B813" t="s">
        <v>23</v>
      </c>
      <c r="C813" s="6" t="s">
        <v>28</v>
      </c>
      <c r="D813" s="6" t="str">
        <f>CONCATENATE(financials[[#This Row],[Segment]],",",financials[[#This Row],[Country]],",",financials[[#This Row],[Product]])</f>
        <v>Enterprise,Mexico,Paseo</v>
      </c>
      <c r="E813" s="6" t="s">
        <v>32</v>
      </c>
      <c r="F813">
        <f t="shared" ca="1" si="24"/>
        <v>115</v>
      </c>
      <c r="G813" s="1">
        <f ca="1">VLOOKUP(financials[[#This Row],[ID]],Prices!D:F,2,FALSE)</f>
        <v>17</v>
      </c>
      <c r="H813" s="1">
        <f ca="1">VLOOKUP(financials[[#This Row],[ID]],Prices!D:F,3,FALSE)</f>
        <v>27</v>
      </c>
      <c r="I813" s="1">
        <f ca="1">financials[[#This Row],[Units Sold]]*financials[[#This Row],[Sale Price]]</f>
        <v>3105</v>
      </c>
      <c r="J8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155.25</v>
      </c>
      <c r="K813" s="1">
        <f ca="1">financials[[#This Row],[Gross Sales]]-financials[[#This Row],[Discounts]]</f>
        <v>2949.75</v>
      </c>
      <c r="L813" s="1">
        <f ca="1">financials[[#This Row],[Units Sold]]*financials[[#This Row],[Manufacturing Price]]</f>
        <v>1955</v>
      </c>
      <c r="M813" s="1">
        <f ca="1">financials[[#This Row],[Sales]]-financials[[#This Row],[COGS]]</f>
        <v>994.75</v>
      </c>
      <c r="N813" s="7">
        <f t="shared" ca="1" si="25"/>
        <v>45434</v>
      </c>
      <c r="O813" s="8">
        <f ca="1">MONTH(financials[[#This Row],[Date]])</f>
        <v>5</v>
      </c>
      <c r="P813" s="6" t="str">
        <f ca="1">TEXT(financials[[#This Row],[Date]],"MMM")</f>
        <v>May</v>
      </c>
      <c r="Q813">
        <f ca="1">YEAR(financials[[#This Row],[Date]])</f>
        <v>2024</v>
      </c>
    </row>
    <row r="814" spans="1:17" x14ac:dyDescent="0.3">
      <c r="A814" t="s">
        <v>25</v>
      </c>
      <c r="B814" t="s">
        <v>17</v>
      </c>
      <c r="C814" s="6" t="s">
        <v>28</v>
      </c>
      <c r="D814" s="6" t="str">
        <f>CONCATENATE(financials[[#This Row],[Segment]],",",financials[[#This Row],[Country]],",",financials[[#This Row],[Product]])</f>
        <v>Channel Partners,Canada,Paseo</v>
      </c>
      <c r="E814" s="6" t="s">
        <v>32</v>
      </c>
      <c r="F814">
        <f t="shared" ca="1" si="24"/>
        <v>915</v>
      </c>
      <c r="G814" s="1">
        <f ca="1">VLOOKUP(financials[[#This Row],[ID]],Prices!D:F,2,FALSE)</f>
        <v>13</v>
      </c>
      <c r="H814" s="1">
        <f ca="1">VLOOKUP(financials[[#This Row],[ID]],Prices!D:F,3,FALSE)</f>
        <v>26</v>
      </c>
      <c r="I814" s="1">
        <f ca="1">financials[[#This Row],[Units Sold]]*financials[[#This Row],[Sale Price]]</f>
        <v>23790</v>
      </c>
      <c r="J8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1189.5</v>
      </c>
      <c r="K814" s="1">
        <f ca="1">financials[[#This Row],[Gross Sales]]-financials[[#This Row],[Discounts]]</f>
        <v>22600.5</v>
      </c>
      <c r="L814" s="1">
        <f ca="1">financials[[#This Row],[Units Sold]]*financials[[#This Row],[Manufacturing Price]]</f>
        <v>11895</v>
      </c>
      <c r="M814" s="1">
        <f ca="1">financials[[#This Row],[Sales]]-financials[[#This Row],[COGS]]</f>
        <v>10705.5</v>
      </c>
      <c r="N814" s="7">
        <f t="shared" ca="1" si="25"/>
        <v>45630</v>
      </c>
      <c r="O814" s="8">
        <f ca="1">MONTH(financials[[#This Row],[Date]])</f>
        <v>12</v>
      </c>
      <c r="P814" s="6" t="str">
        <f ca="1">TEXT(financials[[#This Row],[Date]],"MMM")</f>
        <v>Dec</v>
      </c>
      <c r="Q814">
        <f ca="1">YEAR(financials[[#This Row],[Date]])</f>
        <v>2024</v>
      </c>
    </row>
    <row r="815" spans="1:17" x14ac:dyDescent="0.3">
      <c r="A815" t="s">
        <v>26</v>
      </c>
      <c r="B815" t="s">
        <v>20</v>
      </c>
      <c r="C815" s="6" t="s">
        <v>28</v>
      </c>
      <c r="D815" s="6" t="str">
        <f>CONCATENATE(financials[[#This Row],[Segment]],",",financials[[#This Row],[Country]],",",financials[[#This Row],[Product]])</f>
        <v>Enterprise,Germany,Paseo</v>
      </c>
      <c r="E815" s="6" t="s">
        <v>32</v>
      </c>
      <c r="F815">
        <f t="shared" ca="1" si="24"/>
        <v>980</v>
      </c>
      <c r="G815" s="1">
        <f ca="1">VLOOKUP(financials[[#This Row],[ID]],Prices!D:F,2,FALSE)</f>
        <v>14</v>
      </c>
      <c r="H815" s="1">
        <f ca="1">VLOOKUP(financials[[#This Row],[ID]],Prices!D:F,3,FALSE)</f>
        <v>18</v>
      </c>
      <c r="I815" s="1">
        <f ca="1">financials[[#This Row],[Units Sold]]*financials[[#This Row],[Sale Price]]</f>
        <v>17640</v>
      </c>
      <c r="J8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882</v>
      </c>
      <c r="K815" s="1">
        <f ca="1">financials[[#This Row],[Gross Sales]]-financials[[#This Row],[Discounts]]</f>
        <v>16758</v>
      </c>
      <c r="L815" s="1">
        <f ca="1">financials[[#This Row],[Units Sold]]*financials[[#This Row],[Manufacturing Price]]</f>
        <v>13720</v>
      </c>
      <c r="M815" s="1">
        <f ca="1">financials[[#This Row],[Sales]]-financials[[#This Row],[COGS]]</f>
        <v>3038</v>
      </c>
      <c r="N815" s="7">
        <f t="shared" ca="1" si="25"/>
        <v>45219</v>
      </c>
      <c r="O815" s="8">
        <f ca="1">MONTH(financials[[#This Row],[Date]])</f>
        <v>10</v>
      </c>
      <c r="P815" s="6" t="str">
        <f ca="1">TEXT(financials[[#This Row],[Date]],"MMM")</f>
        <v>Oct</v>
      </c>
      <c r="Q815">
        <f ca="1">YEAR(financials[[#This Row],[Date]])</f>
        <v>2023</v>
      </c>
    </row>
    <row r="816" spans="1:17" x14ac:dyDescent="0.3">
      <c r="A816" t="s">
        <v>26</v>
      </c>
      <c r="B816" t="s">
        <v>23</v>
      </c>
      <c r="C816" s="6" t="s">
        <v>28</v>
      </c>
      <c r="D816" s="6" t="str">
        <f>CONCATENATE(financials[[#This Row],[Segment]],",",financials[[#This Row],[Country]],",",financials[[#This Row],[Product]])</f>
        <v>Enterprise,Mexico,Paseo</v>
      </c>
      <c r="E816" s="6" t="s">
        <v>32</v>
      </c>
      <c r="F816">
        <f t="shared" ca="1" si="24"/>
        <v>918</v>
      </c>
      <c r="G816" s="1">
        <f ca="1">VLOOKUP(financials[[#This Row],[ID]],Prices!D:F,2,FALSE)</f>
        <v>17</v>
      </c>
      <c r="H816" s="1">
        <f ca="1">VLOOKUP(financials[[#This Row],[ID]],Prices!D:F,3,FALSE)</f>
        <v>27</v>
      </c>
      <c r="I816" s="1">
        <f ca="1">financials[[#This Row],[Units Sold]]*financials[[#This Row],[Sale Price]]</f>
        <v>24786</v>
      </c>
      <c r="J8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1239.3000000000002</v>
      </c>
      <c r="K816" s="1">
        <f ca="1">financials[[#This Row],[Gross Sales]]-financials[[#This Row],[Discounts]]</f>
        <v>23546.7</v>
      </c>
      <c r="L816" s="1">
        <f ca="1">financials[[#This Row],[Units Sold]]*financials[[#This Row],[Manufacturing Price]]</f>
        <v>15606</v>
      </c>
      <c r="M816" s="1">
        <f ca="1">financials[[#This Row],[Sales]]-financials[[#This Row],[COGS]]</f>
        <v>7940.7000000000007</v>
      </c>
      <c r="N816" s="7">
        <f t="shared" ca="1" si="25"/>
        <v>45584</v>
      </c>
      <c r="O816" s="8">
        <f ca="1">MONTH(financials[[#This Row],[Date]])</f>
        <v>10</v>
      </c>
      <c r="P816" s="6" t="str">
        <f ca="1">TEXT(financials[[#This Row],[Date]],"MMM")</f>
        <v>Oct</v>
      </c>
      <c r="Q816">
        <f ca="1">YEAR(financials[[#This Row],[Date]])</f>
        <v>2024</v>
      </c>
    </row>
    <row r="817" spans="1:17" x14ac:dyDescent="0.3">
      <c r="A817" t="s">
        <v>25</v>
      </c>
      <c r="B817" t="s">
        <v>22</v>
      </c>
      <c r="C817" s="6" t="s">
        <v>28</v>
      </c>
      <c r="D817" s="6" t="str">
        <f>CONCATENATE(financials[[#This Row],[Segment]],",",financials[[#This Row],[Country]],",",financials[[#This Row],[Product]])</f>
        <v>Channel Partners,France,Paseo</v>
      </c>
      <c r="E817" s="6" t="s">
        <v>32</v>
      </c>
      <c r="F817">
        <f t="shared" ca="1" si="24"/>
        <v>519</v>
      </c>
      <c r="G817" s="1">
        <f ca="1">VLOOKUP(financials[[#This Row],[ID]],Prices!D:F,2,FALSE)</f>
        <v>14</v>
      </c>
      <c r="H817" s="1">
        <f ca="1">VLOOKUP(financials[[#This Row],[ID]],Prices!D:F,3,FALSE)</f>
        <v>30</v>
      </c>
      <c r="I817" s="1">
        <f ca="1">financials[[#This Row],[Units Sold]]*financials[[#This Row],[Sale Price]]</f>
        <v>15570</v>
      </c>
      <c r="J8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778.5</v>
      </c>
      <c r="K817" s="1">
        <f ca="1">financials[[#This Row],[Gross Sales]]-financials[[#This Row],[Discounts]]</f>
        <v>14791.5</v>
      </c>
      <c r="L817" s="1">
        <f ca="1">financials[[#This Row],[Units Sold]]*financials[[#This Row],[Manufacturing Price]]</f>
        <v>7266</v>
      </c>
      <c r="M817" s="1">
        <f ca="1">financials[[#This Row],[Sales]]-financials[[#This Row],[COGS]]</f>
        <v>7525.5</v>
      </c>
      <c r="N817" s="7">
        <f t="shared" ca="1" si="25"/>
        <v>45473</v>
      </c>
      <c r="O817" s="8">
        <f ca="1">MONTH(financials[[#This Row],[Date]])</f>
        <v>6</v>
      </c>
      <c r="P817" s="6" t="str">
        <f ca="1">TEXT(financials[[#This Row],[Date]],"MMM")</f>
        <v>Jun</v>
      </c>
      <c r="Q817">
        <f ca="1">YEAR(financials[[#This Row],[Date]])</f>
        <v>2024</v>
      </c>
    </row>
    <row r="818" spans="1:17" x14ac:dyDescent="0.3">
      <c r="A818" t="s">
        <v>27</v>
      </c>
      <c r="B818" t="s">
        <v>17</v>
      </c>
      <c r="C818" s="6" t="s">
        <v>28</v>
      </c>
      <c r="D818" s="6" t="str">
        <f>CONCATENATE(financials[[#This Row],[Segment]],",",financials[[#This Row],[Country]],",",financials[[#This Row],[Product]])</f>
        <v>Small Business,Canada,Paseo</v>
      </c>
      <c r="E818" s="6" t="s">
        <v>32</v>
      </c>
      <c r="F818">
        <f t="shared" ca="1" si="24"/>
        <v>524</v>
      </c>
      <c r="G818" s="1">
        <f ca="1">VLOOKUP(financials[[#This Row],[ID]],Prices!D:F,2,FALSE)</f>
        <v>20</v>
      </c>
      <c r="H818" s="1">
        <f ca="1">VLOOKUP(financials[[#This Row],[ID]],Prices!D:F,3,FALSE)</f>
        <v>31</v>
      </c>
      <c r="I818" s="1">
        <f ca="1">financials[[#This Row],[Units Sold]]*financials[[#This Row],[Sale Price]]</f>
        <v>16244</v>
      </c>
      <c r="J8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812.2</v>
      </c>
      <c r="K818" s="1">
        <f ca="1">financials[[#This Row],[Gross Sales]]-financials[[#This Row],[Discounts]]</f>
        <v>15431.8</v>
      </c>
      <c r="L818" s="1">
        <f ca="1">financials[[#This Row],[Units Sold]]*financials[[#This Row],[Manufacturing Price]]</f>
        <v>10480</v>
      </c>
      <c r="M818" s="1">
        <f ca="1">financials[[#This Row],[Sales]]-financials[[#This Row],[COGS]]</f>
        <v>4951.7999999999993</v>
      </c>
      <c r="N818" s="7">
        <f t="shared" ca="1" si="25"/>
        <v>45179</v>
      </c>
      <c r="O818" s="8">
        <f ca="1">MONTH(financials[[#This Row],[Date]])</f>
        <v>9</v>
      </c>
      <c r="P818" s="6" t="str">
        <f ca="1">TEXT(financials[[#This Row],[Date]],"MMM")</f>
        <v>Sep</v>
      </c>
      <c r="Q818">
        <f ca="1">YEAR(financials[[#This Row],[Date]])</f>
        <v>2023</v>
      </c>
    </row>
    <row r="819" spans="1:17" x14ac:dyDescent="0.3">
      <c r="A819" t="s">
        <v>16</v>
      </c>
      <c r="B819" t="s">
        <v>17</v>
      </c>
      <c r="C819" s="6" t="s">
        <v>28</v>
      </c>
      <c r="D819" s="6" t="str">
        <f>CONCATENATE(financials[[#This Row],[Segment]],",",financials[[#This Row],[Country]],",",financials[[#This Row],[Product]])</f>
        <v>Government,Canada,Paseo</v>
      </c>
      <c r="E819" s="6" t="s">
        <v>32</v>
      </c>
      <c r="F819">
        <f t="shared" ca="1" si="24"/>
        <v>431</v>
      </c>
      <c r="G819" s="1">
        <f ca="1">VLOOKUP(financials[[#This Row],[ID]],Prices!D:F,2,FALSE)</f>
        <v>10</v>
      </c>
      <c r="H819" s="1">
        <f ca="1">VLOOKUP(financials[[#This Row],[ID]],Prices!D:F,3,FALSE)</f>
        <v>23</v>
      </c>
      <c r="I819" s="1">
        <f ca="1">financials[[#This Row],[Units Sold]]*financials[[#This Row],[Sale Price]]</f>
        <v>9913</v>
      </c>
      <c r="J8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495.65000000000003</v>
      </c>
      <c r="K819" s="1">
        <f ca="1">financials[[#This Row],[Gross Sales]]-financials[[#This Row],[Discounts]]</f>
        <v>9417.35</v>
      </c>
      <c r="L819" s="1">
        <f ca="1">financials[[#This Row],[Units Sold]]*financials[[#This Row],[Manufacturing Price]]</f>
        <v>4310</v>
      </c>
      <c r="M819" s="1">
        <f ca="1">financials[[#This Row],[Sales]]-financials[[#This Row],[COGS]]</f>
        <v>5107.3500000000004</v>
      </c>
      <c r="N819" s="7">
        <f t="shared" ca="1" si="25"/>
        <v>45583</v>
      </c>
      <c r="O819" s="8">
        <f ca="1">MONTH(financials[[#This Row],[Date]])</f>
        <v>10</v>
      </c>
      <c r="P819" s="6" t="str">
        <f ca="1">TEXT(financials[[#This Row],[Date]],"MMM")</f>
        <v>Oct</v>
      </c>
      <c r="Q819">
        <f ca="1">YEAR(financials[[#This Row],[Date]])</f>
        <v>2024</v>
      </c>
    </row>
    <row r="820" spans="1:17" x14ac:dyDescent="0.3">
      <c r="A820" t="s">
        <v>26</v>
      </c>
      <c r="B820" t="s">
        <v>17</v>
      </c>
      <c r="C820" s="6" t="s">
        <v>28</v>
      </c>
      <c r="D820" s="6" t="str">
        <f>CONCATENATE(financials[[#This Row],[Segment]],",",financials[[#This Row],[Country]],",",financials[[#This Row],[Product]])</f>
        <v>Enterprise,Canada,Paseo</v>
      </c>
      <c r="E820" s="6" t="s">
        <v>32</v>
      </c>
      <c r="F820">
        <f t="shared" ca="1" si="24"/>
        <v>646</v>
      </c>
      <c r="G820" s="1">
        <f ca="1">VLOOKUP(financials[[#This Row],[ID]],Prices!D:F,2,FALSE)</f>
        <v>15</v>
      </c>
      <c r="H820" s="1">
        <f ca="1">VLOOKUP(financials[[#This Row],[ID]],Prices!D:F,3,FALSE)</f>
        <v>23</v>
      </c>
      <c r="I820" s="1">
        <f ca="1">financials[[#This Row],[Units Sold]]*financials[[#This Row],[Sale Price]]</f>
        <v>14858</v>
      </c>
      <c r="J8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742.90000000000009</v>
      </c>
      <c r="K820" s="1">
        <f ca="1">financials[[#This Row],[Gross Sales]]-financials[[#This Row],[Discounts]]</f>
        <v>14115.1</v>
      </c>
      <c r="L820" s="1">
        <f ca="1">financials[[#This Row],[Units Sold]]*financials[[#This Row],[Manufacturing Price]]</f>
        <v>9690</v>
      </c>
      <c r="M820" s="1">
        <f ca="1">financials[[#This Row],[Sales]]-financials[[#This Row],[COGS]]</f>
        <v>4425.1000000000004</v>
      </c>
      <c r="N820" s="7">
        <f t="shared" ca="1" si="25"/>
        <v>45235</v>
      </c>
      <c r="O820" s="8">
        <f ca="1">MONTH(financials[[#This Row],[Date]])</f>
        <v>11</v>
      </c>
      <c r="P820" s="6" t="str">
        <f ca="1">TEXT(financials[[#This Row],[Date]],"MMM")</f>
        <v>Nov</v>
      </c>
      <c r="Q820">
        <f ca="1">YEAR(financials[[#This Row],[Date]])</f>
        <v>2023</v>
      </c>
    </row>
    <row r="821" spans="1:17" x14ac:dyDescent="0.3">
      <c r="A821" t="s">
        <v>21</v>
      </c>
      <c r="B821" t="s">
        <v>36</v>
      </c>
      <c r="C821" s="6" t="s">
        <v>28</v>
      </c>
      <c r="D821" s="6" t="str">
        <f>CONCATENATE(financials[[#This Row],[Segment]],",",financials[[#This Row],[Country]],",",financials[[#This Row],[Product]])</f>
        <v>Midmarket,USA,Paseo</v>
      </c>
      <c r="E821" s="6" t="s">
        <v>32</v>
      </c>
      <c r="F821">
        <f t="shared" ca="1" si="24"/>
        <v>420</v>
      </c>
      <c r="G821" s="1">
        <f ca="1">VLOOKUP(financials[[#This Row],[ID]],Prices!D:F,2,FALSE)</f>
        <v>13</v>
      </c>
      <c r="H821" s="1">
        <f ca="1">VLOOKUP(financials[[#This Row],[ID]],Prices!D:F,3,FALSE)</f>
        <v>25</v>
      </c>
      <c r="I821" s="1">
        <f ca="1">financials[[#This Row],[Units Sold]]*financials[[#This Row],[Sale Price]]</f>
        <v>10500</v>
      </c>
      <c r="J8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525</v>
      </c>
      <c r="K821" s="1">
        <f ca="1">financials[[#This Row],[Gross Sales]]-financials[[#This Row],[Discounts]]</f>
        <v>9975</v>
      </c>
      <c r="L821" s="1">
        <f ca="1">financials[[#This Row],[Units Sold]]*financials[[#This Row],[Manufacturing Price]]</f>
        <v>5460</v>
      </c>
      <c r="M821" s="1">
        <f ca="1">financials[[#This Row],[Sales]]-financials[[#This Row],[COGS]]</f>
        <v>4515</v>
      </c>
      <c r="N821" s="7">
        <f t="shared" ca="1" si="25"/>
        <v>45081</v>
      </c>
      <c r="O821" s="8">
        <f ca="1">MONTH(financials[[#This Row],[Date]])</f>
        <v>6</v>
      </c>
      <c r="P821" s="6" t="str">
        <f ca="1">TEXT(financials[[#This Row],[Date]],"MMM")</f>
        <v>Jun</v>
      </c>
      <c r="Q821">
        <f ca="1">YEAR(financials[[#This Row],[Date]])</f>
        <v>2023</v>
      </c>
    </row>
    <row r="822" spans="1:17" x14ac:dyDescent="0.3">
      <c r="A822" t="s">
        <v>16</v>
      </c>
      <c r="B822" t="s">
        <v>36</v>
      </c>
      <c r="C822" s="6" t="s">
        <v>28</v>
      </c>
      <c r="D822" s="6" t="str">
        <f>CONCATENATE(financials[[#This Row],[Segment]],",",financials[[#This Row],[Country]],",",financials[[#This Row],[Product]])</f>
        <v>Government,USA,Paseo</v>
      </c>
      <c r="E822" s="6" t="s">
        <v>32</v>
      </c>
      <c r="F822">
        <f t="shared" ca="1" si="24"/>
        <v>799</v>
      </c>
      <c r="G822" s="1">
        <f ca="1">VLOOKUP(financials[[#This Row],[ID]],Prices!D:F,2,FALSE)</f>
        <v>17</v>
      </c>
      <c r="H822" s="1">
        <f ca="1">VLOOKUP(financials[[#This Row],[ID]],Prices!D:F,3,FALSE)</f>
        <v>36</v>
      </c>
      <c r="I822" s="1">
        <f ca="1">financials[[#This Row],[Units Sold]]*financials[[#This Row],[Sale Price]]</f>
        <v>28764</v>
      </c>
      <c r="J8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1438.2</v>
      </c>
      <c r="K822" s="1">
        <f ca="1">financials[[#This Row],[Gross Sales]]-financials[[#This Row],[Discounts]]</f>
        <v>27325.8</v>
      </c>
      <c r="L822" s="1">
        <f ca="1">financials[[#This Row],[Units Sold]]*financials[[#This Row],[Manufacturing Price]]</f>
        <v>13583</v>
      </c>
      <c r="M822" s="1">
        <f ca="1">financials[[#This Row],[Sales]]-financials[[#This Row],[COGS]]</f>
        <v>13742.8</v>
      </c>
      <c r="N822" s="7">
        <f t="shared" ca="1" si="25"/>
        <v>45517</v>
      </c>
      <c r="O822" s="8">
        <f ca="1">MONTH(financials[[#This Row],[Date]])</f>
        <v>8</v>
      </c>
      <c r="P822" s="6" t="str">
        <f ca="1">TEXT(financials[[#This Row],[Date]],"MMM")</f>
        <v>Aug</v>
      </c>
      <c r="Q822">
        <f ca="1">YEAR(financials[[#This Row],[Date]])</f>
        <v>2024</v>
      </c>
    </row>
    <row r="823" spans="1:17" x14ac:dyDescent="0.3">
      <c r="A823" t="s">
        <v>25</v>
      </c>
      <c r="B823" t="s">
        <v>22</v>
      </c>
      <c r="C823" s="6" t="s">
        <v>28</v>
      </c>
      <c r="D823" s="6" t="str">
        <f>CONCATENATE(financials[[#This Row],[Segment]],",",financials[[#This Row],[Country]],",",financials[[#This Row],[Product]])</f>
        <v>Channel Partners,France,Paseo</v>
      </c>
      <c r="E823" s="6" t="s">
        <v>32</v>
      </c>
      <c r="F823">
        <f t="shared" ca="1" si="24"/>
        <v>157</v>
      </c>
      <c r="G823" s="1">
        <f ca="1">VLOOKUP(financials[[#This Row],[ID]],Prices!D:F,2,FALSE)</f>
        <v>14</v>
      </c>
      <c r="H823" s="1">
        <f ca="1">VLOOKUP(financials[[#This Row],[ID]],Prices!D:F,3,FALSE)</f>
        <v>30</v>
      </c>
      <c r="I823" s="1">
        <f ca="1">financials[[#This Row],[Units Sold]]*financials[[#This Row],[Sale Price]]</f>
        <v>4710</v>
      </c>
      <c r="J8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235.5</v>
      </c>
      <c r="K823" s="1">
        <f ca="1">financials[[#This Row],[Gross Sales]]-financials[[#This Row],[Discounts]]</f>
        <v>4474.5</v>
      </c>
      <c r="L823" s="1">
        <f ca="1">financials[[#This Row],[Units Sold]]*financials[[#This Row],[Manufacturing Price]]</f>
        <v>2198</v>
      </c>
      <c r="M823" s="1">
        <f ca="1">financials[[#This Row],[Sales]]-financials[[#This Row],[COGS]]</f>
        <v>2276.5</v>
      </c>
      <c r="N823" s="7">
        <f t="shared" ca="1" si="25"/>
        <v>45294</v>
      </c>
      <c r="O823" s="8">
        <f ca="1">MONTH(financials[[#This Row],[Date]])</f>
        <v>1</v>
      </c>
      <c r="P823" s="6" t="str">
        <f ca="1">TEXT(financials[[#This Row],[Date]],"MMM")</f>
        <v>Jan</v>
      </c>
      <c r="Q823">
        <f ca="1">YEAR(financials[[#This Row],[Date]])</f>
        <v>2024</v>
      </c>
    </row>
    <row r="824" spans="1:17" x14ac:dyDescent="0.3">
      <c r="A824" t="s">
        <v>25</v>
      </c>
      <c r="B824" t="s">
        <v>23</v>
      </c>
      <c r="C824" s="6" t="s">
        <v>28</v>
      </c>
      <c r="D824" s="6" t="str">
        <f>CONCATENATE(financials[[#This Row],[Segment]],",",financials[[#This Row],[Country]],",",financials[[#This Row],[Product]])</f>
        <v>Channel Partners,Mexico,Paseo</v>
      </c>
      <c r="E824" s="6" t="s">
        <v>32</v>
      </c>
      <c r="F824">
        <f t="shared" ca="1" si="24"/>
        <v>947</v>
      </c>
      <c r="G824" s="1">
        <f ca="1">VLOOKUP(financials[[#This Row],[ID]],Prices!D:F,2,FALSE)</f>
        <v>13</v>
      </c>
      <c r="H824" s="1">
        <f ca="1">VLOOKUP(financials[[#This Row],[ID]],Prices!D:F,3,FALSE)</f>
        <v>21</v>
      </c>
      <c r="I824" s="1">
        <f ca="1">financials[[#This Row],[Units Sold]]*financials[[#This Row],[Sale Price]]</f>
        <v>19887</v>
      </c>
      <c r="J8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994.35</v>
      </c>
      <c r="K824" s="1">
        <f ca="1">financials[[#This Row],[Gross Sales]]-financials[[#This Row],[Discounts]]</f>
        <v>18892.650000000001</v>
      </c>
      <c r="L824" s="1">
        <f ca="1">financials[[#This Row],[Units Sold]]*financials[[#This Row],[Manufacturing Price]]</f>
        <v>12311</v>
      </c>
      <c r="M824" s="1">
        <f ca="1">financials[[#This Row],[Sales]]-financials[[#This Row],[COGS]]</f>
        <v>6581.6500000000015</v>
      </c>
      <c r="N824" s="7">
        <f t="shared" ca="1" si="25"/>
        <v>45358</v>
      </c>
      <c r="O824" s="8">
        <f ca="1">MONTH(financials[[#This Row],[Date]])</f>
        <v>3</v>
      </c>
      <c r="P824" s="6" t="str">
        <f ca="1">TEXT(financials[[#This Row],[Date]],"MMM")</f>
        <v>Mar</v>
      </c>
      <c r="Q824">
        <f ca="1">YEAR(financials[[#This Row],[Date]])</f>
        <v>2024</v>
      </c>
    </row>
    <row r="825" spans="1:17" x14ac:dyDescent="0.3">
      <c r="A825" t="s">
        <v>16</v>
      </c>
      <c r="B825" t="s">
        <v>36</v>
      </c>
      <c r="C825" s="6" t="s">
        <v>29</v>
      </c>
      <c r="D825" s="6" t="str">
        <f>CONCATENATE(financials[[#This Row],[Segment]],",",financials[[#This Row],[Country]],",",financials[[#This Row],[Product]])</f>
        <v>Government,USA,Velo</v>
      </c>
      <c r="E825" s="6" t="s">
        <v>32</v>
      </c>
      <c r="F825">
        <f t="shared" ca="1" si="24"/>
        <v>293</v>
      </c>
      <c r="G825" s="1">
        <f ca="1">VLOOKUP(financials[[#This Row],[ID]],Prices!D:F,2,FALSE)</f>
        <v>18</v>
      </c>
      <c r="H825" s="1">
        <f ca="1">VLOOKUP(financials[[#This Row],[ID]],Prices!D:F,3,FALSE)</f>
        <v>38</v>
      </c>
      <c r="I825" s="1">
        <f ca="1">financials[[#This Row],[Units Sold]]*financials[[#This Row],[Sale Price]]</f>
        <v>11134</v>
      </c>
      <c r="J8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556.70000000000005</v>
      </c>
      <c r="K825" s="1">
        <f ca="1">financials[[#This Row],[Gross Sales]]-financials[[#This Row],[Discounts]]</f>
        <v>10577.3</v>
      </c>
      <c r="L825" s="1">
        <f ca="1">financials[[#This Row],[Units Sold]]*financials[[#This Row],[Manufacturing Price]]</f>
        <v>5274</v>
      </c>
      <c r="M825" s="1">
        <f ca="1">financials[[#This Row],[Sales]]-financials[[#This Row],[COGS]]</f>
        <v>5303.2999999999993</v>
      </c>
      <c r="N825" s="7">
        <f t="shared" ca="1" si="25"/>
        <v>45211</v>
      </c>
      <c r="O825" s="8">
        <f ca="1">MONTH(financials[[#This Row],[Date]])</f>
        <v>10</v>
      </c>
      <c r="P825" s="6" t="str">
        <f ca="1">TEXT(financials[[#This Row],[Date]],"MMM")</f>
        <v>Oct</v>
      </c>
      <c r="Q825">
        <f ca="1">YEAR(financials[[#This Row],[Date]])</f>
        <v>2023</v>
      </c>
    </row>
    <row r="826" spans="1:17" x14ac:dyDescent="0.3">
      <c r="A826" t="s">
        <v>16</v>
      </c>
      <c r="B826" t="s">
        <v>20</v>
      </c>
      <c r="C826" s="6" t="s">
        <v>29</v>
      </c>
      <c r="D826" s="6" t="str">
        <f>CONCATENATE(financials[[#This Row],[Segment]],",",financials[[#This Row],[Country]],",",financials[[#This Row],[Product]])</f>
        <v>Government,Germany,Velo</v>
      </c>
      <c r="E826" s="6" t="s">
        <v>32</v>
      </c>
      <c r="F826">
        <f t="shared" ca="1" si="24"/>
        <v>402</v>
      </c>
      <c r="G826" s="1">
        <f ca="1">VLOOKUP(financials[[#This Row],[ID]],Prices!D:F,2,FALSE)</f>
        <v>13</v>
      </c>
      <c r="H826" s="1">
        <f ca="1">VLOOKUP(financials[[#This Row],[ID]],Prices!D:F,3,FALSE)</f>
        <v>19</v>
      </c>
      <c r="I826" s="1">
        <f ca="1">financials[[#This Row],[Units Sold]]*financials[[#This Row],[Sale Price]]</f>
        <v>7638</v>
      </c>
      <c r="J8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381.90000000000003</v>
      </c>
      <c r="K826" s="1">
        <f ca="1">financials[[#This Row],[Gross Sales]]-financials[[#This Row],[Discounts]]</f>
        <v>7256.1</v>
      </c>
      <c r="L826" s="1">
        <f ca="1">financials[[#This Row],[Units Sold]]*financials[[#This Row],[Manufacturing Price]]</f>
        <v>5226</v>
      </c>
      <c r="M826" s="1">
        <f ca="1">financials[[#This Row],[Sales]]-financials[[#This Row],[COGS]]</f>
        <v>2030.1000000000004</v>
      </c>
      <c r="N826" s="7">
        <f t="shared" ca="1" si="25"/>
        <v>45717</v>
      </c>
      <c r="O826" s="8">
        <f ca="1">MONTH(financials[[#This Row],[Date]])</f>
        <v>3</v>
      </c>
      <c r="P826" s="6" t="str">
        <f ca="1">TEXT(financials[[#This Row],[Date]],"MMM")</f>
        <v>Mar</v>
      </c>
      <c r="Q826">
        <f ca="1">YEAR(financials[[#This Row],[Date]])</f>
        <v>2025</v>
      </c>
    </row>
    <row r="827" spans="1:17" x14ac:dyDescent="0.3">
      <c r="A827" t="s">
        <v>16</v>
      </c>
      <c r="B827" t="s">
        <v>20</v>
      </c>
      <c r="C827" s="6" t="s">
        <v>29</v>
      </c>
      <c r="D827" s="6" t="str">
        <f>CONCATENATE(financials[[#This Row],[Segment]],",",financials[[#This Row],[Country]],",",financials[[#This Row],[Product]])</f>
        <v>Government,Germany,Velo</v>
      </c>
      <c r="E827" s="6" t="s">
        <v>32</v>
      </c>
      <c r="F827">
        <f t="shared" ca="1" si="24"/>
        <v>405</v>
      </c>
      <c r="G827" s="1">
        <f ca="1">VLOOKUP(financials[[#This Row],[ID]],Prices!D:F,2,FALSE)</f>
        <v>13</v>
      </c>
      <c r="H827" s="1">
        <f ca="1">VLOOKUP(financials[[#This Row],[ID]],Prices!D:F,3,FALSE)</f>
        <v>19</v>
      </c>
      <c r="I827" s="1">
        <f ca="1">financials[[#This Row],[Units Sold]]*financials[[#This Row],[Sale Price]]</f>
        <v>7695</v>
      </c>
      <c r="J8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384.75</v>
      </c>
      <c r="K827" s="1">
        <f ca="1">financials[[#This Row],[Gross Sales]]-financials[[#This Row],[Discounts]]</f>
        <v>7310.25</v>
      </c>
      <c r="L827" s="1">
        <f ca="1">financials[[#This Row],[Units Sold]]*financials[[#This Row],[Manufacturing Price]]</f>
        <v>5265</v>
      </c>
      <c r="M827" s="1">
        <f ca="1">financials[[#This Row],[Sales]]-financials[[#This Row],[COGS]]</f>
        <v>2045.25</v>
      </c>
      <c r="N827" s="7">
        <f t="shared" ca="1" si="25"/>
        <v>45166</v>
      </c>
      <c r="O827" s="8">
        <f ca="1">MONTH(financials[[#This Row],[Date]])</f>
        <v>8</v>
      </c>
      <c r="P827" s="6" t="str">
        <f ca="1">TEXT(financials[[#This Row],[Date]],"MMM")</f>
        <v>Aug</v>
      </c>
      <c r="Q827">
        <f ca="1">YEAR(financials[[#This Row],[Date]])</f>
        <v>2023</v>
      </c>
    </row>
    <row r="828" spans="1:17" x14ac:dyDescent="0.3">
      <c r="A828" t="s">
        <v>26</v>
      </c>
      <c r="B828" t="s">
        <v>20</v>
      </c>
      <c r="C828" s="6" t="s">
        <v>29</v>
      </c>
      <c r="D828" s="6" t="str">
        <f>CONCATENATE(financials[[#This Row],[Segment]],",",financials[[#This Row],[Country]],",",financials[[#This Row],[Product]])</f>
        <v>Enterprise,Germany,Velo</v>
      </c>
      <c r="E828" s="6" t="s">
        <v>32</v>
      </c>
      <c r="F828">
        <f t="shared" ca="1" si="24"/>
        <v>935</v>
      </c>
      <c r="G828" s="1">
        <f ca="1">VLOOKUP(financials[[#This Row],[ID]],Prices!D:F,2,FALSE)</f>
        <v>16</v>
      </c>
      <c r="H828" s="1">
        <f ca="1">VLOOKUP(financials[[#This Row],[ID]],Prices!D:F,3,FALSE)</f>
        <v>29</v>
      </c>
      <c r="I828" s="1">
        <f ca="1">financials[[#This Row],[Units Sold]]*financials[[#This Row],[Sale Price]]</f>
        <v>27115</v>
      </c>
      <c r="J8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1355.75</v>
      </c>
      <c r="K828" s="1">
        <f ca="1">financials[[#This Row],[Gross Sales]]-financials[[#This Row],[Discounts]]</f>
        <v>25759.25</v>
      </c>
      <c r="L828" s="1">
        <f ca="1">financials[[#This Row],[Units Sold]]*financials[[#This Row],[Manufacturing Price]]</f>
        <v>14960</v>
      </c>
      <c r="M828" s="1">
        <f ca="1">financials[[#This Row],[Sales]]-financials[[#This Row],[COGS]]</f>
        <v>10799.25</v>
      </c>
      <c r="N828" s="7">
        <f t="shared" ca="1" si="25"/>
        <v>45735</v>
      </c>
      <c r="O828" s="8">
        <f ca="1">MONTH(financials[[#This Row],[Date]])</f>
        <v>3</v>
      </c>
      <c r="P828" s="6" t="str">
        <f ca="1">TEXT(financials[[#This Row],[Date]],"MMM")</f>
        <v>Mar</v>
      </c>
      <c r="Q828">
        <f ca="1">YEAR(financials[[#This Row],[Date]])</f>
        <v>2025</v>
      </c>
    </row>
    <row r="829" spans="1:17" x14ac:dyDescent="0.3">
      <c r="A829" t="s">
        <v>26</v>
      </c>
      <c r="B829" t="s">
        <v>23</v>
      </c>
      <c r="C829" s="6" t="s">
        <v>29</v>
      </c>
      <c r="D829" s="6" t="str">
        <f>CONCATENATE(financials[[#This Row],[Segment]],",",financials[[#This Row],[Country]],",",financials[[#This Row],[Product]])</f>
        <v>Enterprise,Mexico,Velo</v>
      </c>
      <c r="E829" s="6" t="s">
        <v>32</v>
      </c>
      <c r="F829">
        <f t="shared" ca="1" si="24"/>
        <v>321</v>
      </c>
      <c r="G829" s="1">
        <f ca="1">VLOOKUP(financials[[#This Row],[ID]],Prices!D:F,2,FALSE)</f>
        <v>19</v>
      </c>
      <c r="H829" s="1">
        <f ca="1">VLOOKUP(financials[[#This Row],[ID]],Prices!D:F,3,FALSE)</f>
        <v>23</v>
      </c>
      <c r="I829" s="1">
        <f ca="1">financials[[#This Row],[Units Sold]]*financials[[#This Row],[Sale Price]]</f>
        <v>7383</v>
      </c>
      <c r="J8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369.15000000000003</v>
      </c>
      <c r="K829" s="1">
        <f ca="1">financials[[#This Row],[Gross Sales]]-financials[[#This Row],[Discounts]]</f>
        <v>7013.85</v>
      </c>
      <c r="L829" s="1">
        <f ca="1">financials[[#This Row],[Units Sold]]*financials[[#This Row],[Manufacturing Price]]</f>
        <v>6099</v>
      </c>
      <c r="M829" s="1">
        <f ca="1">financials[[#This Row],[Sales]]-financials[[#This Row],[COGS]]</f>
        <v>914.85000000000036</v>
      </c>
      <c r="N829" s="7">
        <f t="shared" ca="1" si="25"/>
        <v>45684</v>
      </c>
      <c r="O829" s="8">
        <f ca="1">MONTH(financials[[#This Row],[Date]])</f>
        <v>1</v>
      </c>
      <c r="P829" s="6" t="str">
        <f ca="1">TEXT(financials[[#This Row],[Date]],"MMM")</f>
        <v>Jan</v>
      </c>
      <c r="Q829">
        <f ca="1">YEAR(financials[[#This Row],[Date]])</f>
        <v>2025</v>
      </c>
    </row>
    <row r="830" spans="1:17" x14ac:dyDescent="0.3">
      <c r="A830" t="s">
        <v>25</v>
      </c>
      <c r="B830" t="s">
        <v>22</v>
      </c>
      <c r="C830" s="6" t="s">
        <v>29</v>
      </c>
      <c r="D830" s="6" t="str">
        <f>CONCATENATE(financials[[#This Row],[Segment]],",",financials[[#This Row],[Country]],",",financials[[#This Row],[Product]])</f>
        <v>Channel Partners,France,Velo</v>
      </c>
      <c r="E830" s="6" t="s">
        <v>32</v>
      </c>
      <c r="F830">
        <f t="shared" ca="1" si="24"/>
        <v>772</v>
      </c>
      <c r="G830" s="1">
        <f ca="1">VLOOKUP(financials[[#This Row],[ID]],Prices!D:F,2,FALSE)</f>
        <v>18</v>
      </c>
      <c r="H830" s="1">
        <f ca="1">VLOOKUP(financials[[#This Row],[ID]],Prices!D:F,3,FALSE)</f>
        <v>26</v>
      </c>
      <c r="I830" s="1">
        <f ca="1">financials[[#This Row],[Units Sold]]*financials[[#This Row],[Sale Price]]</f>
        <v>20072</v>
      </c>
      <c r="J8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1003.6</v>
      </c>
      <c r="K830" s="1">
        <f ca="1">financials[[#This Row],[Gross Sales]]-financials[[#This Row],[Discounts]]</f>
        <v>19068.400000000001</v>
      </c>
      <c r="L830" s="1">
        <f ca="1">financials[[#This Row],[Units Sold]]*financials[[#This Row],[Manufacturing Price]]</f>
        <v>13896</v>
      </c>
      <c r="M830" s="1">
        <f ca="1">financials[[#This Row],[Sales]]-financials[[#This Row],[COGS]]</f>
        <v>5172.4000000000015</v>
      </c>
      <c r="N830" s="7">
        <f t="shared" ca="1" si="25"/>
        <v>45321</v>
      </c>
      <c r="O830" s="8">
        <f ca="1">MONTH(financials[[#This Row],[Date]])</f>
        <v>1</v>
      </c>
      <c r="P830" s="6" t="str">
        <f ca="1">TEXT(financials[[#This Row],[Date]],"MMM")</f>
        <v>Jan</v>
      </c>
      <c r="Q830">
        <f ca="1">YEAR(financials[[#This Row],[Date]])</f>
        <v>2024</v>
      </c>
    </row>
    <row r="831" spans="1:17" x14ac:dyDescent="0.3">
      <c r="A831" t="s">
        <v>16</v>
      </c>
      <c r="B831" t="s">
        <v>23</v>
      </c>
      <c r="C831" s="6" t="s">
        <v>29</v>
      </c>
      <c r="D831" s="6" t="str">
        <f>CONCATENATE(financials[[#This Row],[Segment]],",",financials[[#This Row],[Country]],",",financials[[#This Row],[Product]])</f>
        <v>Government,Mexico,Velo</v>
      </c>
      <c r="E831" s="6" t="s">
        <v>32</v>
      </c>
      <c r="F831">
        <f t="shared" ca="1" si="24"/>
        <v>847</v>
      </c>
      <c r="G831" s="1">
        <f ca="1">VLOOKUP(financials[[#This Row],[ID]],Prices!D:F,2,FALSE)</f>
        <v>18</v>
      </c>
      <c r="H831" s="1">
        <f ca="1">VLOOKUP(financials[[#This Row],[ID]],Prices!D:F,3,FALSE)</f>
        <v>36</v>
      </c>
      <c r="I831" s="1">
        <f ca="1">financials[[#This Row],[Units Sold]]*financials[[#This Row],[Sale Price]]</f>
        <v>30492</v>
      </c>
      <c r="J8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1524.6000000000001</v>
      </c>
      <c r="K831" s="1">
        <f ca="1">financials[[#This Row],[Gross Sales]]-financials[[#This Row],[Discounts]]</f>
        <v>28967.4</v>
      </c>
      <c r="L831" s="1">
        <f ca="1">financials[[#This Row],[Units Sold]]*financials[[#This Row],[Manufacturing Price]]</f>
        <v>15246</v>
      </c>
      <c r="M831" s="1">
        <f ca="1">financials[[#This Row],[Sales]]-financials[[#This Row],[COGS]]</f>
        <v>13721.400000000001</v>
      </c>
      <c r="N831" s="7">
        <f t="shared" ca="1" si="25"/>
        <v>45733</v>
      </c>
      <c r="O831" s="8">
        <f ca="1">MONTH(financials[[#This Row],[Date]])</f>
        <v>3</v>
      </c>
      <c r="P831" s="6" t="str">
        <f ca="1">TEXT(financials[[#This Row],[Date]],"MMM")</f>
        <v>Mar</v>
      </c>
      <c r="Q831">
        <f ca="1">YEAR(financials[[#This Row],[Date]])</f>
        <v>2025</v>
      </c>
    </row>
    <row r="832" spans="1:17" x14ac:dyDescent="0.3">
      <c r="A832" t="s">
        <v>25</v>
      </c>
      <c r="B832" t="s">
        <v>23</v>
      </c>
      <c r="C832" s="6" t="s">
        <v>29</v>
      </c>
      <c r="D832" s="6" t="str">
        <f>CONCATENATE(financials[[#This Row],[Segment]],",",financials[[#This Row],[Country]],",",financials[[#This Row],[Product]])</f>
        <v>Channel Partners,Mexico,Velo</v>
      </c>
      <c r="E832" s="6" t="s">
        <v>32</v>
      </c>
      <c r="F832">
        <f t="shared" ca="1" si="24"/>
        <v>39</v>
      </c>
      <c r="G832" s="1">
        <f ca="1">VLOOKUP(financials[[#This Row],[ID]],Prices!D:F,2,FALSE)</f>
        <v>19</v>
      </c>
      <c r="H832" s="1">
        <f ca="1">VLOOKUP(financials[[#This Row],[ID]],Prices!D:F,3,FALSE)</f>
        <v>16</v>
      </c>
      <c r="I832" s="1">
        <f ca="1">financials[[#This Row],[Units Sold]]*financials[[#This Row],[Sale Price]]</f>
        <v>624</v>
      </c>
      <c r="J8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6.24</v>
      </c>
      <c r="K832" s="1">
        <f ca="1">financials[[#This Row],[Gross Sales]]-financials[[#This Row],[Discounts]]</f>
        <v>617.76</v>
      </c>
      <c r="L832" s="1">
        <f ca="1">financials[[#This Row],[Units Sold]]*financials[[#This Row],[Manufacturing Price]]</f>
        <v>741</v>
      </c>
      <c r="M832" s="1">
        <f ca="1">financials[[#This Row],[Sales]]-financials[[#This Row],[COGS]]</f>
        <v>-123.24000000000001</v>
      </c>
      <c r="N832" s="7">
        <f t="shared" ca="1" si="25"/>
        <v>45553</v>
      </c>
      <c r="O832" s="8">
        <f ca="1">MONTH(financials[[#This Row],[Date]])</f>
        <v>9</v>
      </c>
      <c r="P832" s="6" t="str">
        <f ca="1">TEXT(financials[[#This Row],[Date]],"MMM")</f>
        <v>Sep</v>
      </c>
      <c r="Q832">
        <f ca="1">YEAR(financials[[#This Row],[Date]])</f>
        <v>2024</v>
      </c>
    </row>
    <row r="833" spans="1:17" x14ac:dyDescent="0.3">
      <c r="A833" t="s">
        <v>26</v>
      </c>
      <c r="B833" t="s">
        <v>23</v>
      </c>
      <c r="C833" s="6" t="s">
        <v>30</v>
      </c>
      <c r="D833" s="6" t="str">
        <f>CONCATENATE(financials[[#This Row],[Segment]],",",financials[[#This Row],[Country]],",",financials[[#This Row],[Product]])</f>
        <v>Enterprise,Mexico,VTT</v>
      </c>
      <c r="E833" s="6" t="s">
        <v>32</v>
      </c>
      <c r="F833">
        <f t="shared" ca="1" si="24"/>
        <v>409</v>
      </c>
      <c r="G833" s="1">
        <f ca="1">VLOOKUP(financials[[#This Row],[ID]],Prices!D:F,2,FALSE)</f>
        <v>15</v>
      </c>
      <c r="H833" s="1">
        <f ca="1">VLOOKUP(financials[[#This Row],[ID]],Prices!D:F,3,FALSE)</f>
        <v>38</v>
      </c>
      <c r="I833" s="1">
        <f ca="1">financials[[#This Row],[Units Sold]]*financials[[#This Row],[Sale Price]]</f>
        <v>15542</v>
      </c>
      <c r="J8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777.1</v>
      </c>
      <c r="K833" s="1">
        <f ca="1">financials[[#This Row],[Gross Sales]]-financials[[#This Row],[Discounts]]</f>
        <v>14764.9</v>
      </c>
      <c r="L833" s="1">
        <f ca="1">financials[[#This Row],[Units Sold]]*financials[[#This Row],[Manufacturing Price]]</f>
        <v>6135</v>
      </c>
      <c r="M833" s="1">
        <f ca="1">financials[[#This Row],[Sales]]-financials[[#This Row],[COGS]]</f>
        <v>8629.9</v>
      </c>
      <c r="N833" s="7">
        <f t="shared" ca="1" si="25"/>
        <v>45299</v>
      </c>
      <c r="O833" s="8">
        <f ca="1">MONTH(financials[[#This Row],[Date]])</f>
        <v>1</v>
      </c>
      <c r="P833" s="6" t="str">
        <f ca="1">TEXT(financials[[#This Row],[Date]],"MMM")</f>
        <v>Jan</v>
      </c>
      <c r="Q833">
        <f ca="1">YEAR(financials[[#This Row],[Date]])</f>
        <v>2024</v>
      </c>
    </row>
    <row r="834" spans="1:17" x14ac:dyDescent="0.3">
      <c r="A834" t="s">
        <v>27</v>
      </c>
      <c r="B834" t="s">
        <v>20</v>
      </c>
      <c r="C834" s="6" t="s">
        <v>30</v>
      </c>
      <c r="D834" s="6" t="str">
        <f>CONCATENATE(financials[[#This Row],[Segment]],",",financials[[#This Row],[Country]],",",financials[[#This Row],[Product]])</f>
        <v>Small Business,Germany,VTT</v>
      </c>
      <c r="E834" s="6" t="s">
        <v>32</v>
      </c>
      <c r="F834">
        <f t="shared" ca="1" si="24"/>
        <v>750</v>
      </c>
      <c r="G834" s="1">
        <f ca="1">VLOOKUP(financials[[#This Row],[ID]],Prices!D:F,2,FALSE)</f>
        <v>18</v>
      </c>
      <c r="H834" s="1">
        <f ca="1">VLOOKUP(financials[[#This Row],[ID]],Prices!D:F,3,FALSE)</f>
        <v>38</v>
      </c>
      <c r="I834" s="1">
        <f ca="1">financials[[#This Row],[Units Sold]]*financials[[#This Row],[Sale Price]]</f>
        <v>28500</v>
      </c>
      <c r="J8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1425</v>
      </c>
      <c r="K834" s="1">
        <f ca="1">financials[[#This Row],[Gross Sales]]-financials[[#This Row],[Discounts]]</f>
        <v>27075</v>
      </c>
      <c r="L834" s="1">
        <f ca="1">financials[[#This Row],[Units Sold]]*financials[[#This Row],[Manufacturing Price]]</f>
        <v>13500</v>
      </c>
      <c r="M834" s="1">
        <f ca="1">financials[[#This Row],[Sales]]-financials[[#This Row],[COGS]]</f>
        <v>13575</v>
      </c>
      <c r="N834" s="7">
        <f t="shared" ca="1" si="25"/>
        <v>45159</v>
      </c>
      <c r="O834" s="8">
        <f ca="1">MONTH(financials[[#This Row],[Date]])</f>
        <v>8</v>
      </c>
      <c r="P834" s="6" t="str">
        <f ca="1">TEXT(financials[[#This Row],[Date]],"MMM")</f>
        <v>Aug</v>
      </c>
      <c r="Q834">
        <f ca="1">YEAR(financials[[#This Row],[Date]])</f>
        <v>2023</v>
      </c>
    </row>
    <row r="835" spans="1:17" x14ac:dyDescent="0.3">
      <c r="A835" t="s">
        <v>16</v>
      </c>
      <c r="B835" t="s">
        <v>20</v>
      </c>
      <c r="C835" s="6" t="s">
        <v>30</v>
      </c>
      <c r="D835" s="6" t="str">
        <f>CONCATENATE(financials[[#This Row],[Segment]],",",financials[[#This Row],[Country]],",",financials[[#This Row],[Product]])</f>
        <v>Government,Germany,VTT</v>
      </c>
      <c r="E835" s="6" t="s">
        <v>32</v>
      </c>
      <c r="F835">
        <f t="shared" ref="F835:F898" ca="1" si="26">RANDBETWEEN(10,1000)</f>
        <v>218</v>
      </c>
      <c r="G835" s="1">
        <f ca="1">VLOOKUP(financials[[#This Row],[ID]],Prices!D:F,2,FALSE)</f>
        <v>16</v>
      </c>
      <c r="H835" s="1">
        <f ca="1">VLOOKUP(financials[[#This Row],[ID]],Prices!D:F,3,FALSE)</f>
        <v>20</v>
      </c>
      <c r="I835" s="1">
        <f ca="1">financials[[#This Row],[Units Sold]]*financials[[#This Row],[Sale Price]]</f>
        <v>4360</v>
      </c>
      <c r="J8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218</v>
      </c>
      <c r="K835" s="1">
        <f ca="1">financials[[#This Row],[Gross Sales]]-financials[[#This Row],[Discounts]]</f>
        <v>4142</v>
      </c>
      <c r="L835" s="1">
        <f ca="1">financials[[#This Row],[Units Sold]]*financials[[#This Row],[Manufacturing Price]]</f>
        <v>3488</v>
      </c>
      <c r="M835" s="1">
        <f ca="1">financials[[#This Row],[Sales]]-financials[[#This Row],[COGS]]</f>
        <v>654</v>
      </c>
      <c r="N835" s="7">
        <f t="shared" ref="N835:N898" ca="1" si="27">TODAY()-RANDBETWEEN(1,732)</f>
        <v>45169</v>
      </c>
      <c r="O835" s="8">
        <f ca="1">MONTH(financials[[#This Row],[Date]])</f>
        <v>8</v>
      </c>
      <c r="P835" s="6" t="str">
        <f ca="1">TEXT(financials[[#This Row],[Date]],"MMM")</f>
        <v>Aug</v>
      </c>
      <c r="Q835">
        <f ca="1">YEAR(financials[[#This Row],[Date]])</f>
        <v>2023</v>
      </c>
    </row>
    <row r="836" spans="1:17" x14ac:dyDescent="0.3">
      <c r="A836" t="s">
        <v>26</v>
      </c>
      <c r="B836" t="s">
        <v>17</v>
      </c>
      <c r="C836" s="6" t="s">
        <v>30</v>
      </c>
      <c r="D836" s="6" t="str">
        <f>CONCATENATE(financials[[#This Row],[Segment]],",",financials[[#This Row],[Country]],",",financials[[#This Row],[Product]])</f>
        <v>Enterprise,Canada,VTT</v>
      </c>
      <c r="E836" s="6" t="s">
        <v>32</v>
      </c>
      <c r="F836">
        <f t="shared" ca="1" si="26"/>
        <v>152</v>
      </c>
      <c r="G836" s="1">
        <f ca="1">VLOOKUP(financials[[#This Row],[ID]],Prices!D:F,2,FALSE)</f>
        <v>14</v>
      </c>
      <c r="H836" s="1">
        <f ca="1">VLOOKUP(financials[[#This Row],[ID]],Prices!D:F,3,FALSE)</f>
        <v>29</v>
      </c>
      <c r="I836" s="1">
        <f ca="1">financials[[#This Row],[Units Sold]]*financials[[#This Row],[Sale Price]]</f>
        <v>4408</v>
      </c>
      <c r="J8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220.4</v>
      </c>
      <c r="K836" s="1">
        <f ca="1">financials[[#This Row],[Gross Sales]]-financials[[#This Row],[Discounts]]</f>
        <v>4187.6000000000004</v>
      </c>
      <c r="L836" s="1">
        <f ca="1">financials[[#This Row],[Units Sold]]*financials[[#This Row],[Manufacturing Price]]</f>
        <v>2128</v>
      </c>
      <c r="M836" s="1">
        <f ca="1">financials[[#This Row],[Sales]]-financials[[#This Row],[COGS]]</f>
        <v>2059.6000000000004</v>
      </c>
      <c r="N836" s="7">
        <f t="shared" ca="1" si="27"/>
        <v>45687</v>
      </c>
      <c r="O836" s="8">
        <f ca="1">MONTH(financials[[#This Row],[Date]])</f>
        <v>1</v>
      </c>
      <c r="P836" s="6" t="str">
        <f ca="1">TEXT(financials[[#This Row],[Date]],"MMM")</f>
        <v>Jan</v>
      </c>
      <c r="Q836">
        <f ca="1">YEAR(financials[[#This Row],[Date]])</f>
        <v>2025</v>
      </c>
    </row>
    <row r="837" spans="1:17" x14ac:dyDescent="0.3">
      <c r="A837" t="s">
        <v>16</v>
      </c>
      <c r="B837" t="s">
        <v>36</v>
      </c>
      <c r="C837" s="6" t="s">
        <v>30</v>
      </c>
      <c r="D837" s="6" t="str">
        <f>CONCATENATE(financials[[#This Row],[Segment]],",",financials[[#This Row],[Country]],",",financials[[#This Row],[Product]])</f>
        <v>Government,USA,VTT</v>
      </c>
      <c r="E837" s="6" t="s">
        <v>32</v>
      </c>
      <c r="F837">
        <f t="shared" ca="1" si="26"/>
        <v>500</v>
      </c>
      <c r="G837" s="1">
        <f ca="1">VLOOKUP(financials[[#This Row],[ID]],Prices!D:F,2,FALSE)</f>
        <v>13</v>
      </c>
      <c r="H837" s="1">
        <f ca="1">VLOOKUP(financials[[#This Row],[ID]],Prices!D:F,3,FALSE)</f>
        <v>31</v>
      </c>
      <c r="I837" s="1">
        <f ca="1">financials[[#This Row],[Units Sold]]*financials[[#This Row],[Sale Price]]</f>
        <v>15500</v>
      </c>
      <c r="J8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775</v>
      </c>
      <c r="K837" s="1">
        <f ca="1">financials[[#This Row],[Gross Sales]]-financials[[#This Row],[Discounts]]</f>
        <v>14725</v>
      </c>
      <c r="L837" s="1">
        <f ca="1">financials[[#This Row],[Units Sold]]*financials[[#This Row],[Manufacturing Price]]</f>
        <v>6500</v>
      </c>
      <c r="M837" s="1">
        <f ca="1">financials[[#This Row],[Sales]]-financials[[#This Row],[COGS]]</f>
        <v>8225</v>
      </c>
      <c r="N837" s="7">
        <f t="shared" ca="1" si="27"/>
        <v>45131</v>
      </c>
      <c r="O837" s="8">
        <f ca="1">MONTH(financials[[#This Row],[Date]])</f>
        <v>7</v>
      </c>
      <c r="P837" s="6" t="str">
        <f ca="1">TEXT(financials[[#This Row],[Date]],"MMM")</f>
        <v>Jul</v>
      </c>
      <c r="Q837">
        <f ca="1">YEAR(financials[[#This Row],[Date]])</f>
        <v>2023</v>
      </c>
    </row>
    <row r="838" spans="1:17" x14ac:dyDescent="0.3">
      <c r="A838" t="s">
        <v>16</v>
      </c>
      <c r="B838" t="s">
        <v>23</v>
      </c>
      <c r="C838" s="6" t="s">
        <v>30</v>
      </c>
      <c r="D838" s="6" t="str">
        <f>CONCATENATE(financials[[#This Row],[Segment]],",",financials[[#This Row],[Country]],",",financials[[#This Row],[Product]])</f>
        <v>Government,Mexico,VTT</v>
      </c>
      <c r="E838" s="6" t="s">
        <v>32</v>
      </c>
      <c r="F838">
        <f t="shared" ca="1" si="26"/>
        <v>619</v>
      </c>
      <c r="G838" s="1">
        <f ca="1">VLOOKUP(financials[[#This Row],[ID]],Prices!D:F,2,FALSE)</f>
        <v>18</v>
      </c>
      <c r="H838" s="1">
        <f ca="1">VLOOKUP(financials[[#This Row],[ID]],Prices!D:F,3,FALSE)</f>
        <v>20</v>
      </c>
      <c r="I838" s="1">
        <f ca="1">financials[[#This Row],[Units Sold]]*financials[[#This Row],[Sale Price]]</f>
        <v>12380</v>
      </c>
      <c r="J8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619</v>
      </c>
      <c r="K838" s="1">
        <f ca="1">financials[[#This Row],[Gross Sales]]-financials[[#This Row],[Discounts]]</f>
        <v>11761</v>
      </c>
      <c r="L838" s="1">
        <f ca="1">financials[[#This Row],[Units Sold]]*financials[[#This Row],[Manufacturing Price]]</f>
        <v>11142</v>
      </c>
      <c r="M838" s="1">
        <f ca="1">financials[[#This Row],[Sales]]-financials[[#This Row],[COGS]]</f>
        <v>619</v>
      </c>
      <c r="N838" s="7">
        <f t="shared" ca="1" si="27"/>
        <v>45439</v>
      </c>
      <c r="O838" s="8">
        <f ca="1">MONTH(financials[[#This Row],[Date]])</f>
        <v>5</v>
      </c>
      <c r="P838" s="6" t="str">
        <f ca="1">TEXT(financials[[#This Row],[Date]],"MMM")</f>
        <v>May</v>
      </c>
      <c r="Q838">
        <f ca="1">YEAR(financials[[#This Row],[Date]])</f>
        <v>2024</v>
      </c>
    </row>
    <row r="839" spans="1:17" x14ac:dyDescent="0.3">
      <c r="A839" t="s">
        <v>27</v>
      </c>
      <c r="B839" t="s">
        <v>20</v>
      </c>
      <c r="C839" s="6" t="s">
        <v>31</v>
      </c>
      <c r="D839" s="6" t="str">
        <f>CONCATENATE(financials[[#This Row],[Segment]],",",financials[[#This Row],[Country]],",",financials[[#This Row],[Product]])</f>
        <v>Small Business,Germany,Amarilla</v>
      </c>
      <c r="E839" s="6" t="s">
        <v>32</v>
      </c>
      <c r="F839">
        <f t="shared" ca="1" si="26"/>
        <v>619</v>
      </c>
      <c r="G839" s="1">
        <f ca="1">VLOOKUP(financials[[#This Row],[ID]],Prices!D:F,2,FALSE)</f>
        <v>14</v>
      </c>
      <c r="H839" s="1">
        <f ca="1">VLOOKUP(financials[[#This Row],[ID]],Prices!D:F,3,FALSE)</f>
        <v>35</v>
      </c>
      <c r="I839" s="1">
        <f ca="1">financials[[#This Row],[Units Sold]]*financials[[#This Row],[Sale Price]]</f>
        <v>21665</v>
      </c>
      <c r="J8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1083.25</v>
      </c>
      <c r="K839" s="1">
        <f ca="1">financials[[#This Row],[Gross Sales]]-financials[[#This Row],[Discounts]]</f>
        <v>20581.75</v>
      </c>
      <c r="L839" s="1">
        <f ca="1">financials[[#This Row],[Units Sold]]*financials[[#This Row],[Manufacturing Price]]</f>
        <v>8666</v>
      </c>
      <c r="M839" s="1">
        <f ca="1">financials[[#This Row],[Sales]]-financials[[#This Row],[COGS]]</f>
        <v>11915.75</v>
      </c>
      <c r="N839" s="7">
        <f t="shared" ca="1" si="27"/>
        <v>45221</v>
      </c>
      <c r="O839" s="8">
        <f ca="1">MONTH(financials[[#This Row],[Date]])</f>
        <v>10</v>
      </c>
      <c r="P839" s="6" t="str">
        <f ca="1">TEXT(financials[[#This Row],[Date]],"MMM")</f>
        <v>Oct</v>
      </c>
      <c r="Q839">
        <f ca="1">YEAR(financials[[#This Row],[Date]])</f>
        <v>2023</v>
      </c>
    </row>
    <row r="840" spans="1:17" x14ac:dyDescent="0.3">
      <c r="A840" t="s">
        <v>27</v>
      </c>
      <c r="B840" t="s">
        <v>23</v>
      </c>
      <c r="C840" s="6" t="s">
        <v>31</v>
      </c>
      <c r="D840" s="6" t="str">
        <f>CONCATENATE(financials[[#This Row],[Segment]],",",financials[[#This Row],[Country]],",",financials[[#This Row],[Product]])</f>
        <v>Small Business,Mexico,Amarilla</v>
      </c>
      <c r="E840" s="6" t="s">
        <v>32</v>
      </c>
      <c r="F840">
        <f t="shared" ca="1" si="26"/>
        <v>512</v>
      </c>
      <c r="G840" s="1">
        <f ca="1">VLOOKUP(financials[[#This Row],[ID]],Prices!D:F,2,FALSE)</f>
        <v>14</v>
      </c>
      <c r="H840" s="1">
        <f ca="1">VLOOKUP(financials[[#This Row],[ID]],Prices!D:F,3,FALSE)</f>
        <v>33</v>
      </c>
      <c r="I840" s="1">
        <f ca="1">financials[[#This Row],[Units Sold]]*financials[[#This Row],[Sale Price]]</f>
        <v>16896</v>
      </c>
      <c r="J8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844.80000000000007</v>
      </c>
      <c r="K840" s="1">
        <f ca="1">financials[[#This Row],[Gross Sales]]-financials[[#This Row],[Discounts]]</f>
        <v>16051.2</v>
      </c>
      <c r="L840" s="1">
        <f ca="1">financials[[#This Row],[Units Sold]]*financials[[#This Row],[Manufacturing Price]]</f>
        <v>7168</v>
      </c>
      <c r="M840" s="1">
        <f ca="1">financials[[#This Row],[Sales]]-financials[[#This Row],[COGS]]</f>
        <v>8883.2000000000007</v>
      </c>
      <c r="N840" s="7">
        <f t="shared" ca="1" si="27"/>
        <v>45382</v>
      </c>
      <c r="O840" s="8">
        <f ca="1">MONTH(financials[[#This Row],[Date]])</f>
        <v>3</v>
      </c>
      <c r="P840" s="6" t="str">
        <f ca="1">TEXT(financials[[#This Row],[Date]],"MMM")</f>
        <v>Mar</v>
      </c>
      <c r="Q840">
        <f ca="1">YEAR(financials[[#This Row],[Date]])</f>
        <v>2024</v>
      </c>
    </row>
    <row r="841" spans="1:17" x14ac:dyDescent="0.3">
      <c r="A841" t="s">
        <v>26</v>
      </c>
      <c r="B841" t="s">
        <v>20</v>
      </c>
      <c r="C841" s="6" t="s">
        <v>31</v>
      </c>
      <c r="D841" s="6" t="str">
        <f>CONCATENATE(financials[[#This Row],[Segment]],",",financials[[#This Row],[Country]],",",financials[[#This Row],[Product]])</f>
        <v>Enterprise,Germany,Amarilla</v>
      </c>
      <c r="E841" s="6" t="s">
        <v>32</v>
      </c>
      <c r="F841">
        <f t="shared" ca="1" si="26"/>
        <v>555</v>
      </c>
      <c r="G841" s="1">
        <f ca="1">VLOOKUP(financials[[#This Row],[ID]],Prices!D:F,2,FALSE)</f>
        <v>13</v>
      </c>
      <c r="H841" s="1">
        <f ca="1">VLOOKUP(financials[[#This Row],[ID]],Prices!D:F,3,FALSE)</f>
        <v>21</v>
      </c>
      <c r="I841" s="1">
        <f ca="1">financials[[#This Row],[Units Sold]]*financials[[#This Row],[Sale Price]]</f>
        <v>11655</v>
      </c>
      <c r="J8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582.75</v>
      </c>
      <c r="K841" s="1">
        <f ca="1">financials[[#This Row],[Gross Sales]]-financials[[#This Row],[Discounts]]</f>
        <v>11072.25</v>
      </c>
      <c r="L841" s="1">
        <f ca="1">financials[[#This Row],[Units Sold]]*financials[[#This Row],[Manufacturing Price]]</f>
        <v>7215</v>
      </c>
      <c r="M841" s="1">
        <f ca="1">financials[[#This Row],[Sales]]-financials[[#This Row],[COGS]]</f>
        <v>3857.25</v>
      </c>
      <c r="N841" s="7">
        <f t="shared" ca="1" si="27"/>
        <v>45640</v>
      </c>
      <c r="O841" s="8">
        <f ca="1">MONTH(financials[[#This Row],[Date]])</f>
        <v>12</v>
      </c>
      <c r="P841" s="6" t="str">
        <f ca="1">TEXT(financials[[#This Row],[Date]],"MMM")</f>
        <v>Dec</v>
      </c>
      <c r="Q841">
        <f ca="1">YEAR(financials[[#This Row],[Date]])</f>
        <v>2024</v>
      </c>
    </row>
    <row r="842" spans="1:17" x14ac:dyDescent="0.3">
      <c r="A842" t="s">
        <v>16</v>
      </c>
      <c r="B842" t="s">
        <v>20</v>
      </c>
      <c r="C842" s="6" t="s">
        <v>31</v>
      </c>
      <c r="D842" s="6" t="str">
        <f>CONCATENATE(financials[[#This Row],[Segment]],",",financials[[#This Row],[Country]],",",financials[[#This Row],[Product]])</f>
        <v>Government,Germany,Amarilla</v>
      </c>
      <c r="E842" s="6" t="s">
        <v>32</v>
      </c>
      <c r="F842">
        <f t="shared" ca="1" si="26"/>
        <v>84</v>
      </c>
      <c r="G842" s="1">
        <f ca="1">VLOOKUP(financials[[#This Row],[ID]],Prices!D:F,2,FALSE)</f>
        <v>10</v>
      </c>
      <c r="H842" s="1">
        <f ca="1">VLOOKUP(financials[[#This Row],[ID]],Prices!D:F,3,FALSE)</f>
        <v>20</v>
      </c>
      <c r="I842" s="1">
        <f ca="1">financials[[#This Row],[Units Sold]]*financials[[#This Row],[Sale Price]]</f>
        <v>1680</v>
      </c>
      <c r="J8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</v>
      </c>
      <c r="K842" s="1">
        <f ca="1">financials[[#This Row],[Gross Sales]]-financials[[#This Row],[Discounts]]</f>
        <v>1596</v>
      </c>
      <c r="L842" s="1">
        <f ca="1">financials[[#This Row],[Units Sold]]*financials[[#This Row],[Manufacturing Price]]</f>
        <v>840</v>
      </c>
      <c r="M842" s="1">
        <f ca="1">financials[[#This Row],[Sales]]-financials[[#This Row],[COGS]]</f>
        <v>756</v>
      </c>
      <c r="N842" s="7">
        <f t="shared" ca="1" si="27"/>
        <v>45647</v>
      </c>
      <c r="O842" s="8">
        <f ca="1">MONTH(financials[[#This Row],[Date]])</f>
        <v>12</v>
      </c>
      <c r="P842" s="6" t="str">
        <f ca="1">TEXT(financials[[#This Row],[Date]],"MMM")</f>
        <v>Dec</v>
      </c>
      <c r="Q842">
        <f ca="1">YEAR(financials[[#This Row],[Date]])</f>
        <v>2024</v>
      </c>
    </row>
    <row r="843" spans="1:17" x14ac:dyDescent="0.3">
      <c r="A843" t="s">
        <v>16</v>
      </c>
      <c r="B843" t="s">
        <v>36</v>
      </c>
      <c r="C843" s="6" t="s">
        <v>31</v>
      </c>
      <c r="D843" s="6" t="str">
        <f>CONCATENATE(financials[[#This Row],[Segment]],",",financials[[#This Row],[Country]],",",financials[[#This Row],[Product]])</f>
        <v>Government,USA,Amarilla</v>
      </c>
      <c r="E843" s="6" t="s">
        <v>32</v>
      </c>
      <c r="F843">
        <f t="shared" ca="1" si="26"/>
        <v>771</v>
      </c>
      <c r="G843" s="1">
        <f ca="1">VLOOKUP(financials[[#This Row],[ID]],Prices!D:F,2,FALSE)</f>
        <v>20</v>
      </c>
      <c r="H843" s="1">
        <f ca="1">VLOOKUP(financials[[#This Row],[ID]],Prices!D:F,3,FALSE)</f>
        <v>37</v>
      </c>
      <c r="I843" s="1">
        <f ca="1">financials[[#This Row],[Units Sold]]*financials[[#This Row],[Sale Price]]</f>
        <v>28527</v>
      </c>
      <c r="J8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1426.3500000000001</v>
      </c>
      <c r="K843" s="1">
        <f ca="1">financials[[#This Row],[Gross Sales]]-financials[[#This Row],[Discounts]]</f>
        <v>27100.65</v>
      </c>
      <c r="L843" s="1">
        <f ca="1">financials[[#This Row],[Units Sold]]*financials[[#This Row],[Manufacturing Price]]</f>
        <v>15420</v>
      </c>
      <c r="M843" s="1">
        <f ca="1">financials[[#This Row],[Sales]]-financials[[#This Row],[COGS]]</f>
        <v>11680.650000000001</v>
      </c>
      <c r="N843" s="7">
        <f t="shared" ca="1" si="27"/>
        <v>45196</v>
      </c>
      <c r="O843" s="8">
        <f ca="1">MONTH(financials[[#This Row],[Date]])</f>
        <v>9</v>
      </c>
      <c r="P843" s="6" t="str">
        <f ca="1">TEXT(financials[[#This Row],[Date]],"MMM")</f>
        <v>Sep</v>
      </c>
      <c r="Q843">
        <f ca="1">YEAR(financials[[#This Row],[Date]])</f>
        <v>2023</v>
      </c>
    </row>
    <row r="844" spans="1:17" x14ac:dyDescent="0.3">
      <c r="A844" t="s">
        <v>16</v>
      </c>
      <c r="B844" t="s">
        <v>22</v>
      </c>
      <c r="C844" s="6" t="s">
        <v>31</v>
      </c>
      <c r="D844" s="6" t="str">
        <f>CONCATENATE(financials[[#This Row],[Segment]],",",financials[[#This Row],[Country]],",",financials[[#This Row],[Product]])</f>
        <v>Government,France,Amarilla</v>
      </c>
      <c r="E844" s="6" t="s">
        <v>32</v>
      </c>
      <c r="F844">
        <f t="shared" ca="1" si="26"/>
        <v>647</v>
      </c>
      <c r="G844" s="1">
        <f ca="1">VLOOKUP(financials[[#This Row],[ID]],Prices!D:F,2,FALSE)</f>
        <v>10</v>
      </c>
      <c r="H844" s="1">
        <f ca="1">VLOOKUP(financials[[#This Row],[ID]],Prices!D:F,3,FALSE)</f>
        <v>25</v>
      </c>
      <c r="I844" s="1">
        <f ca="1">financials[[#This Row],[Units Sold]]*financials[[#This Row],[Sale Price]]</f>
        <v>16175</v>
      </c>
      <c r="J8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808.75</v>
      </c>
      <c r="K844" s="1">
        <f ca="1">financials[[#This Row],[Gross Sales]]-financials[[#This Row],[Discounts]]</f>
        <v>15366.25</v>
      </c>
      <c r="L844" s="1">
        <f ca="1">financials[[#This Row],[Units Sold]]*financials[[#This Row],[Manufacturing Price]]</f>
        <v>6470</v>
      </c>
      <c r="M844" s="1">
        <f ca="1">financials[[#This Row],[Sales]]-financials[[#This Row],[COGS]]</f>
        <v>8896.25</v>
      </c>
      <c r="N844" s="7">
        <f t="shared" ca="1" si="27"/>
        <v>45755</v>
      </c>
      <c r="O844" s="8">
        <f ca="1">MONTH(financials[[#This Row],[Date]])</f>
        <v>4</v>
      </c>
      <c r="P844" s="6" t="str">
        <f ca="1">TEXT(financials[[#This Row],[Date]],"MMM")</f>
        <v>Apr</v>
      </c>
      <c r="Q844">
        <f ca="1">YEAR(financials[[#This Row],[Date]])</f>
        <v>2025</v>
      </c>
    </row>
    <row r="845" spans="1:17" x14ac:dyDescent="0.3">
      <c r="A845" t="s">
        <v>27</v>
      </c>
      <c r="B845" t="s">
        <v>17</v>
      </c>
      <c r="C845" s="6" t="s">
        <v>31</v>
      </c>
      <c r="D845" s="6" t="str">
        <f>CONCATENATE(financials[[#This Row],[Segment]],",",financials[[#This Row],[Country]],",",financials[[#This Row],[Product]])</f>
        <v>Small Business,Canada,Amarilla</v>
      </c>
      <c r="E845" s="6" t="s">
        <v>32</v>
      </c>
      <c r="F845">
        <f t="shared" ca="1" si="26"/>
        <v>279</v>
      </c>
      <c r="G845" s="1">
        <f ca="1">VLOOKUP(financials[[#This Row],[ID]],Prices!D:F,2,FALSE)</f>
        <v>13</v>
      </c>
      <c r="H845" s="1">
        <f ca="1">VLOOKUP(financials[[#This Row],[ID]],Prices!D:F,3,FALSE)</f>
        <v>16</v>
      </c>
      <c r="I845" s="1">
        <f ca="1">financials[[#This Row],[Units Sold]]*financials[[#This Row],[Sale Price]]</f>
        <v>4464</v>
      </c>
      <c r="J8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223.20000000000002</v>
      </c>
      <c r="K845" s="1">
        <f ca="1">financials[[#This Row],[Gross Sales]]-financials[[#This Row],[Discounts]]</f>
        <v>4240.8</v>
      </c>
      <c r="L845" s="1">
        <f ca="1">financials[[#This Row],[Units Sold]]*financials[[#This Row],[Manufacturing Price]]</f>
        <v>3627</v>
      </c>
      <c r="M845" s="1">
        <f ca="1">financials[[#This Row],[Sales]]-financials[[#This Row],[COGS]]</f>
        <v>613.80000000000018</v>
      </c>
      <c r="N845" s="7">
        <f t="shared" ca="1" si="27"/>
        <v>45724</v>
      </c>
      <c r="O845" s="8">
        <f ca="1">MONTH(financials[[#This Row],[Date]])</f>
        <v>3</v>
      </c>
      <c r="P845" s="6" t="str">
        <f ca="1">TEXT(financials[[#This Row],[Date]],"MMM")</f>
        <v>Mar</v>
      </c>
      <c r="Q845">
        <f ca="1">YEAR(financials[[#This Row],[Date]])</f>
        <v>2025</v>
      </c>
    </row>
    <row r="846" spans="1:17" x14ac:dyDescent="0.3">
      <c r="A846" t="s">
        <v>26</v>
      </c>
      <c r="B846" t="s">
        <v>22</v>
      </c>
      <c r="C846" s="6" t="s">
        <v>18</v>
      </c>
      <c r="D846" s="6" t="str">
        <f>CONCATENATE(financials[[#This Row],[Segment]],",",financials[[#This Row],[Country]],",",financials[[#This Row],[Product]])</f>
        <v>Enterprise,France,Carretera</v>
      </c>
      <c r="E846" s="6" t="s">
        <v>32</v>
      </c>
      <c r="F846">
        <f t="shared" ca="1" si="26"/>
        <v>501</v>
      </c>
      <c r="G846" s="1">
        <f ca="1">VLOOKUP(financials[[#This Row],[ID]],Prices!D:F,2,FALSE)</f>
        <v>12</v>
      </c>
      <c r="H846" s="1">
        <f ca="1">VLOOKUP(financials[[#This Row],[ID]],Prices!D:F,3,FALSE)</f>
        <v>35</v>
      </c>
      <c r="I846" s="1">
        <f ca="1">financials[[#This Row],[Units Sold]]*financials[[#This Row],[Sale Price]]</f>
        <v>17535</v>
      </c>
      <c r="J8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876.75</v>
      </c>
      <c r="K846" s="1">
        <f ca="1">financials[[#This Row],[Gross Sales]]-financials[[#This Row],[Discounts]]</f>
        <v>16658.25</v>
      </c>
      <c r="L846" s="1">
        <f ca="1">financials[[#This Row],[Units Sold]]*financials[[#This Row],[Manufacturing Price]]</f>
        <v>6012</v>
      </c>
      <c r="M846" s="1">
        <f ca="1">financials[[#This Row],[Sales]]-financials[[#This Row],[COGS]]</f>
        <v>10646.25</v>
      </c>
      <c r="N846" s="7">
        <f t="shared" ca="1" si="27"/>
        <v>45297</v>
      </c>
      <c r="O846" s="8">
        <f ca="1">MONTH(financials[[#This Row],[Date]])</f>
        <v>1</v>
      </c>
      <c r="P846" s="6" t="str">
        <f ca="1">TEXT(financials[[#This Row],[Date]],"MMM")</f>
        <v>Jan</v>
      </c>
      <c r="Q846">
        <f ca="1">YEAR(financials[[#This Row],[Date]])</f>
        <v>2024</v>
      </c>
    </row>
    <row r="847" spans="1:17" x14ac:dyDescent="0.3">
      <c r="A847" t="s">
        <v>16</v>
      </c>
      <c r="B847" t="s">
        <v>20</v>
      </c>
      <c r="C847" s="6" t="s">
        <v>18</v>
      </c>
      <c r="D847" s="6" t="str">
        <f>CONCATENATE(financials[[#This Row],[Segment]],",",financials[[#This Row],[Country]],",",financials[[#This Row],[Product]])</f>
        <v>Government,Germany,Carretera</v>
      </c>
      <c r="E847" s="6" t="s">
        <v>32</v>
      </c>
      <c r="F847">
        <f t="shared" ca="1" si="26"/>
        <v>229</v>
      </c>
      <c r="G847" s="1">
        <f ca="1">VLOOKUP(financials[[#This Row],[ID]],Prices!D:F,2,FALSE)</f>
        <v>13</v>
      </c>
      <c r="H847" s="1">
        <f ca="1">VLOOKUP(financials[[#This Row],[ID]],Prices!D:F,3,FALSE)</f>
        <v>22</v>
      </c>
      <c r="I847" s="1">
        <f ca="1">financials[[#This Row],[Units Sold]]*financials[[#This Row],[Sale Price]]</f>
        <v>5038</v>
      </c>
      <c r="J8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251.9</v>
      </c>
      <c r="K847" s="1">
        <f ca="1">financials[[#This Row],[Gross Sales]]-financials[[#This Row],[Discounts]]</f>
        <v>4786.1000000000004</v>
      </c>
      <c r="L847" s="1">
        <f ca="1">financials[[#This Row],[Units Sold]]*financials[[#This Row],[Manufacturing Price]]</f>
        <v>2977</v>
      </c>
      <c r="M847" s="1">
        <f ca="1">financials[[#This Row],[Sales]]-financials[[#This Row],[COGS]]</f>
        <v>1809.1000000000004</v>
      </c>
      <c r="N847" s="7">
        <f t="shared" ca="1" si="27"/>
        <v>45122</v>
      </c>
      <c r="O847" s="8">
        <f ca="1">MONTH(financials[[#This Row],[Date]])</f>
        <v>7</v>
      </c>
      <c r="P847" s="6" t="str">
        <f ca="1">TEXT(financials[[#This Row],[Date]],"MMM")</f>
        <v>Jul</v>
      </c>
      <c r="Q847">
        <f ca="1">YEAR(financials[[#This Row],[Date]])</f>
        <v>2023</v>
      </c>
    </row>
    <row r="848" spans="1:17" x14ac:dyDescent="0.3">
      <c r="A848" t="s">
        <v>27</v>
      </c>
      <c r="B848" t="s">
        <v>20</v>
      </c>
      <c r="C848" s="6" t="s">
        <v>18</v>
      </c>
      <c r="D848" s="6" t="str">
        <f>CONCATENATE(financials[[#This Row],[Segment]],",",financials[[#This Row],[Country]],",",financials[[#This Row],[Product]])</f>
        <v>Small Business,Germany,Carretera</v>
      </c>
      <c r="E848" s="6" t="s">
        <v>32</v>
      </c>
      <c r="F848">
        <f t="shared" ca="1" si="26"/>
        <v>558</v>
      </c>
      <c r="G848" s="1">
        <f ca="1">VLOOKUP(financials[[#This Row],[ID]],Prices!D:F,2,FALSE)</f>
        <v>20</v>
      </c>
      <c r="H848" s="1">
        <f ca="1">VLOOKUP(financials[[#This Row],[ID]],Prices!D:F,3,FALSE)</f>
        <v>30</v>
      </c>
      <c r="I848" s="1">
        <f ca="1">financials[[#This Row],[Units Sold]]*financials[[#This Row],[Sale Price]]</f>
        <v>16740</v>
      </c>
      <c r="J8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837</v>
      </c>
      <c r="K848" s="1">
        <f ca="1">financials[[#This Row],[Gross Sales]]-financials[[#This Row],[Discounts]]</f>
        <v>15903</v>
      </c>
      <c r="L848" s="1">
        <f ca="1">financials[[#This Row],[Units Sold]]*financials[[#This Row],[Manufacturing Price]]</f>
        <v>11160</v>
      </c>
      <c r="M848" s="1">
        <f ca="1">financials[[#This Row],[Sales]]-financials[[#This Row],[COGS]]</f>
        <v>4743</v>
      </c>
      <c r="N848" s="7">
        <f t="shared" ca="1" si="27"/>
        <v>45472</v>
      </c>
      <c r="O848" s="8">
        <f ca="1">MONTH(financials[[#This Row],[Date]])</f>
        <v>6</v>
      </c>
      <c r="P848" s="6" t="str">
        <f ca="1">TEXT(financials[[#This Row],[Date]],"MMM")</f>
        <v>Jun</v>
      </c>
      <c r="Q848">
        <f ca="1">YEAR(financials[[#This Row],[Date]])</f>
        <v>2024</v>
      </c>
    </row>
    <row r="849" spans="1:17" x14ac:dyDescent="0.3">
      <c r="A849" t="s">
        <v>25</v>
      </c>
      <c r="B849" t="s">
        <v>36</v>
      </c>
      <c r="C849" s="6" t="s">
        <v>18</v>
      </c>
      <c r="D849" s="6" t="str">
        <f>CONCATENATE(financials[[#This Row],[Segment]],",",financials[[#This Row],[Country]],",",financials[[#This Row],[Product]])</f>
        <v>Channel Partners,USA,Carretera</v>
      </c>
      <c r="E849" s="6" t="s">
        <v>32</v>
      </c>
      <c r="F849">
        <f t="shared" ca="1" si="26"/>
        <v>672</v>
      </c>
      <c r="G849" s="1">
        <f ca="1">VLOOKUP(financials[[#This Row],[ID]],Prices!D:F,2,FALSE)</f>
        <v>13</v>
      </c>
      <c r="H849" s="1">
        <f ca="1">VLOOKUP(financials[[#This Row],[ID]],Prices!D:F,3,FALSE)</f>
        <v>27</v>
      </c>
      <c r="I849" s="1">
        <f ca="1">financials[[#This Row],[Units Sold]]*financials[[#This Row],[Sale Price]]</f>
        <v>18144</v>
      </c>
      <c r="J8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907.2</v>
      </c>
      <c r="K849" s="1">
        <f ca="1">financials[[#This Row],[Gross Sales]]-financials[[#This Row],[Discounts]]</f>
        <v>17236.8</v>
      </c>
      <c r="L849" s="1">
        <f ca="1">financials[[#This Row],[Units Sold]]*financials[[#This Row],[Manufacturing Price]]</f>
        <v>8736</v>
      </c>
      <c r="M849" s="1">
        <f ca="1">financials[[#This Row],[Sales]]-financials[[#This Row],[COGS]]</f>
        <v>8500.7999999999993</v>
      </c>
      <c r="N849" s="7">
        <f t="shared" ca="1" si="27"/>
        <v>45643</v>
      </c>
      <c r="O849" s="8">
        <f ca="1">MONTH(financials[[#This Row],[Date]])</f>
        <v>12</v>
      </c>
      <c r="P849" s="6" t="str">
        <f ca="1">TEXT(financials[[#This Row],[Date]],"MMM")</f>
        <v>Dec</v>
      </c>
      <c r="Q849">
        <f ca="1">YEAR(financials[[#This Row],[Date]])</f>
        <v>2024</v>
      </c>
    </row>
    <row r="850" spans="1:17" x14ac:dyDescent="0.3">
      <c r="A850" t="s">
        <v>25</v>
      </c>
      <c r="B850" t="s">
        <v>17</v>
      </c>
      <c r="C850" s="6" t="s">
        <v>18</v>
      </c>
      <c r="D850" s="6" t="str">
        <f>CONCATENATE(financials[[#This Row],[Segment]],",",financials[[#This Row],[Country]],",",financials[[#This Row],[Product]])</f>
        <v>Channel Partners,Canada,Carretera</v>
      </c>
      <c r="E850" s="6" t="s">
        <v>32</v>
      </c>
      <c r="F850">
        <f t="shared" ca="1" si="26"/>
        <v>352</v>
      </c>
      <c r="G850" s="1">
        <f ca="1">VLOOKUP(financials[[#This Row],[ID]],Prices!D:F,2,FALSE)</f>
        <v>17</v>
      </c>
      <c r="H850" s="1">
        <f ca="1">VLOOKUP(financials[[#This Row],[ID]],Prices!D:F,3,FALSE)</f>
        <v>24</v>
      </c>
      <c r="I850" s="1">
        <f ca="1">financials[[#This Row],[Units Sold]]*financials[[#This Row],[Sale Price]]</f>
        <v>8448</v>
      </c>
      <c r="J8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422.40000000000003</v>
      </c>
      <c r="K850" s="1">
        <f ca="1">financials[[#This Row],[Gross Sales]]-financials[[#This Row],[Discounts]]</f>
        <v>8025.6</v>
      </c>
      <c r="L850" s="1">
        <f ca="1">financials[[#This Row],[Units Sold]]*financials[[#This Row],[Manufacturing Price]]</f>
        <v>5984</v>
      </c>
      <c r="M850" s="1">
        <f ca="1">financials[[#This Row],[Sales]]-financials[[#This Row],[COGS]]</f>
        <v>2041.6000000000004</v>
      </c>
      <c r="N850" s="7">
        <f t="shared" ca="1" si="27"/>
        <v>45296</v>
      </c>
      <c r="O850" s="8">
        <f ca="1">MONTH(financials[[#This Row],[Date]])</f>
        <v>1</v>
      </c>
      <c r="P850" s="6" t="str">
        <f ca="1">TEXT(financials[[#This Row],[Date]],"MMM")</f>
        <v>Jan</v>
      </c>
      <c r="Q850">
        <f ca="1">YEAR(financials[[#This Row],[Date]])</f>
        <v>2024</v>
      </c>
    </row>
    <row r="851" spans="1:17" x14ac:dyDescent="0.3">
      <c r="A851" t="s">
        <v>16</v>
      </c>
      <c r="B851" t="s">
        <v>20</v>
      </c>
      <c r="C851" s="6" t="s">
        <v>24</v>
      </c>
      <c r="D851" s="6" t="str">
        <f>CONCATENATE(financials[[#This Row],[Segment]],",",financials[[#This Row],[Country]],",",financials[[#This Row],[Product]])</f>
        <v>Government,Germany,Montana</v>
      </c>
      <c r="E851" s="6" t="s">
        <v>32</v>
      </c>
      <c r="F851">
        <f t="shared" ca="1" si="26"/>
        <v>881</v>
      </c>
      <c r="G851" s="1">
        <f ca="1">VLOOKUP(financials[[#This Row],[ID]],Prices!D:F,2,FALSE)</f>
        <v>20</v>
      </c>
      <c r="H851" s="1">
        <f ca="1">VLOOKUP(financials[[#This Row],[ID]],Prices!D:F,3,FALSE)</f>
        <v>27</v>
      </c>
      <c r="I851" s="1">
        <f ca="1">financials[[#This Row],[Units Sold]]*financials[[#This Row],[Sale Price]]</f>
        <v>23787</v>
      </c>
      <c r="J8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1189.3500000000001</v>
      </c>
      <c r="K851" s="1">
        <f ca="1">financials[[#This Row],[Gross Sales]]-financials[[#This Row],[Discounts]]</f>
        <v>22597.65</v>
      </c>
      <c r="L851" s="1">
        <f ca="1">financials[[#This Row],[Units Sold]]*financials[[#This Row],[Manufacturing Price]]</f>
        <v>17620</v>
      </c>
      <c r="M851" s="1">
        <f ca="1">financials[[#This Row],[Sales]]-financials[[#This Row],[COGS]]</f>
        <v>4977.6500000000015</v>
      </c>
      <c r="N851" s="7">
        <f t="shared" ca="1" si="27"/>
        <v>45131</v>
      </c>
      <c r="O851" s="8">
        <f ca="1">MONTH(financials[[#This Row],[Date]])</f>
        <v>7</v>
      </c>
      <c r="P851" s="6" t="str">
        <f ca="1">TEXT(financials[[#This Row],[Date]],"MMM")</f>
        <v>Jul</v>
      </c>
      <c r="Q851">
        <f ca="1">YEAR(financials[[#This Row],[Date]])</f>
        <v>2023</v>
      </c>
    </row>
    <row r="852" spans="1:17" x14ac:dyDescent="0.3">
      <c r="A852" t="s">
        <v>25</v>
      </c>
      <c r="B852" t="s">
        <v>22</v>
      </c>
      <c r="C852" s="6" t="s">
        <v>24</v>
      </c>
      <c r="D852" s="6" t="str">
        <f>CONCATENATE(financials[[#This Row],[Segment]],",",financials[[#This Row],[Country]],",",financials[[#This Row],[Product]])</f>
        <v>Channel Partners,France,Montana</v>
      </c>
      <c r="E852" s="6" t="s">
        <v>32</v>
      </c>
      <c r="F852">
        <f t="shared" ca="1" si="26"/>
        <v>568</v>
      </c>
      <c r="G852" s="1">
        <f ca="1">VLOOKUP(financials[[#This Row],[ID]],Prices!D:F,2,FALSE)</f>
        <v>19</v>
      </c>
      <c r="H852" s="1">
        <f ca="1">VLOOKUP(financials[[#This Row],[ID]],Prices!D:F,3,FALSE)</f>
        <v>30</v>
      </c>
      <c r="I852" s="1">
        <f ca="1">financials[[#This Row],[Units Sold]]*financials[[#This Row],[Sale Price]]</f>
        <v>17040</v>
      </c>
      <c r="J8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852</v>
      </c>
      <c r="K852" s="1">
        <f ca="1">financials[[#This Row],[Gross Sales]]-financials[[#This Row],[Discounts]]</f>
        <v>16188</v>
      </c>
      <c r="L852" s="1">
        <f ca="1">financials[[#This Row],[Units Sold]]*financials[[#This Row],[Manufacturing Price]]</f>
        <v>10792</v>
      </c>
      <c r="M852" s="1">
        <f ca="1">financials[[#This Row],[Sales]]-financials[[#This Row],[COGS]]</f>
        <v>5396</v>
      </c>
      <c r="N852" s="7">
        <f t="shared" ca="1" si="27"/>
        <v>45413</v>
      </c>
      <c r="O852" s="8">
        <f ca="1">MONTH(financials[[#This Row],[Date]])</f>
        <v>5</v>
      </c>
      <c r="P852" s="6" t="str">
        <f ca="1">TEXT(financials[[#This Row],[Date]],"MMM")</f>
        <v>May</v>
      </c>
      <c r="Q852">
        <f ca="1">YEAR(financials[[#This Row],[Date]])</f>
        <v>2024</v>
      </c>
    </row>
    <row r="853" spans="1:17" x14ac:dyDescent="0.3">
      <c r="A853" t="s">
        <v>16</v>
      </c>
      <c r="B853" t="s">
        <v>22</v>
      </c>
      <c r="C853" s="6" t="s">
        <v>24</v>
      </c>
      <c r="D853" s="6" t="str">
        <f>CONCATENATE(financials[[#This Row],[Segment]],",",financials[[#This Row],[Country]],",",financials[[#This Row],[Product]])</f>
        <v>Government,France,Montana</v>
      </c>
      <c r="E853" s="6" t="s">
        <v>32</v>
      </c>
      <c r="F853">
        <f t="shared" ca="1" si="26"/>
        <v>801</v>
      </c>
      <c r="G853" s="1">
        <f ca="1">VLOOKUP(financials[[#This Row],[ID]],Prices!D:F,2,FALSE)</f>
        <v>19</v>
      </c>
      <c r="H853" s="1">
        <f ca="1">VLOOKUP(financials[[#This Row],[ID]],Prices!D:F,3,FALSE)</f>
        <v>22</v>
      </c>
      <c r="I853" s="1">
        <f ca="1">financials[[#This Row],[Units Sold]]*financials[[#This Row],[Sale Price]]</f>
        <v>17622</v>
      </c>
      <c r="J8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881.1</v>
      </c>
      <c r="K853" s="1">
        <f ca="1">financials[[#This Row],[Gross Sales]]-financials[[#This Row],[Discounts]]</f>
        <v>16740.900000000001</v>
      </c>
      <c r="L853" s="1">
        <f ca="1">financials[[#This Row],[Units Sold]]*financials[[#This Row],[Manufacturing Price]]</f>
        <v>15219</v>
      </c>
      <c r="M853" s="1">
        <f ca="1">financials[[#This Row],[Sales]]-financials[[#This Row],[COGS]]</f>
        <v>1521.9000000000015</v>
      </c>
      <c r="N853" s="7">
        <f t="shared" ca="1" si="27"/>
        <v>45658</v>
      </c>
      <c r="O853" s="8">
        <f ca="1">MONTH(financials[[#This Row],[Date]])</f>
        <v>1</v>
      </c>
      <c r="P853" s="6" t="str">
        <f ca="1">TEXT(financials[[#This Row],[Date]],"MMM")</f>
        <v>Jan</v>
      </c>
      <c r="Q853">
        <f ca="1">YEAR(financials[[#This Row],[Date]])</f>
        <v>2025</v>
      </c>
    </row>
    <row r="854" spans="1:17" x14ac:dyDescent="0.3">
      <c r="A854" t="s">
        <v>16</v>
      </c>
      <c r="B854" t="s">
        <v>20</v>
      </c>
      <c r="C854" s="6" t="s">
        <v>24</v>
      </c>
      <c r="D854" s="6" t="str">
        <f>CONCATENATE(financials[[#This Row],[Segment]],",",financials[[#This Row],[Country]],",",financials[[#This Row],[Product]])</f>
        <v>Government,Germany,Montana</v>
      </c>
      <c r="E854" s="6" t="s">
        <v>32</v>
      </c>
      <c r="F854">
        <f t="shared" ca="1" si="26"/>
        <v>918</v>
      </c>
      <c r="G854" s="1">
        <f ca="1">VLOOKUP(financials[[#This Row],[ID]],Prices!D:F,2,FALSE)</f>
        <v>20</v>
      </c>
      <c r="H854" s="1">
        <f ca="1">VLOOKUP(financials[[#This Row],[ID]],Prices!D:F,3,FALSE)</f>
        <v>27</v>
      </c>
      <c r="I854" s="1">
        <f ca="1">financials[[#This Row],[Units Sold]]*financials[[#This Row],[Sale Price]]</f>
        <v>24786</v>
      </c>
      <c r="J8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1239.3000000000002</v>
      </c>
      <c r="K854" s="1">
        <f ca="1">financials[[#This Row],[Gross Sales]]-financials[[#This Row],[Discounts]]</f>
        <v>23546.7</v>
      </c>
      <c r="L854" s="1">
        <f ca="1">financials[[#This Row],[Units Sold]]*financials[[#This Row],[Manufacturing Price]]</f>
        <v>18360</v>
      </c>
      <c r="M854" s="1">
        <f ca="1">financials[[#This Row],[Sales]]-financials[[#This Row],[COGS]]</f>
        <v>5186.7000000000007</v>
      </c>
      <c r="N854" s="7">
        <f t="shared" ca="1" si="27"/>
        <v>45082</v>
      </c>
      <c r="O854" s="8">
        <f ca="1">MONTH(financials[[#This Row],[Date]])</f>
        <v>6</v>
      </c>
      <c r="P854" s="6" t="str">
        <f ca="1">TEXT(financials[[#This Row],[Date]],"MMM")</f>
        <v>Jun</v>
      </c>
      <c r="Q854">
        <f ca="1">YEAR(financials[[#This Row],[Date]])</f>
        <v>2023</v>
      </c>
    </row>
    <row r="855" spans="1:17" x14ac:dyDescent="0.3">
      <c r="A855" t="s">
        <v>26</v>
      </c>
      <c r="B855" t="s">
        <v>22</v>
      </c>
      <c r="C855" s="6" t="s">
        <v>24</v>
      </c>
      <c r="D855" s="6" t="str">
        <f>CONCATENATE(financials[[#This Row],[Segment]],",",financials[[#This Row],[Country]],",",financials[[#This Row],[Product]])</f>
        <v>Enterprise,France,Montana</v>
      </c>
      <c r="E855" s="6" t="s">
        <v>32</v>
      </c>
      <c r="F855">
        <f t="shared" ca="1" si="26"/>
        <v>244</v>
      </c>
      <c r="G855" s="1">
        <f ca="1">VLOOKUP(financials[[#This Row],[ID]],Prices!D:F,2,FALSE)</f>
        <v>11</v>
      </c>
      <c r="H855" s="1">
        <f ca="1">VLOOKUP(financials[[#This Row],[ID]],Prices!D:F,3,FALSE)</f>
        <v>29</v>
      </c>
      <c r="I855" s="1">
        <f ca="1">financials[[#This Row],[Units Sold]]*financials[[#This Row],[Sale Price]]</f>
        <v>7076</v>
      </c>
      <c r="J8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353.8</v>
      </c>
      <c r="K855" s="1">
        <f ca="1">financials[[#This Row],[Gross Sales]]-financials[[#This Row],[Discounts]]</f>
        <v>6722.2</v>
      </c>
      <c r="L855" s="1">
        <f ca="1">financials[[#This Row],[Units Sold]]*financials[[#This Row],[Manufacturing Price]]</f>
        <v>2684</v>
      </c>
      <c r="M855" s="1">
        <f ca="1">financials[[#This Row],[Sales]]-financials[[#This Row],[COGS]]</f>
        <v>4038.2</v>
      </c>
      <c r="N855" s="7">
        <f t="shared" ca="1" si="27"/>
        <v>45610</v>
      </c>
      <c r="O855" s="8">
        <f ca="1">MONTH(financials[[#This Row],[Date]])</f>
        <v>11</v>
      </c>
      <c r="P855" s="6" t="str">
        <f ca="1">TEXT(financials[[#This Row],[Date]],"MMM")</f>
        <v>Nov</v>
      </c>
      <c r="Q855">
        <f ca="1">YEAR(financials[[#This Row],[Date]])</f>
        <v>2024</v>
      </c>
    </row>
    <row r="856" spans="1:17" x14ac:dyDescent="0.3">
      <c r="A856" t="s">
        <v>26</v>
      </c>
      <c r="B856" t="s">
        <v>20</v>
      </c>
      <c r="C856" s="6" t="s">
        <v>24</v>
      </c>
      <c r="D856" s="6" t="str">
        <f>CONCATENATE(financials[[#This Row],[Segment]],",",financials[[#This Row],[Country]],",",financials[[#This Row],[Product]])</f>
        <v>Enterprise,Germany,Montana</v>
      </c>
      <c r="E856" s="6" t="s">
        <v>32</v>
      </c>
      <c r="F856">
        <f t="shared" ca="1" si="26"/>
        <v>823</v>
      </c>
      <c r="G856" s="1">
        <f ca="1">VLOOKUP(financials[[#This Row],[ID]],Prices!D:F,2,FALSE)</f>
        <v>17</v>
      </c>
      <c r="H856" s="1">
        <f ca="1">VLOOKUP(financials[[#This Row],[ID]],Prices!D:F,3,FALSE)</f>
        <v>22</v>
      </c>
      <c r="I856" s="1">
        <f ca="1">financials[[#This Row],[Units Sold]]*financials[[#This Row],[Sale Price]]</f>
        <v>18106</v>
      </c>
      <c r="J8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905.30000000000007</v>
      </c>
      <c r="K856" s="1">
        <f ca="1">financials[[#This Row],[Gross Sales]]-financials[[#This Row],[Discounts]]</f>
        <v>17200.7</v>
      </c>
      <c r="L856" s="1">
        <f ca="1">financials[[#This Row],[Units Sold]]*financials[[#This Row],[Manufacturing Price]]</f>
        <v>13991</v>
      </c>
      <c r="M856" s="1">
        <f ca="1">financials[[#This Row],[Sales]]-financials[[#This Row],[COGS]]</f>
        <v>3209.7000000000007</v>
      </c>
      <c r="N856" s="7">
        <f t="shared" ca="1" si="27"/>
        <v>45058</v>
      </c>
      <c r="O856" s="8">
        <f ca="1">MONTH(financials[[#This Row],[Date]])</f>
        <v>5</v>
      </c>
      <c r="P856" s="6" t="str">
        <f ca="1">TEXT(financials[[#This Row],[Date]],"MMM")</f>
        <v>May</v>
      </c>
      <c r="Q856">
        <f ca="1">YEAR(financials[[#This Row],[Date]])</f>
        <v>2023</v>
      </c>
    </row>
    <row r="857" spans="1:17" x14ac:dyDescent="0.3">
      <c r="A857" t="s">
        <v>27</v>
      </c>
      <c r="B857" t="s">
        <v>22</v>
      </c>
      <c r="C857" s="6" t="s">
        <v>28</v>
      </c>
      <c r="D857" s="6" t="str">
        <f>CONCATENATE(financials[[#This Row],[Segment]],",",financials[[#This Row],[Country]],",",financials[[#This Row],[Product]])</f>
        <v>Small Business,France,Paseo</v>
      </c>
      <c r="E857" s="6" t="s">
        <v>32</v>
      </c>
      <c r="F857">
        <f t="shared" ca="1" si="26"/>
        <v>55</v>
      </c>
      <c r="G857" s="1">
        <f ca="1">VLOOKUP(financials[[#This Row],[ID]],Prices!D:F,2,FALSE)</f>
        <v>16</v>
      </c>
      <c r="H857" s="1">
        <f ca="1">VLOOKUP(financials[[#This Row],[ID]],Prices!D:F,3,FALSE)</f>
        <v>29</v>
      </c>
      <c r="I857" s="1">
        <f ca="1">financials[[#This Row],[Units Sold]]*financials[[#This Row],[Sale Price]]</f>
        <v>1595</v>
      </c>
      <c r="J8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79.75</v>
      </c>
      <c r="K857" s="1">
        <f ca="1">financials[[#This Row],[Gross Sales]]-financials[[#This Row],[Discounts]]</f>
        <v>1515.25</v>
      </c>
      <c r="L857" s="1">
        <f ca="1">financials[[#This Row],[Units Sold]]*financials[[#This Row],[Manufacturing Price]]</f>
        <v>880</v>
      </c>
      <c r="M857" s="1">
        <f ca="1">financials[[#This Row],[Sales]]-financials[[#This Row],[COGS]]</f>
        <v>635.25</v>
      </c>
      <c r="N857" s="7">
        <f t="shared" ca="1" si="27"/>
        <v>45700</v>
      </c>
      <c r="O857" s="8">
        <f ca="1">MONTH(financials[[#This Row],[Date]])</f>
        <v>2</v>
      </c>
      <c r="P857" s="6" t="str">
        <f ca="1">TEXT(financials[[#This Row],[Date]],"MMM")</f>
        <v>Feb</v>
      </c>
      <c r="Q857">
        <f ca="1">YEAR(financials[[#This Row],[Date]])</f>
        <v>2025</v>
      </c>
    </row>
    <row r="858" spans="1:17" x14ac:dyDescent="0.3">
      <c r="A858" t="s">
        <v>26</v>
      </c>
      <c r="B858" t="s">
        <v>17</v>
      </c>
      <c r="C858" s="6" t="s">
        <v>28</v>
      </c>
      <c r="D858" s="6" t="str">
        <f>CONCATENATE(financials[[#This Row],[Segment]],",",financials[[#This Row],[Country]],",",financials[[#This Row],[Product]])</f>
        <v>Enterprise,Canada,Paseo</v>
      </c>
      <c r="E858" s="6" t="s">
        <v>32</v>
      </c>
      <c r="F858">
        <f t="shared" ca="1" si="26"/>
        <v>277</v>
      </c>
      <c r="G858" s="1">
        <f ca="1">VLOOKUP(financials[[#This Row],[ID]],Prices!D:F,2,FALSE)</f>
        <v>15</v>
      </c>
      <c r="H858" s="1">
        <f ca="1">VLOOKUP(financials[[#This Row],[ID]],Prices!D:F,3,FALSE)</f>
        <v>23</v>
      </c>
      <c r="I858" s="1">
        <f ca="1">financials[[#This Row],[Units Sold]]*financials[[#This Row],[Sale Price]]</f>
        <v>6371</v>
      </c>
      <c r="J8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318.55</v>
      </c>
      <c r="K858" s="1">
        <f ca="1">financials[[#This Row],[Gross Sales]]-financials[[#This Row],[Discounts]]</f>
        <v>6052.45</v>
      </c>
      <c r="L858" s="1">
        <f ca="1">financials[[#This Row],[Units Sold]]*financials[[#This Row],[Manufacturing Price]]</f>
        <v>4155</v>
      </c>
      <c r="M858" s="1">
        <f ca="1">financials[[#This Row],[Sales]]-financials[[#This Row],[COGS]]</f>
        <v>1897.4499999999998</v>
      </c>
      <c r="N858" s="7">
        <f t="shared" ca="1" si="27"/>
        <v>45178</v>
      </c>
      <c r="O858" s="8">
        <f ca="1">MONTH(financials[[#This Row],[Date]])</f>
        <v>9</v>
      </c>
      <c r="P858" s="6" t="str">
        <f ca="1">TEXT(financials[[#This Row],[Date]],"MMM")</f>
        <v>Sep</v>
      </c>
      <c r="Q858">
        <f ca="1">YEAR(financials[[#This Row],[Date]])</f>
        <v>2023</v>
      </c>
    </row>
    <row r="859" spans="1:17" x14ac:dyDescent="0.3">
      <c r="A859" t="s">
        <v>25</v>
      </c>
      <c r="B859" t="s">
        <v>22</v>
      </c>
      <c r="C859" s="6" t="s">
        <v>28</v>
      </c>
      <c r="D859" s="6" t="str">
        <f>CONCATENATE(financials[[#This Row],[Segment]],",",financials[[#This Row],[Country]],",",financials[[#This Row],[Product]])</f>
        <v>Channel Partners,France,Paseo</v>
      </c>
      <c r="E859" s="6" t="s">
        <v>32</v>
      </c>
      <c r="F859">
        <f t="shared" ca="1" si="26"/>
        <v>832</v>
      </c>
      <c r="G859" s="1">
        <f ca="1">VLOOKUP(financials[[#This Row],[ID]],Prices!D:F,2,FALSE)</f>
        <v>14</v>
      </c>
      <c r="H859" s="1">
        <f ca="1">VLOOKUP(financials[[#This Row],[ID]],Prices!D:F,3,FALSE)</f>
        <v>30</v>
      </c>
      <c r="I859" s="1">
        <f ca="1">financials[[#This Row],[Units Sold]]*financials[[#This Row],[Sale Price]]</f>
        <v>24960</v>
      </c>
      <c r="J8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1248</v>
      </c>
      <c r="K859" s="1">
        <f ca="1">financials[[#This Row],[Gross Sales]]-financials[[#This Row],[Discounts]]</f>
        <v>23712</v>
      </c>
      <c r="L859" s="1">
        <f ca="1">financials[[#This Row],[Units Sold]]*financials[[#This Row],[Manufacturing Price]]</f>
        <v>11648</v>
      </c>
      <c r="M859" s="1">
        <f ca="1">financials[[#This Row],[Sales]]-financials[[#This Row],[COGS]]</f>
        <v>12064</v>
      </c>
      <c r="N859" s="7">
        <f t="shared" ca="1" si="27"/>
        <v>45271</v>
      </c>
      <c r="O859" s="8">
        <f ca="1">MONTH(financials[[#This Row],[Date]])</f>
        <v>12</v>
      </c>
      <c r="P859" s="6" t="str">
        <f ca="1">TEXT(financials[[#This Row],[Date]],"MMM")</f>
        <v>Dec</v>
      </c>
      <c r="Q859">
        <f ca="1">YEAR(financials[[#This Row],[Date]])</f>
        <v>2023</v>
      </c>
    </row>
    <row r="860" spans="1:17" x14ac:dyDescent="0.3">
      <c r="A860" t="s">
        <v>27</v>
      </c>
      <c r="B860" t="s">
        <v>20</v>
      </c>
      <c r="C860" s="6" t="s">
        <v>28</v>
      </c>
      <c r="D860" s="6" t="str">
        <f>CONCATENATE(financials[[#This Row],[Segment]],",",financials[[#This Row],[Country]],",",financials[[#This Row],[Product]])</f>
        <v>Small Business,Germany,Paseo</v>
      </c>
      <c r="E860" s="6" t="s">
        <v>32</v>
      </c>
      <c r="F860">
        <f t="shared" ca="1" si="26"/>
        <v>640</v>
      </c>
      <c r="G860" s="1">
        <f ca="1">VLOOKUP(financials[[#This Row],[ID]],Prices!D:F,2,FALSE)</f>
        <v>19</v>
      </c>
      <c r="H860" s="1">
        <f ca="1">VLOOKUP(financials[[#This Row],[ID]],Prices!D:F,3,FALSE)</f>
        <v>25</v>
      </c>
      <c r="I860" s="1">
        <f ca="1">financials[[#This Row],[Units Sold]]*financials[[#This Row],[Sale Price]]</f>
        <v>16000</v>
      </c>
      <c r="J8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800</v>
      </c>
      <c r="K860" s="1">
        <f ca="1">financials[[#This Row],[Gross Sales]]-financials[[#This Row],[Discounts]]</f>
        <v>15200</v>
      </c>
      <c r="L860" s="1">
        <f ca="1">financials[[#This Row],[Units Sold]]*financials[[#This Row],[Manufacturing Price]]</f>
        <v>12160</v>
      </c>
      <c r="M860" s="1">
        <f ca="1">financials[[#This Row],[Sales]]-financials[[#This Row],[COGS]]</f>
        <v>3040</v>
      </c>
      <c r="N860" s="7">
        <f t="shared" ca="1" si="27"/>
        <v>45375</v>
      </c>
      <c r="O860" s="8">
        <f ca="1">MONTH(financials[[#This Row],[Date]])</f>
        <v>3</v>
      </c>
      <c r="P860" s="6" t="str">
        <f ca="1">TEXT(financials[[#This Row],[Date]],"MMM")</f>
        <v>Mar</v>
      </c>
      <c r="Q860">
        <f ca="1">YEAR(financials[[#This Row],[Date]])</f>
        <v>2024</v>
      </c>
    </row>
    <row r="861" spans="1:17" x14ac:dyDescent="0.3">
      <c r="A861" t="s">
        <v>26</v>
      </c>
      <c r="B861" t="s">
        <v>20</v>
      </c>
      <c r="C861" s="6" t="s">
        <v>28</v>
      </c>
      <c r="D861" s="6" t="str">
        <f>CONCATENATE(financials[[#This Row],[Segment]],",",financials[[#This Row],[Country]],",",financials[[#This Row],[Product]])</f>
        <v>Enterprise,Germany,Paseo</v>
      </c>
      <c r="E861" s="6" t="s">
        <v>32</v>
      </c>
      <c r="F861">
        <f t="shared" ca="1" si="26"/>
        <v>534</v>
      </c>
      <c r="G861" s="1">
        <f ca="1">VLOOKUP(financials[[#This Row],[ID]],Prices!D:F,2,FALSE)</f>
        <v>14</v>
      </c>
      <c r="H861" s="1">
        <f ca="1">VLOOKUP(financials[[#This Row],[ID]],Prices!D:F,3,FALSE)</f>
        <v>18</v>
      </c>
      <c r="I861" s="1">
        <f ca="1">financials[[#This Row],[Units Sold]]*financials[[#This Row],[Sale Price]]</f>
        <v>9612</v>
      </c>
      <c r="J8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480.6</v>
      </c>
      <c r="K861" s="1">
        <f ca="1">financials[[#This Row],[Gross Sales]]-financials[[#This Row],[Discounts]]</f>
        <v>9131.4</v>
      </c>
      <c r="L861" s="1">
        <f ca="1">financials[[#This Row],[Units Sold]]*financials[[#This Row],[Manufacturing Price]]</f>
        <v>7476</v>
      </c>
      <c r="M861" s="1">
        <f ca="1">financials[[#This Row],[Sales]]-financials[[#This Row],[COGS]]</f>
        <v>1655.3999999999996</v>
      </c>
      <c r="N861" s="7">
        <f t="shared" ca="1" si="27"/>
        <v>45590</v>
      </c>
      <c r="O861" s="8">
        <f ca="1">MONTH(financials[[#This Row],[Date]])</f>
        <v>10</v>
      </c>
      <c r="P861" s="6" t="str">
        <f ca="1">TEXT(financials[[#This Row],[Date]],"MMM")</f>
        <v>Oct</v>
      </c>
      <c r="Q861">
        <f ca="1">YEAR(financials[[#This Row],[Date]])</f>
        <v>2024</v>
      </c>
    </row>
    <row r="862" spans="1:17" x14ac:dyDescent="0.3">
      <c r="A862" t="s">
        <v>25</v>
      </c>
      <c r="B862" t="s">
        <v>36</v>
      </c>
      <c r="C862" s="6" t="s">
        <v>28</v>
      </c>
      <c r="D862" s="6" t="str">
        <f>CONCATENATE(financials[[#This Row],[Segment]],",",financials[[#This Row],[Country]],",",financials[[#This Row],[Product]])</f>
        <v>Channel Partners,USA,Paseo</v>
      </c>
      <c r="E862" s="6" t="s">
        <v>32</v>
      </c>
      <c r="F862">
        <f t="shared" ca="1" si="26"/>
        <v>35</v>
      </c>
      <c r="G862" s="1">
        <f ca="1">VLOOKUP(financials[[#This Row],[ID]],Prices!D:F,2,FALSE)</f>
        <v>19</v>
      </c>
      <c r="H862" s="1">
        <f ca="1">VLOOKUP(financials[[#This Row],[ID]],Prices!D:F,3,FALSE)</f>
        <v>26</v>
      </c>
      <c r="I862" s="1">
        <f ca="1">financials[[#This Row],[Units Sold]]*financials[[#This Row],[Sale Price]]</f>
        <v>910</v>
      </c>
      <c r="J8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9.1</v>
      </c>
      <c r="K862" s="1">
        <f ca="1">financials[[#This Row],[Gross Sales]]-financials[[#This Row],[Discounts]]</f>
        <v>900.9</v>
      </c>
      <c r="L862" s="1">
        <f ca="1">financials[[#This Row],[Units Sold]]*financials[[#This Row],[Manufacturing Price]]</f>
        <v>665</v>
      </c>
      <c r="M862" s="1">
        <f ca="1">financials[[#This Row],[Sales]]-financials[[#This Row],[COGS]]</f>
        <v>235.89999999999998</v>
      </c>
      <c r="N862" s="7">
        <f t="shared" ca="1" si="27"/>
        <v>45721</v>
      </c>
      <c r="O862" s="8">
        <f ca="1">MONTH(financials[[#This Row],[Date]])</f>
        <v>3</v>
      </c>
      <c r="P862" s="6" t="str">
        <f ca="1">TEXT(financials[[#This Row],[Date]],"MMM")</f>
        <v>Mar</v>
      </c>
      <c r="Q862">
        <f ca="1">YEAR(financials[[#This Row],[Date]])</f>
        <v>2025</v>
      </c>
    </row>
    <row r="863" spans="1:17" x14ac:dyDescent="0.3">
      <c r="A863" t="s">
        <v>26</v>
      </c>
      <c r="B863" t="s">
        <v>17</v>
      </c>
      <c r="C863" s="6" t="s">
        <v>28</v>
      </c>
      <c r="D863" s="6" t="str">
        <f>CONCATENATE(financials[[#This Row],[Segment]],",",financials[[#This Row],[Country]],",",financials[[#This Row],[Product]])</f>
        <v>Enterprise,Canada,Paseo</v>
      </c>
      <c r="E863" s="6" t="s">
        <v>32</v>
      </c>
      <c r="F863">
        <f t="shared" ca="1" si="26"/>
        <v>326</v>
      </c>
      <c r="G863" s="1">
        <f ca="1">VLOOKUP(financials[[#This Row],[ID]],Prices!D:F,2,FALSE)</f>
        <v>15</v>
      </c>
      <c r="H863" s="1">
        <f ca="1">VLOOKUP(financials[[#This Row],[ID]],Prices!D:F,3,FALSE)</f>
        <v>23</v>
      </c>
      <c r="I863" s="1">
        <f ca="1">financials[[#This Row],[Units Sold]]*financials[[#This Row],[Sale Price]]</f>
        <v>7498</v>
      </c>
      <c r="J8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374.90000000000003</v>
      </c>
      <c r="K863" s="1">
        <f ca="1">financials[[#This Row],[Gross Sales]]-financials[[#This Row],[Discounts]]</f>
        <v>7123.1</v>
      </c>
      <c r="L863" s="1">
        <f ca="1">financials[[#This Row],[Units Sold]]*financials[[#This Row],[Manufacturing Price]]</f>
        <v>4890</v>
      </c>
      <c r="M863" s="1">
        <f ca="1">financials[[#This Row],[Sales]]-financials[[#This Row],[COGS]]</f>
        <v>2233.1000000000004</v>
      </c>
      <c r="N863" s="7">
        <f t="shared" ca="1" si="27"/>
        <v>45176</v>
      </c>
      <c r="O863" s="8">
        <f ca="1">MONTH(financials[[#This Row],[Date]])</f>
        <v>9</v>
      </c>
      <c r="P863" s="6" t="str">
        <f ca="1">TEXT(financials[[#This Row],[Date]],"MMM")</f>
        <v>Sep</v>
      </c>
      <c r="Q863">
        <f ca="1">YEAR(financials[[#This Row],[Date]])</f>
        <v>2023</v>
      </c>
    </row>
    <row r="864" spans="1:17" x14ac:dyDescent="0.3">
      <c r="A864" t="s">
        <v>21</v>
      </c>
      <c r="B864" t="s">
        <v>20</v>
      </c>
      <c r="C864" s="6" t="s">
        <v>28</v>
      </c>
      <c r="D864" s="6" t="str">
        <f>CONCATENATE(financials[[#This Row],[Segment]],",",financials[[#This Row],[Country]],",",financials[[#This Row],[Product]])</f>
        <v>Midmarket,Germany,Paseo</v>
      </c>
      <c r="E864" s="6" t="s">
        <v>32</v>
      </c>
      <c r="F864">
        <f t="shared" ca="1" si="26"/>
        <v>808</v>
      </c>
      <c r="G864" s="1">
        <f ca="1">VLOOKUP(financials[[#This Row],[ID]],Prices!D:F,2,FALSE)</f>
        <v>19</v>
      </c>
      <c r="H864" s="1">
        <f ca="1">VLOOKUP(financials[[#This Row],[ID]],Prices!D:F,3,FALSE)</f>
        <v>25</v>
      </c>
      <c r="I864" s="1">
        <f ca="1">financials[[#This Row],[Units Sold]]*financials[[#This Row],[Sale Price]]</f>
        <v>20200</v>
      </c>
      <c r="J8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1010</v>
      </c>
      <c r="K864" s="1">
        <f ca="1">financials[[#This Row],[Gross Sales]]-financials[[#This Row],[Discounts]]</f>
        <v>19190</v>
      </c>
      <c r="L864" s="1">
        <f ca="1">financials[[#This Row],[Units Sold]]*financials[[#This Row],[Manufacturing Price]]</f>
        <v>15352</v>
      </c>
      <c r="M864" s="1">
        <f ca="1">financials[[#This Row],[Sales]]-financials[[#This Row],[COGS]]</f>
        <v>3838</v>
      </c>
      <c r="N864" s="7">
        <f t="shared" ca="1" si="27"/>
        <v>45235</v>
      </c>
      <c r="O864" s="8">
        <f ca="1">MONTH(financials[[#This Row],[Date]])</f>
        <v>11</v>
      </c>
      <c r="P864" s="6" t="str">
        <f ca="1">TEXT(financials[[#This Row],[Date]],"MMM")</f>
        <v>Nov</v>
      </c>
      <c r="Q864">
        <f ca="1">YEAR(financials[[#This Row],[Date]])</f>
        <v>2023</v>
      </c>
    </row>
    <row r="865" spans="1:17" x14ac:dyDescent="0.3">
      <c r="A865" t="s">
        <v>26</v>
      </c>
      <c r="B865" t="s">
        <v>22</v>
      </c>
      <c r="C865" s="6" t="s">
        <v>28</v>
      </c>
      <c r="D865" s="6" t="str">
        <f>CONCATENATE(financials[[#This Row],[Segment]],",",financials[[#This Row],[Country]],",",financials[[#This Row],[Product]])</f>
        <v>Enterprise,France,Paseo</v>
      </c>
      <c r="E865" s="6" t="s">
        <v>32</v>
      </c>
      <c r="F865">
        <f t="shared" ca="1" si="26"/>
        <v>80</v>
      </c>
      <c r="G865" s="1">
        <f ca="1">VLOOKUP(financials[[#This Row],[ID]],Prices!D:F,2,FALSE)</f>
        <v>11</v>
      </c>
      <c r="H865" s="1">
        <f ca="1">VLOOKUP(financials[[#This Row],[ID]],Prices!D:F,3,FALSE)</f>
        <v>21</v>
      </c>
      <c r="I865" s="1">
        <f ca="1">financials[[#This Row],[Units Sold]]*financials[[#This Row],[Sale Price]]</f>
        <v>1680</v>
      </c>
      <c r="J8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</v>
      </c>
      <c r="K865" s="1">
        <f ca="1">financials[[#This Row],[Gross Sales]]-financials[[#This Row],[Discounts]]</f>
        <v>1596</v>
      </c>
      <c r="L865" s="1">
        <f ca="1">financials[[#This Row],[Units Sold]]*financials[[#This Row],[Manufacturing Price]]</f>
        <v>880</v>
      </c>
      <c r="M865" s="1">
        <f ca="1">financials[[#This Row],[Sales]]-financials[[#This Row],[COGS]]</f>
        <v>716</v>
      </c>
      <c r="N865" s="7">
        <f t="shared" ca="1" si="27"/>
        <v>45657</v>
      </c>
      <c r="O865" s="8">
        <f ca="1">MONTH(financials[[#This Row],[Date]])</f>
        <v>12</v>
      </c>
      <c r="P865" s="6" t="str">
        <f ca="1">TEXT(financials[[#This Row],[Date]],"MMM")</f>
        <v>Dec</v>
      </c>
      <c r="Q865">
        <f ca="1">YEAR(financials[[#This Row],[Date]])</f>
        <v>2024</v>
      </c>
    </row>
    <row r="866" spans="1:17" x14ac:dyDescent="0.3">
      <c r="A866" t="s">
        <v>26</v>
      </c>
      <c r="B866" t="s">
        <v>20</v>
      </c>
      <c r="C866" s="6" t="s">
        <v>28</v>
      </c>
      <c r="D866" s="6" t="str">
        <f>CONCATENATE(financials[[#This Row],[Segment]],",",financials[[#This Row],[Country]],",",financials[[#This Row],[Product]])</f>
        <v>Enterprise,Germany,Paseo</v>
      </c>
      <c r="E866" s="6" t="s">
        <v>32</v>
      </c>
      <c r="F866">
        <f t="shared" ca="1" si="26"/>
        <v>206</v>
      </c>
      <c r="G866" s="1">
        <f ca="1">VLOOKUP(financials[[#This Row],[ID]],Prices!D:F,2,FALSE)</f>
        <v>14</v>
      </c>
      <c r="H866" s="1">
        <f ca="1">VLOOKUP(financials[[#This Row],[ID]],Prices!D:F,3,FALSE)</f>
        <v>18</v>
      </c>
      <c r="I866" s="1">
        <f ca="1">financials[[#This Row],[Units Sold]]*financials[[#This Row],[Sale Price]]</f>
        <v>3708</v>
      </c>
      <c r="J8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185.4</v>
      </c>
      <c r="K866" s="1">
        <f ca="1">financials[[#This Row],[Gross Sales]]-financials[[#This Row],[Discounts]]</f>
        <v>3522.6</v>
      </c>
      <c r="L866" s="1">
        <f ca="1">financials[[#This Row],[Units Sold]]*financials[[#This Row],[Manufacturing Price]]</f>
        <v>2884</v>
      </c>
      <c r="M866" s="1">
        <f ca="1">financials[[#This Row],[Sales]]-financials[[#This Row],[COGS]]</f>
        <v>638.59999999999991</v>
      </c>
      <c r="N866" s="7">
        <f t="shared" ca="1" si="27"/>
        <v>45416</v>
      </c>
      <c r="O866" s="8">
        <f ca="1">MONTH(financials[[#This Row],[Date]])</f>
        <v>5</v>
      </c>
      <c r="P866" s="6" t="str">
        <f ca="1">TEXT(financials[[#This Row],[Date]],"MMM")</f>
        <v>May</v>
      </c>
      <c r="Q866">
        <f ca="1">YEAR(financials[[#This Row],[Date]])</f>
        <v>2024</v>
      </c>
    </row>
    <row r="867" spans="1:17" x14ac:dyDescent="0.3">
      <c r="A867" t="s">
        <v>26</v>
      </c>
      <c r="B867" t="s">
        <v>17</v>
      </c>
      <c r="C867" s="6" t="s">
        <v>29</v>
      </c>
      <c r="D867" s="6" t="str">
        <f>CONCATENATE(financials[[#This Row],[Segment]],",",financials[[#This Row],[Country]],",",financials[[#This Row],[Product]])</f>
        <v>Enterprise,Canada,Velo</v>
      </c>
      <c r="E867" s="6" t="s">
        <v>32</v>
      </c>
      <c r="F867">
        <f t="shared" ca="1" si="26"/>
        <v>892</v>
      </c>
      <c r="G867" s="1">
        <f ca="1">VLOOKUP(financials[[#This Row],[ID]],Prices!D:F,2,FALSE)</f>
        <v>11</v>
      </c>
      <c r="H867" s="1">
        <f ca="1">VLOOKUP(financials[[#This Row],[ID]],Prices!D:F,3,FALSE)</f>
        <v>34</v>
      </c>
      <c r="I867" s="1">
        <f ca="1">financials[[#This Row],[Units Sold]]*financials[[#This Row],[Sale Price]]</f>
        <v>30328</v>
      </c>
      <c r="J8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1516.4</v>
      </c>
      <c r="K867" s="1">
        <f ca="1">financials[[#This Row],[Gross Sales]]-financials[[#This Row],[Discounts]]</f>
        <v>28811.599999999999</v>
      </c>
      <c r="L867" s="1">
        <f ca="1">financials[[#This Row],[Units Sold]]*financials[[#This Row],[Manufacturing Price]]</f>
        <v>9812</v>
      </c>
      <c r="M867" s="1">
        <f ca="1">financials[[#This Row],[Sales]]-financials[[#This Row],[COGS]]</f>
        <v>18999.599999999999</v>
      </c>
      <c r="N867" s="7">
        <f t="shared" ca="1" si="27"/>
        <v>45091</v>
      </c>
      <c r="O867" s="8">
        <f ca="1">MONTH(financials[[#This Row],[Date]])</f>
        <v>6</v>
      </c>
      <c r="P867" s="6" t="str">
        <f ca="1">TEXT(financials[[#This Row],[Date]],"MMM")</f>
        <v>Jun</v>
      </c>
      <c r="Q867">
        <f ca="1">YEAR(financials[[#This Row],[Date]])</f>
        <v>2023</v>
      </c>
    </row>
    <row r="868" spans="1:17" x14ac:dyDescent="0.3">
      <c r="A868" t="s">
        <v>27</v>
      </c>
      <c r="B868" t="s">
        <v>36</v>
      </c>
      <c r="C868" s="6" t="s">
        <v>30</v>
      </c>
      <c r="D868" s="6" t="str">
        <f>CONCATENATE(financials[[#This Row],[Segment]],",",financials[[#This Row],[Country]],",",financials[[#This Row],[Product]])</f>
        <v>Small Business,USA,VTT</v>
      </c>
      <c r="E868" s="6" t="s">
        <v>32</v>
      </c>
      <c r="F868">
        <f t="shared" ca="1" si="26"/>
        <v>360</v>
      </c>
      <c r="G868" s="1">
        <f ca="1">VLOOKUP(financials[[#This Row],[ID]],Prices!D:F,2,FALSE)</f>
        <v>13</v>
      </c>
      <c r="H868" s="1">
        <f ca="1">VLOOKUP(financials[[#This Row],[ID]],Prices!D:F,3,FALSE)</f>
        <v>19</v>
      </c>
      <c r="I868" s="1">
        <f ca="1">financials[[#This Row],[Units Sold]]*financials[[#This Row],[Sale Price]]</f>
        <v>6840</v>
      </c>
      <c r="J8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342</v>
      </c>
      <c r="K868" s="1">
        <f ca="1">financials[[#This Row],[Gross Sales]]-financials[[#This Row],[Discounts]]</f>
        <v>6498</v>
      </c>
      <c r="L868" s="1">
        <f ca="1">financials[[#This Row],[Units Sold]]*financials[[#This Row],[Manufacturing Price]]</f>
        <v>4680</v>
      </c>
      <c r="M868" s="1">
        <f ca="1">financials[[#This Row],[Sales]]-financials[[#This Row],[COGS]]</f>
        <v>1818</v>
      </c>
      <c r="N868" s="7">
        <f t="shared" ca="1" si="27"/>
        <v>45512</v>
      </c>
      <c r="O868" s="8">
        <f ca="1">MONTH(financials[[#This Row],[Date]])</f>
        <v>8</v>
      </c>
      <c r="P868" s="6" t="str">
        <f ca="1">TEXT(financials[[#This Row],[Date]],"MMM")</f>
        <v>Aug</v>
      </c>
      <c r="Q868">
        <f ca="1">YEAR(financials[[#This Row],[Date]])</f>
        <v>2024</v>
      </c>
    </row>
    <row r="869" spans="1:17" x14ac:dyDescent="0.3">
      <c r="A869" t="s">
        <v>25</v>
      </c>
      <c r="B869" t="s">
        <v>23</v>
      </c>
      <c r="C869" s="6" t="s">
        <v>30</v>
      </c>
      <c r="D869" s="6" t="str">
        <f>CONCATENATE(financials[[#This Row],[Segment]],",",financials[[#This Row],[Country]],",",financials[[#This Row],[Product]])</f>
        <v>Channel Partners,Mexico,VTT</v>
      </c>
      <c r="E869" s="6" t="s">
        <v>32</v>
      </c>
      <c r="F869">
        <f t="shared" ca="1" si="26"/>
        <v>112</v>
      </c>
      <c r="G869" s="1">
        <f ca="1">VLOOKUP(financials[[#This Row],[ID]],Prices!D:F,2,FALSE)</f>
        <v>12</v>
      </c>
      <c r="H869" s="1">
        <f ca="1">VLOOKUP(financials[[#This Row],[ID]],Prices!D:F,3,FALSE)</f>
        <v>38</v>
      </c>
      <c r="I869" s="1">
        <f ca="1">financials[[#This Row],[Units Sold]]*financials[[#This Row],[Sale Price]]</f>
        <v>4256</v>
      </c>
      <c r="J8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212.8</v>
      </c>
      <c r="K869" s="1">
        <f ca="1">financials[[#This Row],[Gross Sales]]-financials[[#This Row],[Discounts]]</f>
        <v>4043.2</v>
      </c>
      <c r="L869" s="1">
        <f ca="1">financials[[#This Row],[Units Sold]]*financials[[#This Row],[Manufacturing Price]]</f>
        <v>1344</v>
      </c>
      <c r="M869" s="1">
        <f ca="1">financials[[#This Row],[Sales]]-financials[[#This Row],[COGS]]</f>
        <v>2699.2</v>
      </c>
      <c r="N869" s="7">
        <f t="shared" ca="1" si="27"/>
        <v>45217</v>
      </c>
      <c r="O869" s="8">
        <f ca="1">MONTH(financials[[#This Row],[Date]])</f>
        <v>10</v>
      </c>
      <c r="P869" s="6" t="str">
        <f ca="1">TEXT(financials[[#This Row],[Date]],"MMM")</f>
        <v>Oct</v>
      </c>
      <c r="Q869">
        <f ca="1">YEAR(financials[[#This Row],[Date]])</f>
        <v>2023</v>
      </c>
    </row>
    <row r="870" spans="1:17" x14ac:dyDescent="0.3">
      <c r="A870" t="s">
        <v>26</v>
      </c>
      <c r="B870" t="s">
        <v>20</v>
      </c>
      <c r="C870" s="6" t="s">
        <v>30</v>
      </c>
      <c r="D870" s="6" t="str">
        <f>CONCATENATE(financials[[#This Row],[Segment]],",",financials[[#This Row],[Country]],",",financials[[#This Row],[Product]])</f>
        <v>Enterprise,Germany,VTT</v>
      </c>
      <c r="E870" s="6" t="s">
        <v>32</v>
      </c>
      <c r="F870">
        <f t="shared" ca="1" si="26"/>
        <v>137</v>
      </c>
      <c r="G870" s="1">
        <f ca="1">VLOOKUP(financials[[#This Row],[ID]],Prices!D:F,2,FALSE)</f>
        <v>14</v>
      </c>
      <c r="H870" s="1">
        <f ca="1">VLOOKUP(financials[[#This Row],[ID]],Prices!D:F,3,FALSE)</f>
        <v>23</v>
      </c>
      <c r="I870" s="1">
        <f ca="1">financials[[#This Row],[Units Sold]]*financials[[#This Row],[Sale Price]]</f>
        <v>3151</v>
      </c>
      <c r="J8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157.55000000000001</v>
      </c>
      <c r="K870" s="1">
        <f ca="1">financials[[#This Row],[Gross Sales]]-financials[[#This Row],[Discounts]]</f>
        <v>2993.45</v>
      </c>
      <c r="L870" s="1">
        <f ca="1">financials[[#This Row],[Units Sold]]*financials[[#This Row],[Manufacturing Price]]</f>
        <v>1918</v>
      </c>
      <c r="M870" s="1">
        <f ca="1">financials[[#This Row],[Sales]]-financials[[#This Row],[COGS]]</f>
        <v>1075.4499999999998</v>
      </c>
      <c r="N870" s="7">
        <f t="shared" ca="1" si="27"/>
        <v>45036</v>
      </c>
      <c r="O870" s="8">
        <f ca="1">MONTH(financials[[#This Row],[Date]])</f>
        <v>4</v>
      </c>
      <c r="P870" s="6" t="str">
        <f ca="1">TEXT(financials[[#This Row],[Date]],"MMM")</f>
        <v>Apr</v>
      </c>
      <c r="Q870">
        <f ca="1">YEAR(financials[[#This Row],[Date]])</f>
        <v>2023</v>
      </c>
    </row>
    <row r="871" spans="1:17" x14ac:dyDescent="0.3">
      <c r="A871" t="s">
        <v>27</v>
      </c>
      <c r="B871" t="s">
        <v>17</v>
      </c>
      <c r="C871" s="6" t="s">
        <v>30</v>
      </c>
      <c r="D871" s="6" t="str">
        <f>CONCATENATE(financials[[#This Row],[Segment]],",",financials[[#This Row],[Country]],",",financials[[#This Row],[Product]])</f>
        <v>Small Business,Canada,VTT</v>
      </c>
      <c r="E871" s="6" t="s">
        <v>32</v>
      </c>
      <c r="F871">
        <f t="shared" ca="1" si="26"/>
        <v>104</v>
      </c>
      <c r="G871" s="1">
        <f ca="1">VLOOKUP(financials[[#This Row],[ID]],Prices!D:F,2,FALSE)</f>
        <v>10</v>
      </c>
      <c r="H871" s="1">
        <f ca="1">VLOOKUP(financials[[#This Row],[ID]],Prices!D:F,3,FALSE)</f>
        <v>21</v>
      </c>
      <c r="I871" s="1">
        <f ca="1">financials[[#This Row],[Units Sold]]*financials[[#This Row],[Sale Price]]</f>
        <v>2184</v>
      </c>
      <c r="J8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109.2</v>
      </c>
      <c r="K871" s="1">
        <f ca="1">financials[[#This Row],[Gross Sales]]-financials[[#This Row],[Discounts]]</f>
        <v>2074.8000000000002</v>
      </c>
      <c r="L871" s="1">
        <f ca="1">financials[[#This Row],[Units Sold]]*financials[[#This Row],[Manufacturing Price]]</f>
        <v>1040</v>
      </c>
      <c r="M871" s="1">
        <f ca="1">financials[[#This Row],[Sales]]-financials[[#This Row],[COGS]]</f>
        <v>1034.8000000000002</v>
      </c>
      <c r="N871" s="7">
        <f t="shared" ca="1" si="27"/>
        <v>45583</v>
      </c>
      <c r="O871" s="8">
        <f ca="1">MONTH(financials[[#This Row],[Date]])</f>
        <v>10</v>
      </c>
      <c r="P871" s="6" t="str">
        <f ca="1">TEXT(financials[[#This Row],[Date]],"MMM")</f>
        <v>Oct</v>
      </c>
      <c r="Q871">
        <f ca="1">YEAR(financials[[#This Row],[Date]])</f>
        <v>2024</v>
      </c>
    </row>
    <row r="872" spans="1:17" x14ac:dyDescent="0.3">
      <c r="A872" t="s">
        <v>16</v>
      </c>
      <c r="B872" t="s">
        <v>23</v>
      </c>
      <c r="C872" s="6" t="s">
        <v>30</v>
      </c>
      <c r="D872" s="6" t="str">
        <f>CONCATENATE(financials[[#This Row],[Segment]],",",financials[[#This Row],[Country]],",",financials[[#This Row],[Product]])</f>
        <v>Government,Mexico,VTT</v>
      </c>
      <c r="E872" s="6" t="s">
        <v>32</v>
      </c>
      <c r="F872">
        <f t="shared" ca="1" si="26"/>
        <v>795</v>
      </c>
      <c r="G872" s="1">
        <f ca="1">VLOOKUP(financials[[#This Row],[ID]],Prices!D:F,2,FALSE)</f>
        <v>18</v>
      </c>
      <c r="H872" s="1">
        <f ca="1">VLOOKUP(financials[[#This Row],[ID]],Prices!D:F,3,FALSE)</f>
        <v>20</v>
      </c>
      <c r="I872" s="1">
        <f ca="1">financials[[#This Row],[Units Sold]]*financials[[#This Row],[Sale Price]]</f>
        <v>15900</v>
      </c>
      <c r="J8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795</v>
      </c>
      <c r="K872" s="1">
        <f ca="1">financials[[#This Row],[Gross Sales]]-financials[[#This Row],[Discounts]]</f>
        <v>15105</v>
      </c>
      <c r="L872" s="1">
        <f ca="1">financials[[#This Row],[Units Sold]]*financials[[#This Row],[Manufacturing Price]]</f>
        <v>14310</v>
      </c>
      <c r="M872" s="1">
        <f ca="1">financials[[#This Row],[Sales]]-financials[[#This Row],[COGS]]</f>
        <v>795</v>
      </c>
      <c r="N872" s="7">
        <f t="shared" ca="1" si="27"/>
        <v>45439</v>
      </c>
      <c r="O872" s="8">
        <f ca="1">MONTH(financials[[#This Row],[Date]])</f>
        <v>5</v>
      </c>
      <c r="P872" s="6" t="str">
        <f ca="1">TEXT(financials[[#This Row],[Date]],"MMM")</f>
        <v>May</v>
      </c>
      <c r="Q872">
        <f ca="1">YEAR(financials[[#This Row],[Date]])</f>
        <v>2024</v>
      </c>
    </row>
    <row r="873" spans="1:17" x14ac:dyDescent="0.3">
      <c r="A873" t="s">
        <v>21</v>
      </c>
      <c r="B873" t="s">
        <v>20</v>
      </c>
      <c r="C873" s="6" t="s">
        <v>30</v>
      </c>
      <c r="D873" s="6" t="str">
        <f>CONCATENATE(financials[[#This Row],[Segment]],",",financials[[#This Row],[Country]],",",financials[[#This Row],[Product]])</f>
        <v>Midmarket,Germany,VTT</v>
      </c>
      <c r="E873" s="6" t="s">
        <v>32</v>
      </c>
      <c r="F873">
        <f t="shared" ca="1" si="26"/>
        <v>242</v>
      </c>
      <c r="G873" s="1">
        <f ca="1">VLOOKUP(financials[[#This Row],[ID]],Prices!D:F,2,FALSE)</f>
        <v>12</v>
      </c>
      <c r="H873" s="1">
        <f ca="1">VLOOKUP(financials[[#This Row],[ID]],Prices!D:F,3,FALSE)</f>
        <v>17</v>
      </c>
      <c r="I873" s="1">
        <f ca="1">financials[[#This Row],[Units Sold]]*financials[[#This Row],[Sale Price]]</f>
        <v>4114</v>
      </c>
      <c r="J8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205.70000000000002</v>
      </c>
      <c r="K873" s="1">
        <f ca="1">financials[[#This Row],[Gross Sales]]-financials[[#This Row],[Discounts]]</f>
        <v>3908.3</v>
      </c>
      <c r="L873" s="1">
        <f ca="1">financials[[#This Row],[Units Sold]]*financials[[#This Row],[Manufacturing Price]]</f>
        <v>2904</v>
      </c>
      <c r="M873" s="1">
        <f ca="1">financials[[#This Row],[Sales]]-financials[[#This Row],[COGS]]</f>
        <v>1004.3000000000002</v>
      </c>
      <c r="N873" s="7">
        <f t="shared" ca="1" si="27"/>
        <v>45568</v>
      </c>
      <c r="O873" s="8">
        <f ca="1">MONTH(financials[[#This Row],[Date]])</f>
        <v>10</v>
      </c>
      <c r="P873" s="6" t="str">
        <f ca="1">TEXT(financials[[#This Row],[Date]],"MMM")</f>
        <v>Oct</v>
      </c>
      <c r="Q873">
        <f ca="1">YEAR(financials[[#This Row],[Date]])</f>
        <v>2024</v>
      </c>
    </row>
    <row r="874" spans="1:17" x14ac:dyDescent="0.3">
      <c r="A874" t="s">
        <v>16</v>
      </c>
      <c r="B874" t="s">
        <v>17</v>
      </c>
      <c r="C874" s="6" t="s">
        <v>18</v>
      </c>
      <c r="D874" s="6" t="str">
        <f>CONCATENATE(financials[[#This Row],[Segment]],",",financials[[#This Row],[Country]],",",financials[[#This Row],[Product]])</f>
        <v>Government,Canada,Carretera</v>
      </c>
      <c r="E874" s="6" t="s">
        <v>32</v>
      </c>
      <c r="F874">
        <f t="shared" ca="1" si="26"/>
        <v>892</v>
      </c>
      <c r="G874" s="1">
        <f ca="1">VLOOKUP(financials[[#This Row],[ID]],Prices!D:F,2,FALSE)</f>
        <v>20</v>
      </c>
      <c r="H874" s="1">
        <f ca="1">VLOOKUP(financials[[#This Row],[ID]],Prices!D:F,3,FALSE)</f>
        <v>29</v>
      </c>
      <c r="I874" s="1">
        <f ca="1">financials[[#This Row],[Units Sold]]*financials[[#This Row],[Sale Price]]</f>
        <v>25868</v>
      </c>
      <c r="J8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1293.4000000000001</v>
      </c>
      <c r="K874" s="1">
        <f ca="1">financials[[#This Row],[Gross Sales]]-financials[[#This Row],[Discounts]]</f>
        <v>24574.6</v>
      </c>
      <c r="L874" s="1">
        <f ca="1">financials[[#This Row],[Units Sold]]*financials[[#This Row],[Manufacturing Price]]</f>
        <v>17840</v>
      </c>
      <c r="M874" s="1">
        <f ca="1">financials[[#This Row],[Sales]]-financials[[#This Row],[COGS]]</f>
        <v>6734.5999999999985</v>
      </c>
      <c r="N874" s="7">
        <f t="shared" ca="1" si="27"/>
        <v>45585</v>
      </c>
      <c r="O874" s="8">
        <f ca="1">MONTH(financials[[#This Row],[Date]])</f>
        <v>10</v>
      </c>
      <c r="P874" s="6" t="str">
        <f ca="1">TEXT(financials[[#This Row],[Date]],"MMM")</f>
        <v>Oct</v>
      </c>
      <c r="Q874">
        <f ca="1">YEAR(financials[[#This Row],[Date]])</f>
        <v>2024</v>
      </c>
    </row>
    <row r="875" spans="1:17" x14ac:dyDescent="0.3">
      <c r="A875" t="s">
        <v>16</v>
      </c>
      <c r="B875" t="s">
        <v>23</v>
      </c>
      <c r="C875" s="6" t="s">
        <v>28</v>
      </c>
      <c r="D875" s="6" t="str">
        <f>CONCATENATE(financials[[#This Row],[Segment]],",",financials[[#This Row],[Country]],",",financials[[#This Row],[Product]])</f>
        <v>Government,Mexico,Paseo</v>
      </c>
      <c r="E875" s="6" t="s">
        <v>32</v>
      </c>
      <c r="F875">
        <f t="shared" ca="1" si="26"/>
        <v>895</v>
      </c>
      <c r="G875" s="1">
        <f ca="1">VLOOKUP(financials[[#This Row],[ID]],Prices!D:F,2,FALSE)</f>
        <v>18</v>
      </c>
      <c r="H875" s="1">
        <f ca="1">VLOOKUP(financials[[#This Row],[ID]],Prices!D:F,3,FALSE)</f>
        <v>19</v>
      </c>
      <c r="I875" s="1">
        <f ca="1">financials[[#This Row],[Units Sold]]*financials[[#This Row],[Sale Price]]</f>
        <v>17005</v>
      </c>
      <c r="J8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850.25</v>
      </c>
      <c r="K875" s="1">
        <f ca="1">financials[[#This Row],[Gross Sales]]-financials[[#This Row],[Discounts]]</f>
        <v>16154.75</v>
      </c>
      <c r="L875" s="1">
        <f ca="1">financials[[#This Row],[Units Sold]]*financials[[#This Row],[Manufacturing Price]]</f>
        <v>16110</v>
      </c>
      <c r="M875" s="1">
        <f ca="1">financials[[#This Row],[Sales]]-financials[[#This Row],[COGS]]</f>
        <v>44.75</v>
      </c>
      <c r="N875" s="7">
        <f t="shared" ca="1" si="27"/>
        <v>45054</v>
      </c>
      <c r="O875" s="8">
        <f ca="1">MONTH(financials[[#This Row],[Date]])</f>
        <v>5</v>
      </c>
      <c r="P875" s="6" t="str">
        <f ca="1">TEXT(financials[[#This Row],[Date]],"MMM")</f>
        <v>May</v>
      </c>
      <c r="Q875">
        <f ca="1">YEAR(financials[[#This Row],[Date]])</f>
        <v>2023</v>
      </c>
    </row>
    <row r="876" spans="1:17" x14ac:dyDescent="0.3">
      <c r="A876" t="s">
        <v>16</v>
      </c>
      <c r="B876" t="s">
        <v>17</v>
      </c>
      <c r="C876" s="6" t="s">
        <v>29</v>
      </c>
      <c r="D876" s="6" t="str">
        <f>CONCATENATE(financials[[#This Row],[Segment]],",",financials[[#This Row],[Country]],",",financials[[#This Row],[Product]])</f>
        <v>Government,Canada,Velo</v>
      </c>
      <c r="E876" s="6" t="s">
        <v>32</v>
      </c>
      <c r="F876">
        <f t="shared" ca="1" si="26"/>
        <v>36</v>
      </c>
      <c r="G876" s="1">
        <f ca="1">VLOOKUP(financials[[#This Row],[ID]],Prices!D:F,2,FALSE)</f>
        <v>19</v>
      </c>
      <c r="H876" s="1">
        <f ca="1">VLOOKUP(financials[[#This Row],[ID]],Prices!D:F,3,FALSE)</f>
        <v>37</v>
      </c>
      <c r="I876" s="1">
        <f ca="1">financials[[#This Row],[Units Sold]]*financials[[#This Row],[Sale Price]]</f>
        <v>1332</v>
      </c>
      <c r="J8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66.600000000000009</v>
      </c>
      <c r="K876" s="1">
        <f ca="1">financials[[#This Row],[Gross Sales]]-financials[[#This Row],[Discounts]]</f>
        <v>1265.4000000000001</v>
      </c>
      <c r="L876" s="1">
        <f ca="1">financials[[#This Row],[Units Sold]]*financials[[#This Row],[Manufacturing Price]]</f>
        <v>684</v>
      </c>
      <c r="M876" s="1">
        <f ca="1">financials[[#This Row],[Sales]]-financials[[#This Row],[COGS]]</f>
        <v>581.40000000000009</v>
      </c>
      <c r="N876" s="7">
        <f t="shared" ca="1" si="27"/>
        <v>45667</v>
      </c>
      <c r="O876" s="8">
        <f ca="1">MONTH(financials[[#This Row],[Date]])</f>
        <v>1</v>
      </c>
      <c r="P876" s="6" t="str">
        <f ca="1">TEXT(financials[[#This Row],[Date]],"MMM")</f>
        <v>Jan</v>
      </c>
      <c r="Q876">
        <f ca="1">YEAR(financials[[#This Row],[Date]])</f>
        <v>2025</v>
      </c>
    </row>
    <row r="877" spans="1:17" x14ac:dyDescent="0.3">
      <c r="A877" t="s">
        <v>25</v>
      </c>
      <c r="B877" t="s">
        <v>20</v>
      </c>
      <c r="C877" s="6" t="s">
        <v>30</v>
      </c>
      <c r="D877" s="6" t="str">
        <f>CONCATENATE(financials[[#This Row],[Segment]],",",financials[[#This Row],[Country]],",",financials[[#This Row],[Product]])</f>
        <v>Channel Partners,Germany,VTT</v>
      </c>
      <c r="E877" s="6" t="s">
        <v>32</v>
      </c>
      <c r="F877">
        <f t="shared" ca="1" si="26"/>
        <v>199</v>
      </c>
      <c r="G877" s="1">
        <f ca="1">VLOOKUP(financials[[#This Row],[ID]],Prices!D:F,2,FALSE)</f>
        <v>20</v>
      </c>
      <c r="H877" s="1">
        <f ca="1">VLOOKUP(financials[[#This Row],[ID]],Prices!D:F,3,FALSE)</f>
        <v>32</v>
      </c>
      <c r="I877" s="1">
        <f ca="1">financials[[#This Row],[Units Sold]]*financials[[#This Row],[Sale Price]]</f>
        <v>6368</v>
      </c>
      <c r="J8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318.40000000000003</v>
      </c>
      <c r="K877" s="1">
        <f ca="1">financials[[#This Row],[Gross Sales]]-financials[[#This Row],[Discounts]]</f>
        <v>6049.6</v>
      </c>
      <c r="L877" s="1">
        <f ca="1">financials[[#This Row],[Units Sold]]*financials[[#This Row],[Manufacturing Price]]</f>
        <v>3980</v>
      </c>
      <c r="M877" s="1">
        <f ca="1">financials[[#This Row],[Sales]]-financials[[#This Row],[COGS]]</f>
        <v>2069.6000000000004</v>
      </c>
      <c r="N877" s="7">
        <f t="shared" ca="1" si="27"/>
        <v>45512</v>
      </c>
      <c r="O877" s="8">
        <f ca="1">MONTH(financials[[#This Row],[Date]])</f>
        <v>8</v>
      </c>
      <c r="P877" s="6" t="str">
        <f ca="1">TEXT(financials[[#This Row],[Date]],"MMM")</f>
        <v>Aug</v>
      </c>
      <c r="Q877">
        <f ca="1">YEAR(financials[[#This Row],[Date]])</f>
        <v>2024</v>
      </c>
    </row>
    <row r="878" spans="1:17" x14ac:dyDescent="0.3">
      <c r="A878" t="s">
        <v>21</v>
      </c>
      <c r="B878" t="s">
        <v>23</v>
      </c>
      <c r="C878" s="6" t="s">
        <v>24</v>
      </c>
      <c r="D878" s="6" t="str">
        <f>CONCATENATE(financials[[#This Row],[Segment]],",",financials[[#This Row],[Country]],",",financials[[#This Row],[Product]])</f>
        <v>Midmarket,Mexico,Montana</v>
      </c>
      <c r="E878" s="6" t="s">
        <v>32</v>
      </c>
      <c r="F878">
        <f t="shared" ca="1" si="26"/>
        <v>88</v>
      </c>
      <c r="G878" s="1">
        <f ca="1">VLOOKUP(financials[[#This Row],[ID]],Prices!D:F,2,FALSE)</f>
        <v>19</v>
      </c>
      <c r="H878" s="1">
        <f ca="1">VLOOKUP(financials[[#This Row],[ID]],Prices!D:F,3,FALSE)</f>
        <v>17</v>
      </c>
      <c r="I878" s="1">
        <f ca="1">financials[[#This Row],[Units Sold]]*financials[[#This Row],[Sale Price]]</f>
        <v>1496</v>
      </c>
      <c r="J8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74.8</v>
      </c>
      <c r="K878" s="1">
        <f ca="1">financials[[#This Row],[Gross Sales]]-financials[[#This Row],[Discounts]]</f>
        <v>1421.2</v>
      </c>
      <c r="L878" s="1">
        <f ca="1">financials[[#This Row],[Units Sold]]*financials[[#This Row],[Manufacturing Price]]</f>
        <v>1672</v>
      </c>
      <c r="M878" s="1">
        <f ca="1">financials[[#This Row],[Sales]]-financials[[#This Row],[COGS]]</f>
        <v>-250.79999999999995</v>
      </c>
      <c r="N878" s="7">
        <f t="shared" ca="1" si="27"/>
        <v>45622</v>
      </c>
      <c r="O878" s="8">
        <f ca="1">MONTH(financials[[#This Row],[Date]])</f>
        <v>11</v>
      </c>
      <c r="P878" s="6" t="str">
        <f ca="1">TEXT(financials[[#This Row],[Date]],"MMM")</f>
        <v>Nov</v>
      </c>
      <c r="Q878">
        <f ca="1">YEAR(financials[[#This Row],[Date]])</f>
        <v>2024</v>
      </c>
    </row>
    <row r="879" spans="1:17" x14ac:dyDescent="0.3">
      <c r="A879" t="s">
        <v>21</v>
      </c>
      <c r="B879" t="s">
        <v>23</v>
      </c>
      <c r="C879" s="6" t="s">
        <v>28</v>
      </c>
      <c r="D879" s="6" t="str">
        <f>CONCATENATE(financials[[#This Row],[Segment]],",",financials[[#This Row],[Country]],",",financials[[#This Row],[Product]])</f>
        <v>Midmarket,Mexico,Paseo</v>
      </c>
      <c r="E879" s="6" t="s">
        <v>32</v>
      </c>
      <c r="F879">
        <f t="shared" ca="1" si="26"/>
        <v>192</v>
      </c>
      <c r="G879" s="1">
        <f ca="1">VLOOKUP(financials[[#This Row],[ID]],Prices!D:F,2,FALSE)</f>
        <v>11</v>
      </c>
      <c r="H879" s="1">
        <f ca="1">VLOOKUP(financials[[#This Row],[ID]],Prices!D:F,3,FALSE)</f>
        <v>21</v>
      </c>
      <c r="I879" s="1">
        <f ca="1">financials[[#This Row],[Units Sold]]*financials[[#This Row],[Sale Price]]</f>
        <v>4032</v>
      </c>
      <c r="J8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201.60000000000002</v>
      </c>
      <c r="K879" s="1">
        <f ca="1">financials[[#This Row],[Gross Sales]]-financials[[#This Row],[Discounts]]</f>
        <v>3830.4</v>
      </c>
      <c r="L879" s="1">
        <f ca="1">financials[[#This Row],[Units Sold]]*financials[[#This Row],[Manufacturing Price]]</f>
        <v>2112</v>
      </c>
      <c r="M879" s="1">
        <f ca="1">financials[[#This Row],[Sales]]-financials[[#This Row],[COGS]]</f>
        <v>1718.4</v>
      </c>
      <c r="N879" s="7">
        <f t="shared" ca="1" si="27"/>
        <v>45309</v>
      </c>
      <c r="O879" s="8">
        <f ca="1">MONTH(financials[[#This Row],[Date]])</f>
        <v>1</v>
      </c>
      <c r="P879" s="6" t="str">
        <f ca="1">TEXT(financials[[#This Row],[Date]],"MMM")</f>
        <v>Jan</v>
      </c>
      <c r="Q879">
        <f ca="1">YEAR(financials[[#This Row],[Date]])</f>
        <v>2024</v>
      </c>
    </row>
    <row r="880" spans="1:17" x14ac:dyDescent="0.3">
      <c r="A880" t="s">
        <v>21</v>
      </c>
      <c r="B880" t="s">
        <v>22</v>
      </c>
      <c r="C880" s="6" t="s">
        <v>28</v>
      </c>
      <c r="D880" s="6" t="str">
        <f>CONCATENATE(financials[[#This Row],[Segment]],",",financials[[#This Row],[Country]],",",financials[[#This Row],[Product]])</f>
        <v>Midmarket,France,Paseo</v>
      </c>
      <c r="E880" s="6" t="s">
        <v>32</v>
      </c>
      <c r="F880">
        <f t="shared" ca="1" si="26"/>
        <v>582</v>
      </c>
      <c r="G880" s="1">
        <f ca="1">VLOOKUP(financials[[#This Row],[ID]],Prices!D:F,2,FALSE)</f>
        <v>20</v>
      </c>
      <c r="H880" s="1">
        <f ca="1">VLOOKUP(financials[[#This Row],[ID]],Prices!D:F,3,FALSE)</f>
        <v>38</v>
      </c>
      <c r="I880" s="1">
        <f ca="1">financials[[#This Row],[Units Sold]]*financials[[#This Row],[Sale Price]]</f>
        <v>22116</v>
      </c>
      <c r="J8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1105.8</v>
      </c>
      <c r="K880" s="1">
        <f ca="1">financials[[#This Row],[Gross Sales]]-financials[[#This Row],[Discounts]]</f>
        <v>21010.2</v>
      </c>
      <c r="L880" s="1">
        <f ca="1">financials[[#This Row],[Units Sold]]*financials[[#This Row],[Manufacturing Price]]</f>
        <v>11640</v>
      </c>
      <c r="M880" s="1">
        <f ca="1">financials[[#This Row],[Sales]]-financials[[#This Row],[COGS]]</f>
        <v>9370.2000000000007</v>
      </c>
      <c r="N880" s="7">
        <f t="shared" ca="1" si="27"/>
        <v>45753</v>
      </c>
      <c r="O880" s="8">
        <f ca="1">MONTH(financials[[#This Row],[Date]])</f>
        <v>4</v>
      </c>
      <c r="P880" s="6" t="str">
        <f ca="1">TEXT(financials[[#This Row],[Date]],"MMM")</f>
        <v>Apr</v>
      </c>
      <c r="Q880">
        <f ca="1">YEAR(financials[[#This Row],[Date]])</f>
        <v>2025</v>
      </c>
    </row>
    <row r="881" spans="1:17" x14ac:dyDescent="0.3">
      <c r="A881" t="s">
        <v>16</v>
      </c>
      <c r="B881" t="s">
        <v>36</v>
      </c>
      <c r="C881" s="6" t="s">
        <v>29</v>
      </c>
      <c r="D881" s="6" t="str">
        <f>CONCATENATE(financials[[#This Row],[Segment]],",",financials[[#This Row],[Country]],",",financials[[#This Row],[Product]])</f>
        <v>Government,USA,Velo</v>
      </c>
      <c r="E881" s="6" t="s">
        <v>32</v>
      </c>
      <c r="F881">
        <f t="shared" ca="1" si="26"/>
        <v>592</v>
      </c>
      <c r="G881" s="1">
        <f ca="1">VLOOKUP(financials[[#This Row],[ID]],Prices!D:F,2,FALSE)</f>
        <v>18</v>
      </c>
      <c r="H881" s="1">
        <f ca="1">VLOOKUP(financials[[#This Row],[ID]],Prices!D:F,3,FALSE)</f>
        <v>38</v>
      </c>
      <c r="I881" s="1">
        <f ca="1">financials[[#This Row],[Units Sold]]*financials[[#This Row],[Sale Price]]</f>
        <v>22496</v>
      </c>
      <c r="J8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1124.8</v>
      </c>
      <c r="K881" s="1">
        <f ca="1">financials[[#This Row],[Gross Sales]]-financials[[#This Row],[Discounts]]</f>
        <v>21371.200000000001</v>
      </c>
      <c r="L881" s="1">
        <f ca="1">financials[[#This Row],[Units Sold]]*financials[[#This Row],[Manufacturing Price]]</f>
        <v>10656</v>
      </c>
      <c r="M881" s="1">
        <f ca="1">financials[[#This Row],[Sales]]-financials[[#This Row],[COGS]]</f>
        <v>10715.2</v>
      </c>
      <c r="N881" s="7">
        <f t="shared" ca="1" si="27"/>
        <v>45700</v>
      </c>
      <c r="O881" s="8">
        <f ca="1">MONTH(financials[[#This Row],[Date]])</f>
        <v>2</v>
      </c>
      <c r="P881" s="6" t="str">
        <f ca="1">TEXT(financials[[#This Row],[Date]],"MMM")</f>
        <v>Feb</v>
      </c>
      <c r="Q881">
        <f ca="1">YEAR(financials[[#This Row],[Date]])</f>
        <v>2025</v>
      </c>
    </row>
    <row r="882" spans="1:17" x14ac:dyDescent="0.3">
      <c r="A882" t="s">
        <v>16</v>
      </c>
      <c r="B882" t="s">
        <v>17</v>
      </c>
      <c r="C882" s="6" t="s">
        <v>18</v>
      </c>
      <c r="D882" s="6" t="str">
        <f>CONCATENATE(financials[[#This Row],[Segment]],",",financials[[#This Row],[Country]],",",financials[[#This Row],[Product]])</f>
        <v>Government,Canada,Carretera</v>
      </c>
      <c r="E882" s="6" t="s">
        <v>32</v>
      </c>
      <c r="F882">
        <f t="shared" ca="1" si="26"/>
        <v>695</v>
      </c>
      <c r="G882" s="1">
        <f ca="1">VLOOKUP(financials[[#This Row],[ID]],Prices!D:F,2,FALSE)</f>
        <v>20</v>
      </c>
      <c r="H882" s="1">
        <f ca="1">VLOOKUP(financials[[#This Row],[ID]],Prices!D:F,3,FALSE)</f>
        <v>29</v>
      </c>
      <c r="I882" s="1">
        <f ca="1">financials[[#This Row],[Units Sold]]*financials[[#This Row],[Sale Price]]</f>
        <v>20155</v>
      </c>
      <c r="J8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1007.75</v>
      </c>
      <c r="K882" s="1">
        <f ca="1">financials[[#This Row],[Gross Sales]]-financials[[#This Row],[Discounts]]</f>
        <v>19147.25</v>
      </c>
      <c r="L882" s="1">
        <f ca="1">financials[[#This Row],[Units Sold]]*financials[[#This Row],[Manufacturing Price]]</f>
        <v>13900</v>
      </c>
      <c r="M882" s="1">
        <f ca="1">financials[[#This Row],[Sales]]-financials[[#This Row],[COGS]]</f>
        <v>5247.25</v>
      </c>
      <c r="N882" s="7">
        <f t="shared" ca="1" si="27"/>
        <v>45727</v>
      </c>
      <c r="O882" s="8">
        <f ca="1">MONTH(financials[[#This Row],[Date]])</f>
        <v>3</v>
      </c>
      <c r="P882" s="6" t="str">
        <f ca="1">TEXT(financials[[#This Row],[Date]],"MMM")</f>
        <v>Mar</v>
      </c>
      <c r="Q882">
        <f ca="1">YEAR(financials[[#This Row],[Date]])</f>
        <v>2025</v>
      </c>
    </row>
    <row r="883" spans="1:17" x14ac:dyDescent="0.3">
      <c r="A883" t="s">
        <v>27</v>
      </c>
      <c r="B883" t="s">
        <v>20</v>
      </c>
      <c r="C883" s="6" t="s">
        <v>18</v>
      </c>
      <c r="D883" s="6" t="str">
        <f>CONCATENATE(financials[[#This Row],[Segment]],",",financials[[#This Row],[Country]],",",financials[[#This Row],[Product]])</f>
        <v>Small Business,Germany,Carretera</v>
      </c>
      <c r="E883" s="6" t="s">
        <v>32</v>
      </c>
      <c r="F883">
        <f t="shared" ca="1" si="26"/>
        <v>176</v>
      </c>
      <c r="G883" s="1">
        <f ca="1">VLOOKUP(financials[[#This Row],[ID]],Prices!D:F,2,FALSE)</f>
        <v>20</v>
      </c>
      <c r="H883" s="1">
        <f ca="1">VLOOKUP(financials[[#This Row],[ID]],Prices!D:F,3,FALSE)</f>
        <v>30</v>
      </c>
      <c r="I883" s="1">
        <f ca="1">financials[[#This Row],[Units Sold]]*financials[[#This Row],[Sale Price]]</f>
        <v>5280</v>
      </c>
      <c r="J8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264</v>
      </c>
      <c r="K883" s="1">
        <f ca="1">financials[[#This Row],[Gross Sales]]-financials[[#This Row],[Discounts]]</f>
        <v>5016</v>
      </c>
      <c r="L883" s="1">
        <f ca="1">financials[[#This Row],[Units Sold]]*financials[[#This Row],[Manufacturing Price]]</f>
        <v>3520</v>
      </c>
      <c r="M883" s="1">
        <f ca="1">financials[[#This Row],[Sales]]-financials[[#This Row],[COGS]]</f>
        <v>1496</v>
      </c>
      <c r="N883" s="7">
        <f t="shared" ca="1" si="27"/>
        <v>45034</v>
      </c>
      <c r="O883" s="8">
        <f ca="1">MONTH(financials[[#This Row],[Date]])</f>
        <v>4</v>
      </c>
      <c r="P883" s="6" t="str">
        <f ca="1">TEXT(financials[[#This Row],[Date]],"MMM")</f>
        <v>Apr</v>
      </c>
      <c r="Q883">
        <f ca="1">YEAR(financials[[#This Row],[Date]])</f>
        <v>2023</v>
      </c>
    </row>
    <row r="884" spans="1:17" x14ac:dyDescent="0.3">
      <c r="A884" t="s">
        <v>16</v>
      </c>
      <c r="B884" t="s">
        <v>36</v>
      </c>
      <c r="C884" s="6" t="s">
        <v>18</v>
      </c>
      <c r="D884" s="6" t="str">
        <f>CONCATENATE(financials[[#This Row],[Segment]],",",financials[[#This Row],[Country]],",",financials[[#This Row],[Product]])</f>
        <v>Government,USA,Carretera</v>
      </c>
      <c r="E884" s="6" t="s">
        <v>32</v>
      </c>
      <c r="F884">
        <f t="shared" ca="1" si="26"/>
        <v>670</v>
      </c>
      <c r="G884" s="1">
        <f ca="1">VLOOKUP(financials[[#This Row],[ID]],Prices!D:F,2,FALSE)</f>
        <v>11</v>
      </c>
      <c r="H884" s="1">
        <f ca="1">VLOOKUP(financials[[#This Row],[ID]],Prices!D:F,3,FALSE)</f>
        <v>21</v>
      </c>
      <c r="I884" s="1">
        <f ca="1">financials[[#This Row],[Units Sold]]*financials[[#This Row],[Sale Price]]</f>
        <v>14070</v>
      </c>
      <c r="J8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703.5</v>
      </c>
      <c r="K884" s="1">
        <f ca="1">financials[[#This Row],[Gross Sales]]-financials[[#This Row],[Discounts]]</f>
        <v>13366.5</v>
      </c>
      <c r="L884" s="1">
        <f ca="1">financials[[#This Row],[Units Sold]]*financials[[#This Row],[Manufacturing Price]]</f>
        <v>7370</v>
      </c>
      <c r="M884" s="1">
        <f ca="1">financials[[#This Row],[Sales]]-financials[[#This Row],[COGS]]</f>
        <v>5996.5</v>
      </c>
      <c r="N884" s="7">
        <f t="shared" ca="1" si="27"/>
        <v>45176</v>
      </c>
      <c r="O884" s="8">
        <f ca="1">MONTH(financials[[#This Row],[Date]])</f>
        <v>9</v>
      </c>
      <c r="P884" s="6" t="str">
        <f ca="1">TEXT(financials[[#This Row],[Date]],"MMM")</f>
        <v>Sep</v>
      </c>
      <c r="Q884">
        <f ca="1">YEAR(financials[[#This Row],[Date]])</f>
        <v>2023</v>
      </c>
    </row>
    <row r="885" spans="1:17" x14ac:dyDescent="0.3">
      <c r="A885" t="s">
        <v>21</v>
      </c>
      <c r="B885" t="s">
        <v>17</v>
      </c>
      <c r="C885" s="6" t="s">
        <v>24</v>
      </c>
      <c r="D885" s="6" t="str">
        <f>CONCATENATE(financials[[#This Row],[Segment]],",",financials[[#This Row],[Country]],",",financials[[#This Row],[Product]])</f>
        <v>Midmarket,Canada,Montana</v>
      </c>
      <c r="E885" s="6" t="s">
        <v>32</v>
      </c>
      <c r="F885">
        <f t="shared" ca="1" si="26"/>
        <v>977</v>
      </c>
      <c r="G885" s="1">
        <f ca="1">VLOOKUP(financials[[#This Row],[ID]],Prices!D:F,2,FALSE)</f>
        <v>14</v>
      </c>
      <c r="H885" s="1">
        <f ca="1">VLOOKUP(financials[[#This Row],[ID]],Prices!D:F,3,FALSE)</f>
        <v>37</v>
      </c>
      <c r="I885" s="1">
        <f ca="1">financials[[#This Row],[Units Sold]]*financials[[#This Row],[Sale Price]]</f>
        <v>36149</v>
      </c>
      <c r="J8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1807.45</v>
      </c>
      <c r="K885" s="1">
        <f ca="1">financials[[#This Row],[Gross Sales]]-financials[[#This Row],[Discounts]]</f>
        <v>34341.550000000003</v>
      </c>
      <c r="L885" s="1">
        <f ca="1">financials[[#This Row],[Units Sold]]*financials[[#This Row],[Manufacturing Price]]</f>
        <v>13678</v>
      </c>
      <c r="M885" s="1">
        <f ca="1">financials[[#This Row],[Sales]]-financials[[#This Row],[COGS]]</f>
        <v>20663.550000000003</v>
      </c>
      <c r="N885" s="7">
        <f t="shared" ca="1" si="27"/>
        <v>45515</v>
      </c>
      <c r="O885" s="8">
        <f ca="1">MONTH(financials[[#This Row],[Date]])</f>
        <v>8</v>
      </c>
      <c r="P885" s="6" t="str">
        <f ca="1">TEXT(financials[[#This Row],[Date]],"MMM")</f>
        <v>Aug</v>
      </c>
      <c r="Q885">
        <f ca="1">YEAR(financials[[#This Row],[Date]])</f>
        <v>2024</v>
      </c>
    </row>
    <row r="886" spans="1:17" x14ac:dyDescent="0.3">
      <c r="A886" t="s">
        <v>27</v>
      </c>
      <c r="B886" t="s">
        <v>20</v>
      </c>
      <c r="C886" s="6" t="s">
        <v>24</v>
      </c>
      <c r="D886" s="6" t="str">
        <f>CONCATENATE(financials[[#This Row],[Segment]],",",financials[[#This Row],[Country]],",",financials[[#This Row],[Product]])</f>
        <v>Small Business,Germany,Montana</v>
      </c>
      <c r="E886" s="6" t="s">
        <v>32</v>
      </c>
      <c r="F886">
        <f t="shared" ca="1" si="26"/>
        <v>616</v>
      </c>
      <c r="G886" s="1">
        <f ca="1">VLOOKUP(financials[[#This Row],[ID]],Prices!D:F,2,FALSE)</f>
        <v>18</v>
      </c>
      <c r="H886" s="1">
        <f ca="1">VLOOKUP(financials[[#This Row],[ID]],Prices!D:F,3,FALSE)</f>
        <v>35</v>
      </c>
      <c r="I886" s="1">
        <f ca="1">financials[[#This Row],[Units Sold]]*financials[[#This Row],[Sale Price]]</f>
        <v>21560</v>
      </c>
      <c r="J8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1078</v>
      </c>
      <c r="K886" s="1">
        <f ca="1">financials[[#This Row],[Gross Sales]]-financials[[#This Row],[Discounts]]</f>
        <v>20482</v>
      </c>
      <c r="L886" s="1">
        <f ca="1">financials[[#This Row],[Units Sold]]*financials[[#This Row],[Manufacturing Price]]</f>
        <v>11088</v>
      </c>
      <c r="M886" s="1">
        <f ca="1">financials[[#This Row],[Sales]]-financials[[#This Row],[COGS]]</f>
        <v>9394</v>
      </c>
      <c r="N886" s="7">
        <f t="shared" ca="1" si="27"/>
        <v>45582</v>
      </c>
      <c r="O886" s="8">
        <f ca="1">MONTH(financials[[#This Row],[Date]])</f>
        <v>10</v>
      </c>
      <c r="P886" s="6" t="str">
        <f ca="1">TEXT(financials[[#This Row],[Date]],"MMM")</f>
        <v>Oct</v>
      </c>
      <c r="Q886">
        <f ca="1">YEAR(financials[[#This Row],[Date]])</f>
        <v>2024</v>
      </c>
    </row>
    <row r="887" spans="1:17" x14ac:dyDescent="0.3">
      <c r="A887" t="s">
        <v>16</v>
      </c>
      <c r="B887" t="s">
        <v>17</v>
      </c>
      <c r="C887" s="6" t="s">
        <v>24</v>
      </c>
      <c r="D887" s="6" t="str">
        <f>CONCATENATE(financials[[#This Row],[Segment]],",",financials[[#This Row],[Country]],",",financials[[#This Row],[Product]])</f>
        <v>Government,Canada,Montana</v>
      </c>
      <c r="E887" s="6" t="s">
        <v>32</v>
      </c>
      <c r="F887">
        <f t="shared" ca="1" si="26"/>
        <v>314</v>
      </c>
      <c r="G887" s="1">
        <f ca="1">VLOOKUP(financials[[#This Row],[ID]],Prices!D:F,2,FALSE)</f>
        <v>12</v>
      </c>
      <c r="H887" s="1">
        <f ca="1">VLOOKUP(financials[[#This Row],[ID]],Prices!D:F,3,FALSE)</f>
        <v>30</v>
      </c>
      <c r="I887" s="1">
        <f ca="1">financials[[#This Row],[Units Sold]]*financials[[#This Row],[Sale Price]]</f>
        <v>9420</v>
      </c>
      <c r="J8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471</v>
      </c>
      <c r="K887" s="1">
        <f ca="1">financials[[#This Row],[Gross Sales]]-financials[[#This Row],[Discounts]]</f>
        <v>8949</v>
      </c>
      <c r="L887" s="1">
        <f ca="1">financials[[#This Row],[Units Sold]]*financials[[#This Row],[Manufacturing Price]]</f>
        <v>3768</v>
      </c>
      <c r="M887" s="1">
        <f ca="1">financials[[#This Row],[Sales]]-financials[[#This Row],[COGS]]</f>
        <v>5181</v>
      </c>
      <c r="N887" s="7">
        <f t="shared" ca="1" si="27"/>
        <v>45407</v>
      </c>
      <c r="O887" s="8">
        <f ca="1">MONTH(financials[[#This Row],[Date]])</f>
        <v>4</v>
      </c>
      <c r="P887" s="6" t="str">
        <f ca="1">TEXT(financials[[#This Row],[Date]],"MMM")</f>
        <v>Apr</v>
      </c>
      <c r="Q887">
        <f ca="1">YEAR(financials[[#This Row],[Date]])</f>
        <v>2024</v>
      </c>
    </row>
    <row r="888" spans="1:17" x14ac:dyDescent="0.3">
      <c r="A888" t="s">
        <v>27</v>
      </c>
      <c r="B888" t="s">
        <v>20</v>
      </c>
      <c r="C888" s="6" t="s">
        <v>24</v>
      </c>
      <c r="D888" s="6" t="str">
        <f>CONCATENATE(financials[[#This Row],[Segment]],",",financials[[#This Row],[Country]],",",financials[[#This Row],[Product]])</f>
        <v>Small Business,Germany,Montana</v>
      </c>
      <c r="E888" s="6" t="s">
        <v>32</v>
      </c>
      <c r="F888">
        <f t="shared" ca="1" si="26"/>
        <v>486</v>
      </c>
      <c r="G888" s="1">
        <f ca="1">VLOOKUP(financials[[#This Row],[ID]],Prices!D:F,2,FALSE)</f>
        <v>18</v>
      </c>
      <c r="H888" s="1">
        <f ca="1">VLOOKUP(financials[[#This Row],[ID]],Prices!D:F,3,FALSE)</f>
        <v>35</v>
      </c>
      <c r="I888" s="1">
        <f ca="1">financials[[#This Row],[Units Sold]]*financials[[#This Row],[Sale Price]]</f>
        <v>17010</v>
      </c>
      <c r="J8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850.5</v>
      </c>
      <c r="K888" s="1">
        <f ca="1">financials[[#This Row],[Gross Sales]]-financials[[#This Row],[Discounts]]</f>
        <v>16159.5</v>
      </c>
      <c r="L888" s="1">
        <f ca="1">financials[[#This Row],[Units Sold]]*financials[[#This Row],[Manufacturing Price]]</f>
        <v>8748</v>
      </c>
      <c r="M888" s="1">
        <f ca="1">financials[[#This Row],[Sales]]-financials[[#This Row],[COGS]]</f>
        <v>7411.5</v>
      </c>
      <c r="N888" s="7">
        <f t="shared" ca="1" si="27"/>
        <v>45350</v>
      </c>
      <c r="O888" s="8">
        <f ca="1">MONTH(financials[[#This Row],[Date]])</f>
        <v>2</v>
      </c>
      <c r="P888" s="6" t="str">
        <f ca="1">TEXT(financials[[#This Row],[Date]],"MMM")</f>
        <v>Feb</v>
      </c>
      <c r="Q888">
        <f ca="1">YEAR(financials[[#This Row],[Date]])</f>
        <v>2024</v>
      </c>
    </row>
    <row r="889" spans="1:17" x14ac:dyDescent="0.3">
      <c r="A889" t="s">
        <v>26</v>
      </c>
      <c r="B889" t="s">
        <v>23</v>
      </c>
      <c r="C889" s="6" t="s">
        <v>24</v>
      </c>
      <c r="D889" s="6" t="str">
        <f>CONCATENATE(financials[[#This Row],[Segment]],",",financials[[#This Row],[Country]],",",financials[[#This Row],[Product]])</f>
        <v>Enterprise,Mexico,Montana</v>
      </c>
      <c r="E889" s="6" t="s">
        <v>32</v>
      </c>
      <c r="F889">
        <f t="shared" ca="1" si="26"/>
        <v>348</v>
      </c>
      <c r="G889" s="1">
        <f ca="1">VLOOKUP(financials[[#This Row],[ID]],Prices!D:F,2,FALSE)</f>
        <v>10</v>
      </c>
      <c r="H889" s="1">
        <f ca="1">VLOOKUP(financials[[#This Row],[ID]],Prices!D:F,3,FALSE)</f>
        <v>31</v>
      </c>
      <c r="I889" s="1">
        <f ca="1">financials[[#This Row],[Units Sold]]*financials[[#This Row],[Sale Price]]</f>
        <v>10788</v>
      </c>
      <c r="J8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539.4</v>
      </c>
      <c r="K889" s="1">
        <f ca="1">financials[[#This Row],[Gross Sales]]-financials[[#This Row],[Discounts]]</f>
        <v>10248.6</v>
      </c>
      <c r="L889" s="1">
        <f ca="1">financials[[#This Row],[Units Sold]]*financials[[#This Row],[Manufacturing Price]]</f>
        <v>3480</v>
      </c>
      <c r="M889" s="1">
        <f ca="1">financials[[#This Row],[Sales]]-financials[[#This Row],[COGS]]</f>
        <v>6768.6</v>
      </c>
      <c r="N889" s="7">
        <f t="shared" ca="1" si="27"/>
        <v>45690</v>
      </c>
      <c r="O889" s="8">
        <f ca="1">MONTH(financials[[#This Row],[Date]])</f>
        <v>2</v>
      </c>
      <c r="P889" s="6" t="str">
        <f ca="1">TEXT(financials[[#This Row],[Date]],"MMM")</f>
        <v>Feb</v>
      </c>
      <c r="Q889">
        <f ca="1">YEAR(financials[[#This Row],[Date]])</f>
        <v>2025</v>
      </c>
    </row>
    <row r="890" spans="1:17" x14ac:dyDescent="0.3">
      <c r="A890" t="s">
        <v>16</v>
      </c>
      <c r="B890" t="s">
        <v>17</v>
      </c>
      <c r="C890" s="6" t="s">
        <v>28</v>
      </c>
      <c r="D890" s="6" t="str">
        <f>CONCATENATE(financials[[#This Row],[Segment]],",",financials[[#This Row],[Country]],",",financials[[#This Row],[Product]])</f>
        <v>Government,Canada,Paseo</v>
      </c>
      <c r="E890" s="6" t="s">
        <v>32</v>
      </c>
      <c r="F890">
        <f t="shared" ca="1" si="26"/>
        <v>72</v>
      </c>
      <c r="G890" s="1">
        <f ca="1">VLOOKUP(financials[[#This Row],[ID]],Prices!D:F,2,FALSE)</f>
        <v>10</v>
      </c>
      <c r="H890" s="1">
        <f ca="1">VLOOKUP(financials[[#This Row],[ID]],Prices!D:F,3,FALSE)</f>
        <v>23</v>
      </c>
      <c r="I890" s="1">
        <f ca="1">financials[[#This Row],[Units Sold]]*financials[[#This Row],[Sale Price]]</f>
        <v>1656</v>
      </c>
      <c r="J8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82.800000000000011</v>
      </c>
      <c r="K890" s="1">
        <f ca="1">financials[[#This Row],[Gross Sales]]-financials[[#This Row],[Discounts]]</f>
        <v>1573.2</v>
      </c>
      <c r="L890" s="1">
        <f ca="1">financials[[#This Row],[Units Sold]]*financials[[#This Row],[Manufacturing Price]]</f>
        <v>720</v>
      </c>
      <c r="M890" s="1">
        <f ca="1">financials[[#This Row],[Sales]]-financials[[#This Row],[COGS]]</f>
        <v>853.2</v>
      </c>
      <c r="N890" s="7">
        <f t="shared" ca="1" si="27"/>
        <v>45341</v>
      </c>
      <c r="O890" s="8">
        <f ca="1">MONTH(financials[[#This Row],[Date]])</f>
        <v>2</v>
      </c>
      <c r="P890" s="6" t="str">
        <f ca="1">TEXT(financials[[#This Row],[Date]],"MMM")</f>
        <v>Feb</v>
      </c>
      <c r="Q890">
        <f ca="1">YEAR(financials[[#This Row],[Date]])</f>
        <v>2024</v>
      </c>
    </row>
    <row r="891" spans="1:17" x14ac:dyDescent="0.3">
      <c r="A891" t="s">
        <v>26</v>
      </c>
      <c r="B891" t="s">
        <v>20</v>
      </c>
      <c r="C891" s="6" t="s">
        <v>28</v>
      </c>
      <c r="D891" s="6" t="str">
        <f>CONCATENATE(financials[[#This Row],[Segment]],",",financials[[#This Row],[Country]],",",financials[[#This Row],[Product]])</f>
        <v>Enterprise,Germany,Paseo</v>
      </c>
      <c r="E891" s="6" t="s">
        <v>32</v>
      </c>
      <c r="F891">
        <f t="shared" ca="1" si="26"/>
        <v>486</v>
      </c>
      <c r="G891" s="1">
        <f ca="1">VLOOKUP(financials[[#This Row],[ID]],Prices!D:F,2,FALSE)</f>
        <v>14</v>
      </c>
      <c r="H891" s="1">
        <f ca="1">VLOOKUP(financials[[#This Row],[ID]],Prices!D:F,3,FALSE)</f>
        <v>18</v>
      </c>
      <c r="I891" s="1">
        <f ca="1">financials[[#This Row],[Units Sold]]*financials[[#This Row],[Sale Price]]</f>
        <v>8748</v>
      </c>
      <c r="J8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437.40000000000003</v>
      </c>
      <c r="K891" s="1">
        <f ca="1">financials[[#This Row],[Gross Sales]]-financials[[#This Row],[Discounts]]</f>
        <v>8310.6</v>
      </c>
      <c r="L891" s="1">
        <f ca="1">financials[[#This Row],[Units Sold]]*financials[[#This Row],[Manufacturing Price]]</f>
        <v>6804</v>
      </c>
      <c r="M891" s="1">
        <f ca="1">financials[[#This Row],[Sales]]-financials[[#This Row],[COGS]]</f>
        <v>1506.6000000000004</v>
      </c>
      <c r="N891" s="7">
        <f t="shared" ca="1" si="27"/>
        <v>45222</v>
      </c>
      <c r="O891" s="8">
        <f ca="1">MONTH(financials[[#This Row],[Date]])</f>
        <v>10</v>
      </c>
      <c r="P891" s="6" t="str">
        <f ca="1">TEXT(financials[[#This Row],[Date]],"MMM")</f>
        <v>Oct</v>
      </c>
      <c r="Q891">
        <f ca="1">YEAR(financials[[#This Row],[Date]])</f>
        <v>2023</v>
      </c>
    </row>
    <row r="892" spans="1:17" x14ac:dyDescent="0.3">
      <c r="A892" t="s">
        <v>27</v>
      </c>
      <c r="B892" t="s">
        <v>20</v>
      </c>
      <c r="C892" s="6" t="s">
        <v>28</v>
      </c>
      <c r="D892" s="6" t="str">
        <f>CONCATENATE(financials[[#This Row],[Segment]],",",financials[[#This Row],[Country]],",",financials[[#This Row],[Product]])</f>
        <v>Small Business,Germany,Paseo</v>
      </c>
      <c r="E892" s="6" t="s">
        <v>32</v>
      </c>
      <c r="F892">
        <f t="shared" ca="1" si="26"/>
        <v>861</v>
      </c>
      <c r="G892" s="1">
        <f ca="1">VLOOKUP(financials[[#This Row],[ID]],Prices!D:F,2,FALSE)</f>
        <v>19</v>
      </c>
      <c r="H892" s="1">
        <f ca="1">VLOOKUP(financials[[#This Row],[ID]],Prices!D:F,3,FALSE)</f>
        <v>25</v>
      </c>
      <c r="I892" s="1">
        <f ca="1">financials[[#This Row],[Units Sold]]*financials[[#This Row],[Sale Price]]</f>
        <v>21525</v>
      </c>
      <c r="J8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1076.25</v>
      </c>
      <c r="K892" s="1">
        <f ca="1">financials[[#This Row],[Gross Sales]]-financials[[#This Row],[Discounts]]</f>
        <v>20448.75</v>
      </c>
      <c r="L892" s="1">
        <f ca="1">financials[[#This Row],[Units Sold]]*financials[[#This Row],[Manufacturing Price]]</f>
        <v>16359</v>
      </c>
      <c r="M892" s="1">
        <f ca="1">financials[[#This Row],[Sales]]-financials[[#This Row],[COGS]]</f>
        <v>4089.75</v>
      </c>
      <c r="N892" s="7">
        <f t="shared" ca="1" si="27"/>
        <v>45200</v>
      </c>
      <c r="O892" s="8">
        <f ca="1">MONTH(financials[[#This Row],[Date]])</f>
        <v>10</v>
      </c>
      <c r="P892" s="6" t="str">
        <f ca="1">TEXT(financials[[#This Row],[Date]],"MMM")</f>
        <v>Oct</v>
      </c>
      <c r="Q892">
        <f ca="1">YEAR(financials[[#This Row],[Date]])</f>
        <v>2023</v>
      </c>
    </row>
    <row r="893" spans="1:17" x14ac:dyDescent="0.3">
      <c r="A893" t="s">
        <v>27</v>
      </c>
      <c r="B893" t="s">
        <v>36</v>
      </c>
      <c r="C893" s="6" t="s">
        <v>28</v>
      </c>
      <c r="D893" s="6" t="str">
        <f>CONCATENATE(financials[[#This Row],[Segment]],",",financials[[#This Row],[Country]],",",financials[[#This Row],[Product]])</f>
        <v>Small Business,USA,Paseo</v>
      </c>
      <c r="E893" s="6" t="s">
        <v>32</v>
      </c>
      <c r="F893">
        <f t="shared" ca="1" si="26"/>
        <v>306</v>
      </c>
      <c r="G893" s="1">
        <f ca="1">VLOOKUP(financials[[#This Row],[ID]],Prices!D:F,2,FALSE)</f>
        <v>17</v>
      </c>
      <c r="H893" s="1">
        <f ca="1">VLOOKUP(financials[[#This Row],[ID]],Prices!D:F,3,FALSE)</f>
        <v>23</v>
      </c>
      <c r="I893" s="1">
        <f ca="1">financials[[#This Row],[Units Sold]]*financials[[#This Row],[Sale Price]]</f>
        <v>7038</v>
      </c>
      <c r="J8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351.90000000000003</v>
      </c>
      <c r="K893" s="1">
        <f ca="1">financials[[#This Row],[Gross Sales]]-financials[[#This Row],[Discounts]]</f>
        <v>6686.1</v>
      </c>
      <c r="L893" s="1">
        <f ca="1">financials[[#This Row],[Units Sold]]*financials[[#This Row],[Manufacturing Price]]</f>
        <v>5202</v>
      </c>
      <c r="M893" s="1">
        <f ca="1">financials[[#This Row],[Sales]]-financials[[#This Row],[COGS]]</f>
        <v>1484.1000000000004</v>
      </c>
      <c r="N893" s="7">
        <f t="shared" ca="1" si="27"/>
        <v>45562</v>
      </c>
      <c r="O893" s="8">
        <f ca="1">MONTH(financials[[#This Row],[Date]])</f>
        <v>9</v>
      </c>
      <c r="P893" s="6" t="str">
        <f ca="1">TEXT(financials[[#This Row],[Date]],"MMM")</f>
        <v>Sep</v>
      </c>
      <c r="Q893">
        <f ca="1">YEAR(financials[[#This Row],[Date]])</f>
        <v>2024</v>
      </c>
    </row>
    <row r="894" spans="1:17" x14ac:dyDescent="0.3">
      <c r="A894" t="s">
        <v>16</v>
      </c>
      <c r="B894" t="s">
        <v>36</v>
      </c>
      <c r="C894" s="6" t="s">
        <v>28</v>
      </c>
      <c r="D894" s="6" t="str">
        <f>CONCATENATE(financials[[#This Row],[Segment]],",",financials[[#This Row],[Country]],",",financials[[#This Row],[Product]])</f>
        <v>Government,USA,Paseo</v>
      </c>
      <c r="E894" s="6" t="s">
        <v>32</v>
      </c>
      <c r="F894">
        <f t="shared" ca="1" si="26"/>
        <v>739</v>
      </c>
      <c r="G894" s="1">
        <f ca="1">VLOOKUP(financials[[#This Row],[ID]],Prices!D:F,2,FALSE)</f>
        <v>17</v>
      </c>
      <c r="H894" s="1">
        <f ca="1">VLOOKUP(financials[[#This Row],[ID]],Prices!D:F,3,FALSE)</f>
        <v>36</v>
      </c>
      <c r="I894" s="1">
        <f ca="1">financials[[#This Row],[Units Sold]]*financials[[#This Row],[Sale Price]]</f>
        <v>26604</v>
      </c>
      <c r="J8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1330.2</v>
      </c>
      <c r="K894" s="1">
        <f ca="1">financials[[#This Row],[Gross Sales]]-financials[[#This Row],[Discounts]]</f>
        <v>25273.8</v>
      </c>
      <c r="L894" s="1">
        <f ca="1">financials[[#This Row],[Units Sold]]*financials[[#This Row],[Manufacturing Price]]</f>
        <v>12563</v>
      </c>
      <c r="M894" s="1">
        <f ca="1">financials[[#This Row],[Sales]]-financials[[#This Row],[COGS]]</f>
        <v>12710.8</v>
      </c>
      <c r="N894" s="7">
        <f t="shared" ca="1" si="27"/>
        <v>45111</v>
      </c>
      <c r="O894" s="8">
        <f ca="1">MONTH(financials[[#This Row],[Date]])</f>
        <v>7</v>
      </c>
      <c r="P894" s="6" t="str">
        <f ca="1">TEXT(financials[[#This Row],[Date]],"MMM")</f>
        <v>Jul</v>
      </c>
      <c r="Q894">
        <f ca="1">YEAR(financials[[#This Row],[Date]])</f>
        <v>2023</v>
      </c>
    </row>
    <row r="895" spans="1:17" x14ac:dyDescent="0.3">
      <c r="A895" t="s">
        <v>26</v>
      </c>
      <c r="B895" t="s">
        <v>22</v>
      </c>
      <c r="C895" s="6" t="s">
        <v>28</v>
      </c>
      <c r="D895" s="6" t="str">
        <f>CONCATENATE(financials[[#This Row],[Segment]],",",financials[[#This Row],[Country]],",",financials[[#This Row],[Product]])</f>
        <v>Enterprise,France,Paseo</v>
      </c>
      <c r="E895" s="6" t="s">
        <v>32</v>
      </c>
      <c r="F895">
        <f t="shared" ca="1" si="26"/>
        <v>342</v>
      </c>
      <c r="G895" s="1">
        <f ca="1">VLOOKUP(financials[[#This Row],[ID]],Prices!D:F,2,FALSE)</f>
        <v>11</v>
      </c>
      <c r="H895" s="1">
        <f ca="1">VLOOKUP(financials[[#This Row],[ID]],Prices!D:F,3,FALSE)</f>
        <v>21</v>
      </c>
      <c r="I895" s="1">
        <f ca="1">financials[[#This Row],[Units Sold]]*financials[[#This Row],[Sale Price]]</f>
        <v>7182</v>
      </c>
      <c r="J8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359.1</v>
      </c>
      <c r="K895" s="1">
        <f ca="1">financials[[#This Row],[Gross Sales]]-financials[[#This Row],[Discounts]]</f>
        <v>6822.9</v>
      </c>
      <c r="L895" s="1">
        <f ca="1">financials[[#This Row],[Units Sold]]*financials[[#This Row],[Manufacturing Price]]</f>
        <v>3762</v>
      </c>
      <c r="M895" s="1">
        <f ca="1">financials[[#This Row],[Sales]]-financials[[#This Row],[COGS]]</f>
        <v>3060.8999999999996</v>
      </c>
      <c r="N895" s="7">
        <f t="shared" ca="1" si="27"/>
        <v>45183</v>
      </c>
      <c r="O895" s="8">
        <f ca="1">MONTH(financials[[#This Row],[Date]])</f>
        <v>9</v>
      </c>
      <c r="P895" s="6" t="str">
        <f ca="1">TEXT(financials[[#This Row],[Date]],"MMM")</f>
        <v>Sep</v>
      </c>
      <c r="Q895">
        <f ca="1">YEAR(financials[[#This Row],[Date]])</f>
        <v>2023</v>
      </c>
    </row>
    <row r="896" spans="1:17" x14ac:dyDescent="0.3">
      <c r="A896" t="s">
        <v>21</v>
      </c>
      <c r="B896" t="s">
        <v>17</v>
      </c>
      <c r="C896" s="6" t="s">
        <v>28</v>
      </c>
      <c r="D896" s="6" t="str">
        <f>CONCATENATE(financials[[#This Row],[Segment]],",",financials[[#This Row],[Country]],",",financials[[#This Row],[Product]])</f>
        <v>Midmarket,Canada,Paseo</v>
      </c>
      <c r="E896" s="6" t="s">
        <v>32</v>
      </c>
      <c r="F896">
        <f t="shared" ca="1" si="26"/>
        <v>830</v>
      </c>
      <c r="G896" s="1">
        <f ca="1">VLOOKUP(financials[[#This Row],[ID]],Prices!D:F,2,FALSE)</f>
        <v>15</v>
      </c>
      <c r="H896" s="1">
        <f ca="1">VLOOKUP(financials[[#This Row],[ID]],Prices!D:F,3,FALSE)</f>
        <v>36</v>
      </c>
      <c r="I896" s="1">
        <f ca="1">financials[[#This Row],[Units Sold]]*financials[[#This Row],[Sale Price]]</f>
        <v>29880</v>
      </c>
      <c r="J8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1494</v>
      </c>
      <c r="K896" s="1">
        <f ca="1">financials[[#This Row],[Gross Sales]]-financials[[#This Row],[Discounts]]</f>
        <v>28386</v>
      </c>
      <c r="L896" s="1">
        <f ca="1">financials[[#This Row],[Units Sold]]*financials[[#This Row],[Manufacturing Price]]</f>
        <v>12450</v>
      </c>
      <c r="M896" s="1">
        <f ca="1">financials[[#This Row],[Sales]]-financials[[#This Row],[COGS]]</f>
        <v>15936</v>
      </c>
      <c r="N896" s="7">
        <f t="shared" ca="1" si="27"/>
        <v>45402</v>
      </c>
      <c r="O896" s="8">
        <f ca="1">MONTH(financials[[#This Row],[Date]])</f>
        <v>4</v>
      </c>
      <c r="P896" s="6" t="str">
        <f ca="1">TEXT(financials[[#This Row],[Date]],"MMM")</f>
        <v>Apr</v>
      </c>
      <c r="Q896">
        <f ca="1">YEAR(financials[[#This Row],[Date]])</f>
        <v>2024</v>
      </c>
    </row>
    <row r="897" spans="1:17" x14ac:dyDescent="0.3">
      <c r="A897" t="s">
        <v>16</v>
      </c>
      <c r="B897" t="s">
        <v>17</v>
      </c>
      <c r="C897" s="6" t="s">
        <v>28</v>
      </c>
      <c r="D897" s="6" t="str">
        <f>CONCATENATE(financials[[#This Row],[Segment]],",",financials[[#This Row],[Country]],",",financials[[#This Row],[Product]])</f>
        <v>Government,Canada,Paseo</v>
      </c>
      <c r="E897" s="6" t="s">
        <v>32</v>
      </c>
      <c r="F897">
        <f t="shared" ca="1" si="26"/>
        <v>78</v>
      </c>
      <c r="G897" s="1">
        <f ca="1">VLOOKUP(financials[[#This Row],[ID]],Prices!D:F,2,FALSE)</f>
        <v>10</v>
      </c>
      <c r="H897" s="1">
        <f ca="1">VLOOKUP(financials[[#This Row],[ID]],Prices!D:F,3,FALSE)</f>
        <v>23</v>
      </c>
      <c r="I897" s="1">
        <f ca="1">financials[[#This Row],[Units Sold]]*financials[[#This Row],[Sale Price]]</f>
        <v>1794</v>
      </c>
      <c r="J8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89.7</v>
      </c>
      <c r="K897" s="1">
        <f ca="1">financials[[#This Row],[Gross Sales]]-financials[[#This Row],[Discounts]]</f>
        <v>1704.3</v>
      </c>
      <c r="L897" s="1">
        <f ca="1">financials[[#This Row],[Units Sold]]*financials[[#This Row],[Manufacturing Price]]</f>
        <v>780</v>
      </c>
      <c r="M897" s="1">
        <f ca="1">financials[[#This Row],[Sales]]-financials[[#This Row],[COGS]]</f>
        <v>924.3</v>
      </c>
      <c r="N897" s="7">
        <f t="shared" ca="1" si="27"/>
        <v>45339</v>
      </c>
      <c r="O897" s="8">
        <f ca="1">MONTH(financials[[#This Row],[Date]])</f>
        <v>2</v>
      </c>
      <c r="P897" s="6" t="str">
        <f ca="1">TEXT(financials[[#This Row],[Date]],"MMM")</f>
        <v>Feb</v>
      </c>
      <c r="Q897">
        <f ca="1">YEAR(financials[[#This Row],[Date]])</f>
        <v>2024</v>
      </c>
    </row>
    <row r="898" spans="1:17" x14ac:dyDescent="0.3">
      <c r="A898" t="s">
        <v>16</v>
      </c>
      <c r="B898" t="s">
        <v>36</v>
      </c>
      <c r="C898" s="6" t="s">
        <v>28</v>
      </c>
      <c r="D898" s="6" t="str">
        <f>CONCATENATE(financials[[#This Row],[Segment]],",",financials[[#This Row],[Country]],",",financials[[#This Row],[Product]])</f>
        <v>Government,USA,Paseo</v>
      </c>
      <c r="E898" s="6" t="s">
        <v>32</v>
      </c>
      <c r="F898">
        <f t="shared" ca="1" si="26"/>
        <v>344</v>
      </c>
      <c r="G898" s="1">
        <f ca="1">VLOOKUP(financials[[#This Row],[ID]],Prices!D:F,2,FALSE)</f>
        <v>17</v>
      </c>
      <c r="H898" s="1">
        <f ca="1">VLOOKUP(financials[[#This Row],[ID]],Prices!D:F,3,FALSE)</f>
        <v>36</v>
      </c>
      <c r="I898" s="1">
        <f ca="1">financials[[#This Row],[Units Sold]]*financials[[#This Row],[Sale Price]]</f>
        <v>12384</v>
      </c>
      <c r="J8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619.20000000000005</v>
      </c>
      <c r="K898" s="1">
        <f ca="1">financials[[#This Row],[Gross Sales]]-financials[[#This Row],[Discounts]]</f>
        <v>11764.8</v>
      </c>
      <c r="L898" s="1">
        <f ca="1">financials[[#This Row],[Units Sold]]*financials[[#This Row],[Manufacturing Price]]</f>
        <v>5848</v>
      </c>
      <c r="M898" s="1">
        <f ca="1">financials[[#This Row],[Sales]]-financials[[#This Row],[COGS]]</f>
        <v>5916.7999999999993</v>
      </c>
      <c r="N898" s="7">
        <f t="shared" ca="1" si="27"/>
        <v>45283</v>
      </c>
      <c r="O898" s="8">
        <f ca="1">MONTH(financials[[#This Row],[Date]])</f>
        <v>12</v>
      </c>
      <c r="P898" s="6" t="str">
        <f ca="1">TEXT(financials[[#This Row],[Date]],"MMM")</f>
        <v>Dec</v>
      </c>
      <c r="Q898">
        <f ca="1">YEAR(financials[[#This Row],[Date]])</f>
        <v>2023</v>
      </c>
    </row>
    <row r="899" spans="1:17" x14ac:dyDescent="0.3">
      <c r="A899" t="s">
        <v>21</v>
      </c>
      <c r="B899" t="s">
        <v>36</v>
      </c>
      <c r="C899" s="6" t="s">
        <v>28</v>
      </c>
      <c r="D899" s="6" t="str">
        <f>CONCATENATE(financials[[#This Row],[Segment]],",",financials[[#This Row],[Country]],",",financials[[#This Row],[Product]])</f>
        <v>Midmarket,USA,Paseo</v>
      </c>
      <c r="E899" s="6" t="s">
        <v>32</v>
      </c>
      <c r="F899">
        <f t="shared" ref="F899:F962" ca="1" si="28">RANDBETWEEN(10,1000)</f>
        <v>537</v>
      </c>
      <c r="G899" s="1">
        <f ca="1">VLOOKUP(financials[[#This Row],[ID]],Prices!D:F,2,FALSE)</f>
        <v>13</v>
      </c>
      <c r="H899" s="1">
        <f ca="1">VLOOKUP(financials[[#This Row],[ID]],Prices!D:F,3,FALSE)</f>
        <v>25</v>
      </c>
      <c r="I899" s="1">
        <f ca="1">financials[[#This Row],[Units Sold]]*financials[[#This Row],[Sale Price]]</f>
        <v>13425</v>
      </c>
      <c r="J8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671.25</v>
      </c>
      <c r="K899" s="1">
        <f ca="1">financials[[#This Row],[Gross Sales]]-financials[[#This Row],[Discounts]]</f>
        <v>12753.75</v>
      </c>
      <c r="L899" s="1">
        <f ca="1">financials[[#This Row],[Units Sold]]*financials[[#This Row],[Manufacturing Price]]</f>
        <v>6981</v>
      </c>
      <c r="M899" s="1">
        <f ca="1">financials[[#This Row],[Sales]]-financials[[#This Row],[COGS]]</f>
        <v>5772.75</v>
      </c>
      <c r="N899" s="7">
        <f t="shared" ref="N899:N962" ca="1" si="29">TODAY()-RANDBETWEEN(1,732)</f>
        <v>45199</v>
      </c>
      <c r="O899" s="8">
        <f ca="1">MONTH(financials[[#This Row],[Date]])</f>
        <v>9</v>
      </c>
      <c r="P899" s="6" t="str">
        <f ca="1">TEXT(financials[[#This Row],[Date]],"MMM")</f>
        <v>Sep</v>
      </c>
      <c r="Q899">
        <f ca="1">YEAR(financials[[#This Row],[Date]])</f>
        <v>2023</v>
      </c>
    </row>
    <row r="900" spans="1:17" x14ac:dyDescent="0.3">
      <c r="A900" t="s">
        <v>21</v>
      </c>
      <c r="B900" t="s">
        <v>23</v>
      </c>
      <c r="C900" s="6" t="s">
        <v>28</v>
      </c>
      <c r="D900" s="6" t="str">
        <f>CONCATENATE(financials[[#This Row],[Segment]],",",financials[[#This Row],[Country]],",",financials[[#This Row],[Product]])</f>
        <v>Midmarket,Mexico,Paseo</v>
      </c>
      <c r="E900" s="6" t="s">
        <v>32</v>
      </c>
      <c r="F900">
        <f t="shared" ca="1" si="28"/>
        <v>854</v>
      </c>
      <c r="G900" s="1">
        <f ca="1">VLOOKUP(financials[[#This Row],[ID]],Prices!D:F,2,FALSE)</f>
        <v>11</v>
      </c>
      <c r="H900" s="1">
        <f ca="1">VLOOKUP(financials[[#This Row],[ID]],Prices!D:F,3,FALSE)</f>
        <v>21</v>
      </c>
      <c r="I900" s="1">
        <f ca="1">financials[[#This Row],[Units Sold]]*financials[[#This Row],[Sale Price]]</f>
        <v>17934</v>
      </c>
      <c r="J9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896.7</v>
      </c>
      <c r="K900" s="1">
        <f ca="1">financials[[#This Row],[Gross Sales]]-financials[[#This Row],[Discounts]]</f>
        <v>17037.3</v>
      </c>
      <c r="L900" s="1">
        <f ca="1">financials[[#This Row],[Units Sold]]*financials[[#This Row],[Manufacturing Price]]</f>
        <v>9394</v>
      </c>
      <c r="M900" s="1">
        <f ca="1">financials[[#This Row],[Sales]]-financials[[#This Row],[COGS]]</f>
        <v>7643.2999999999993</v>
      </c>
      <c r="N900" s="7">
        <f t="shared" ca="1" si="29"/>
        <v>45731</v>
      </c>
      <c r="O900" s="8">
        <f ca="1">MONTH(financials[[#This Row],[Date]])</f>
        <v>3</v>
      </c>
      <c r="P900" s="6" t="str">
        <f ca="1">TEXT(financials[[#This Row],[Date]],"MMM")</f>
        <v>Mar</v>
      </c>
      <c r="Q900">
        <f ca="1">YEAR(financials[[#This Row],[Date]])</f>
        <v>2025</v>
      </c>
    </row>
    <row r="901" spans="1:17" x14ac:dyDescent="0.3">
      <c r="A901" t="s">
        <v>16</v>
      </c>
      <c r="B901" t="s">
        <v>36</v>
      </c>
      <c r="C901" s="6" t="s">
        <v>28</v>
      </c>
      <c r="D901" s="6" t="str">
        <f>CONCATENATE(financials[[#This Row],[Segment]],",",financials[[#This Row],[Country]],",",financials[[#This Row],[Product]])</f>
        <v>Government,USA,Paseo</v>
      </c>
      <c r="E901" s="6" t="s">
        <v>32</v>
      </c>
      <c r="F901">
        <f t="shared" ca="1" si="28"/>
        <v>218</v>
      </c>
      <c r="G901" s="1">
        <f ca="1">VLOOKUP(financials[[#This Row],[ID]],Prices!D:F,2,FALSE)</f>
        <v>17</v>
      </c>
      <c r="H901" s="1">
        <f ca="1">VLOOKUP(financials[[#This Row],[ID]],Prices!D:F,3,FALSE)</f>
        <v>36</v>
      </c>
      <c r="I901" s="1">
        <f ca="1">financials[[#This Row],[Units Sold]]*financials[[#This Row],[Sale Price]]</f>
        <v>7848</v>
      </c>
      <c r="J9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392.40000000000003</v>
      </c>
      <c r="K901" s="1">
        <f ca="1">financials[[#This Row],[Gross Sales]]-financials[[#This Row],[Discounts]]</f>
        <v>7455.6</v>
      </c>
      <c r="L901" s="1">
        <f ca="1">financials[[#This Row],[Units Sold]]*financials[[#This Row],[Manufacturing Price]]</f>
        <v>3706</v>
      </c>
      <c r="M901" s="1">
        <f ca="1">financials[[#This Row],[Sales]]-financials[[#This Row],[COGS]]</f>
        <v>3749.6000000000004</v>
      </c>
      <c r="N901" s="7">
        <f t="shared" ca="1" si="29"/>
        <v>45697</v>
      </c>
      <c r="O901" s="8">
        <f ca="1">MONTH(financials[[#This Row],[Date]])</f>
        <v>2</v>
      </c>
      <c r="P901" s="6" t="str">
        <f ca="1">TEXT(financials[[#This Row],[Date]],"MMM")</f>
        <v>Feb</v>
      </c>
      <c r="Q901">
        <f ca="1">YEAR(financials[[#This Row],[Date]])</f>
        <v>2025</v>
      </c>
    </row>
    <row r="902" spans="1:17" x14ac:dyDescent="0.3">
      <c r="A902" t="s">
        <v>26</v>
      </c>
      <c r="B902" t="s">
        <v>23</v>
      </c>
      <c r="C902" s="6" t="s">
        <v>28</v>
      </c>
      <c r="D902" s="6" t="str">
        <f>CONCATENATE(financials[[#This Row],[Segment]],",",financials[[#This Row],[Country]],",",financials[[#This Row],[Product]])</f>
        <v>Enterprise,Mexico,Paseo</v>
      </c>
      <c r="E902" s="6" t="s">
        <v>32</v>
      </c>
      <c r="F902">
        <f t="shared" ca="1" si="28"/>
        <v>670</v>
      </c>
      <c r="G902" s="1">
        <f ca="1">VLOOKUP(financials[[#This Row],[ID]],Prices!D:F,2,FALSE)</f>
        <v>17</v>
      </c>
      <c r="H902" s="1">
        <f ca="1">VLOOKUP(financials[[#This Row],[ID]],Prices!D:F,3,FALSE)</f>
        <v>27</v>
      </c>
      <c r="I902" s="1">
        <f ca="1">financials[[#This Row],[Units Sold]]*financials[[#This Row],[Sale Price]]</f>
        <v>18090</v>
      </c>
      <c r="J9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904.5</v>
      </c>
      <c r="K902" s="1">
        <f ca="1">financials[[#This Row],[Gross Sales]]-financials[[#This Row],[Discounts]]</f>
        <v>17185.5</v>
      </c>
      <c r="L902" s="1">
        <f ca="1">financials[[#This Row],[Units Sold]]*financials[[#This Row],[Manufacturing Price]]</f>
        <v>11390</v>
      </c>
      <c r="M902" s="1">
        <f ca="1">financials[[#This Row],[Sales]]-financials[[#This Row],[COGS]]</f>
        <v>5795.5</v>
      </c>
      <c r="N902" s="7">
        <f t="shared" ca="1" si="29"/>
        <v>45442</v>
      </c>
      <c r="O902" s="8">
        <f ca="1">MONTH(financials[[#This Row],[Date]])</f>
        <v>5</v>
      </c>
      <c r="P902" s="6" t="str">
        <f ca="1">TEXT(financials[[#This Row],[Date]],"MMM")</f>
        <v>May</v>
      </c>
      <c r="Q902">
        <f ca="1">YEAR(financials[[#This Row],[Date]])</f>
        <v>2024</v>
      </c>
    </row>
    <row r="903" spans="1:17" x14ac:dyDescent="0.3">
      <c r="A903" t="s">
        <v>25</v>
      </c>
      <c r="B903" t="s">
        <v>36</v>
      </c>
      <c r="C903" s="6" t="s">
        <v>29</v>
      </c>
      <c r="D903" s="6" t="str">
        <f>CONCATENATE(financials[[#This Row],[Segment]],",",financials[[#This Row],[Country]],",",financials[[#This Row],[Product]])</f>
        <v>Channel Partners,USA,Velo</v>
      </c>
      <c r="E903" s="6" t="s">
        <v>32</v>
      </c>
      <c r="F903">
        <f t="shared" ca="1" si="28"/>
        <v>736</v>
      </c>
      <c r="G903" s="1">
        <f ca="1">VLOOKUP(financials[[#This Row],[ID]],Prices!D:F,2,FALSE)</f>
        <v>11</v>
      </c>
      <c r="H903" s="1">
        <f ca="1">VLOOKUP(financials[[#This Row],[ID]],Prices!D:F,3,FALSE)</f>
        <v>34</v>
      </c>
      <c r="I903" s="1">
        <f ca="1">financials[[#This Row],[Units Sold]]*financials[[#This Row],[Sale Price]]</f>
        <v>25024</v>
      </c>
      <c r="J9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1251.2</v>
      </c>
      <c r="K903" s="1">
        <f ca="1">financials[[#This Row],[Gross Sales]]-financials[[#This Row],[Discounts]]</f>
        <v>23772.799999999999</v>
      </c>
      <c r="L903" s="1">
        <f ca="1">financials[[#This Row],[Units Sold]]*financials[[#This Row],[Manufacturing Price]]</f>
        <v>8096</v>
      </c>
      <c r="M903" s="1">
        <f ca="1">financials[[#This Row],[Sales]]-financials[[#This Row],[COGS]]</f>
        <v>15676.8</v>
      </c>
      <c r="N903" s="7">
        <f t="shared" ca="1" si="29"/>
        <v>45031</v>
      </c>
      <c r="O903" s="8">
        <f ca="1">MONTH(financials[[#This Row],[Date]])</f>
        <v>4</v>
      </c>
      <c r="P903" s="6" t="str">
        <f ca="1">TEXT(financials[[#This Row],[Date]],"MMM")</f>
        <v>Apr</v>
      </c>
      <c r="Q903">
        <f ca="1">YEAR(financials[[#This Row],[Date]])</f>
        <v>2023</v>
      </c>
    </row>
    <row r="904" spans="1:17" x14ac:dyDescent="0.3">
      <c r="A904" t="s">
        <v>16</v>
      </c>
      <c r="B904" t="s">
        <v>17</v>
      </c>
      <c r="C904" s="6" t="s">
        <v>29</v>
      </c>
      <c r="D904" s="6" t="str">
        <f>CONCATENATE(financials[[#This Row],[Segment]],",",financials[[#This Row],[Country]],",",financials[[#This Row],[Product]])</f>
        <v>Government,Canada,Velo</v>
      </c>
      <c r="E904" s="6" t="s">
        <v>32</v>
      </c>
      <c r="F904">
        <f t="shared" ca="1" si="28"/>
        <v>82</v>
      </c>
      <c r="G904" s="1">
        <f ca="1">VLOOKUP(financials[[#This Row],[ID]],Prices!D:F,2,FALSE)</f>
        <v>19</v>
      </c>
      <c r="H904" s="1">
        <f ca="1">VLOOKUP(financials[[#This Row],[ID]],Prices!D:F,3,FALSE)</f>
        <v>37</v>
      </c>
      <c r="I904" s="1">
        <f ca="1">financials[[#This Row],[Units Sold]]*financials[[#This Row],[Sale Price]]</f>
        <v>3034</v>
      </c>
      <c r="J9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151.70000000000002</v>
      </c>
      <c r="K904" s="1">
        <f ca="1">financials[[#This Row],[Gross Sales]]-financials[[#This Row],[Discounts]]</f>
        <v>2882.3</v>
      </c>
      <c r="L904" s="1">
        <f ca="1">financials[[#This Row],[Units Sold]]*financials[[#This Row],[Manufacturing Price]]</f>
        <v>1558</v>
      </c>
      <c r="M904" s="1">
        <f ca="1">financials[[#This Row],[Sales]]-financials[[#This Row],[COGS]]</f>
        <v>1324.3000000000002</v>
      </c>
      <c r="N904" s="7">
        <f t="shared" ca="1" si="29"/>
        <v>45453</v>
      </c>
      <c r="O904" s="8">
        <f ca="1">MONTH(financials[[#This Row],[Date]])</f>
        <v>6</v>
      </c>
      <c r="P904" s="6" t="str">
        <f ca="1">TEXT(financials[[#This Row],[Date]],"MMM")</f>
        <v>Jun</v>
      </c>
      <c r="Q904">
        <f ca="1">YEAR(financials[[#This Row],[Date]])</f>
        <v>2024</v>
      </c>
    </row>
    <row r="905" spans="1:17" x14ac:dyDescent="0.3">
      <c r="A905" t="s">
        <v>16</v>
      </c>
      <c r="B905" t="s">
        <v>22</v>
      </c>
      <c r="C905" s="6" t="s">
        <v>29</v>
      </c>
      <c r="D905" s="6" t="str">
        <f>CONCATENATE(financials[[#This Row],[Segment]],",",financials[[#This Row],[Country]],",",financials[[#This Row],[Product]])</f>
        <v>Government,France,Velo</v>
      </c>
      <c r="E905" s="6" t="s">
        <v>32</v>
      </c>
      <c r="F905">
        <f t="shared" ca="1" si="28"/>
        <v>43</v>
      </c>
      <c r="G905" s="1">
        <f ca="1">VLOOKUP(financials[[#This Row],[ID]],Prices!D:F,2,FALSE)</f>
        <v>20</v>
      </c>
      <c r="H905" s="1">
        <f ca="1">VLOOKUP(financials[[#This Row],[ID]],Prices!D:F,3,FALSE)</f>
        <v>36</v>
      </c>
      <c r="I905" s="1">
        <f ca="1">financials[[#This Row],[Units Sold]]*financials[[#This Row],[Sale Price]]</f>
        <v>1548</v>
      </c>
      <c r="J9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77.400000000000006</v>
      </c>
      <c r="K905" s="1">
        <f ca="1">financials[[#This Row],[Gross Sales]]-financials[[#This Row],[Discounts]]</f>
        <v>1470.6</v>
      </c>
      <c r="L905" s="1">
        <f ca="1">financials[[#This Row],[Units Sold]]*financials[[#This Row],[Manufacturing Price]]</f>
        <v>860</v>
      </c>
      <c r="M905" s="1">
        <f ca="1">financials[[#This Row],[Sales]]-financials[[#This Row],[COGS]]</f>
        <v>610.59999999999991</v>
      </c>
      <c r="N905" s="7">
        <f t="shared" ca="1" si="29"/>
        <v>45421</v>
      </c>
      <c r="O905" s="8">
        <f ca="1">MONTH(financials[[#This Row],[Date]])</f>
        <v>5</v>
      </c>
      <c r="P905" s="6" t="str">
        <f ca="1">TEXT(financials[[#This Row],[Date]],"MMM")</f>
        <v>May</v>
      </c>
      <c r="Q905">
        <f ca="1">YEAR(financials[[#This Row],[Date]])</f>
        <v>2024</v>
      </c>
    </row>
    <row r="906" spans="1:17" x14ac:dyDescent="0.3">
      <c r="A906" t="s">
        <v>25</v>
      </c>
      <c r="B906" t="s">
        <v>22</v>
      </c>
      <c r="C906" s="6" t="s">
        <v>30</v>
      </c>
      <c r="D906" s="6" t="str">
        <f>CONCATENATE(financials[[#This Row],[Segment]],",",financials[[#This Row],[Country]],",",financials[[#This Row],[Product]])</f>
        <v>Channel Partners,France,VTT</v>
      </c>
      <c r="E906" s="6" t="s">
        <v>32</v>
      </c>
      <c r="F906">
        <f t="shared" ca="1" si="28"/>
        <v>610</v>
      </c>
      <c r="G906" s="1">
        <f ca="1">VLOOKUP(financials[[#This Row],[ID]],Prices!D:F,2,FALSE)</f>
        <v>11</v>
      </c>
      <c r="H906" s="1">
        <f ca="1">VLOOKUP(financials[[#This Row],[ID]],Prices!D:F,3,FALSE)</f>
        <v>38</v>
      </c>
      <c r="I906" s="1">
        <f ca="1">financials[[#This Row],[Units Sold]]*financials[[#This Row],[Sale Price]]</f>
        <v>23180</v>
      </c>
      <c r="J9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1159</v>
      </c>
      <c r="K906" s="1">
        <f ca="1">financials[[#This Row],[Gross Sales]]-financials[[#This Row],[Discounts]]</f>
        <v>22021</v>
      </c>
      <c r="L906" s="1">
        <f ca="1">financials[[#This Row],[Units Sold]]*financials[[#This Row],[Manufacturing Price]]</f>
        <v>6710</v>
      </c>
      <c r="M906" s="1">
        <f ca="1">financials[[#This Row],[Sales]]-financials[[#This Row],[COGS]]</f>
        <v>15311</v>
      </c>
      <c r="N906" s="7">
        <f t="shared" ca="1" si="29"/>
        <v>45659</v>
      </c>
      <c r="O906" s="8">
        <f ca="1">MONTH(financials[[#This Row],[Date]])</f>
        <v>1</v>
      </c>
      <c r="P906" s="6" t="str">
        <f ca="1">TEXT(financials[[#This Row],[Date]],"MMM")</f>
        <v>Jan</v>
      </c>
      <c r="Q906">
        <f ca="1">YEAR(financials[[#This Row],[Date]])</f>
        <v>2025</v>
      </c>
    </row>
    <row r="907" spans="1:17" x14ac:dyDescent="0.3">
      <c r="A907" t="s">
        <v>16</v>
      </c>
      <c r="B907" t="s">
        <v>36</v>
      </c>
      <c r="C907" s="6" t="s">
        <v>30</v>
      </c>
      <c r="D907" s="6" t="str">
        <f>CONCATENATE(financials[[#This Row],[Segment]],",",financials[[#This Row],[Country]],",",financials[[#This Row],[Product]])</f>
        <v>Government,USA,VTT</v>
      </c>
      <c r="E907" s="6" t="s">
        <v>32</v>
      </c>
      <c r="F907">
        <f t="shared" ca="1" si="28"/>
        <v>382</v>
      </c>
      <c r="G907" s="1">
        <f ca="1">VLOOKUP(financials[[#This Row],[ID]],Prices!D:F,2,FALSE)</f>
        <v>13</v>
      </c>
      <c r="H907" s="1">
        <f ca="1">VLOOKUP(financials[[#This Row],[ID]],Prices!D:F,3,FALSE)</f>
        <v>31</v>
      </c>
      <c r="I907" s="1">
        <f ca="1">financials[[#This Row],[Units Sold]]*financials[[#This Row],[Sale Price]]</f>
        <v>11842</v>
      </c>
      <c r="J9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592.1</v>
      </c>
      <c r="K907" s="1">
        <f ca="1">financials[[#This Row],[Gross Sales]]-financials[[#This Row],[Discounts]]</f>
        <v>11249.9</v>
      </c>
      <c r="L907" s="1">
        <f ca="1">financials[[#This Row],[Units Sold]]*financials[[#This Row],[Manufacturing Price]]</f>
        <v>4966</v>
      </c>
      <c r="M907" s="1">
        <f ca="1">financials[[#This Row],[Sales]]-financials[[#This Row],[COGS]]</f>
        <v>6283.9</v>
      </c>
      <c r="N907" s="7">
        <f t="shared" ca="1" si="29"/>
        <v>45233</v>
      </c>
      <c r="O907" s="8">
        <f ca="1">MONTH(financials[[#This Row],[Date]])</f>
        <v>11</v>
      </c>
      <c r="P907" s="6" t="str">
        <f ca="1">TEXT(financials[[#This Row],[Date]],"MMM")</f>
        <v>Nov</v>
      </c>
      <c r="Q907">
        <f ca="1">YEAR(financials[[#This Row],[Date]])</f>
        <v>2023</v>
      </c>
    </row>
    <row r="908" spans="1:17" x14ac:dyDescent="0.3">
      <c r="A908" t="s">
        <v>16</v>
      </c>
      <c r="B908" t="s">
        <v>22</v>
      </c>
      <c r="C908" s="6" t="s">
        <v>30</v>
      </c>
      <c r="D908" s="6" t="str">
        <f>CONCATENATE(financials[[#This Row],[Segment]],",",financials[[#This Row],[Country]],",",financials[[#This Row],[Product]])</f>
        <v>Government,France,VTT</v>
      </c>
      <c r="E908" s="6" t="s">
        <v>32</v>
      </c>
      <c r="F908">
        <f t="shared" ca="1" si="28"/>
        <v>432</v>
      </c>
      <c r="G908" s="1">
        <f ca="1">VLOOKUP(financials[[#This Row],[ID]],Prices!D:F,2,FALSE)</f>
        <v>18</v>
      </c>
      <c r="H908" s="1">
        <f ca="1">VLOOKUP(financials[[#This Row],[ID]],Prices!D:F,3,FALSE)</f>
        <v>32</v>
      </c>
      <c r="I908" s="1">
        <f ca="1">financials[[#This Row],[Units Sold]]*financials[[#This Row],[Sale Price]]</f>
        <v>13824</v>
      </c>
      <c r="J9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691.2</v>
      </c>
      <c r="K908" s="1">
        <f ca="1">financials[[#This Row],[Gross Sales]]-financials[[#This Row],[Discounts]]</f>
        <v>13132.8</v>
      </c>
      <c r="L908" s="1">
        <f ca="1">financials[[#This Row],[Units Sold]]*financials[[#This Row],[Manufacturing Price]]</f>
        <v>7776</v>
      </c>
      <c r="M908" s="1">
        <f ca="1">financials[[#This Row],[Sales]]-financials[[#This Row],[COGS]]</f>
        <v>5356.7999999999993</v>
      </c>
      <c r="N908" s="7">
        <f t="shared" ca="1" si="29"/>
        <v>45089</v>
      </c>
      <c r="O908" s="8">
        <f ca="1">MONTH(financials[[#This Row],[Date]])</f>
        <v>6</v>
      </c>
      <c r="P908" s="6" t="str">
        <f ca="1">TEXT(financials[[#This Row],[Date]],"MMM")</f>
        <v>Jun</v>
      </c>
      <c r="Q908">
        <f ca="1">YEAR(financials[[#This Row],[Date]])</f>
        <v>2023</v>
      </c>
    </row>
    <row r="909" spans="1:17" x14ac:dyDescent="0.3">
      <c r="A909" t="s">
        <v>21</v>
      </c>
      <c r="B909" t="s">
        <v>23</v>
      </c>
      <c r="C909" s="6" t="s">
        <v>30</v>
      </c>
      <c r="D909" s="6" t="str">
        <f>CONCATENATE(financials[[#This Row],[Segment]],",",financials[[#This Row],[Country]],",",financials[[#This Row],[Product]])</f>
        <v>Midmarket,Mexico,VTT</v>
      </c>
      <c r="E909" s="6" t="s">
        <v>32</v>
      </c>
      <c r="F909">
        <f t="shared" ca="1" si="28"/>
        <v>22</v>
      </c>
      <c r="G909" s="1">
        <f ca="1">VLOOKUP(financials[[#This Row],[ID]],Prices!D:F,2,FALSE)</f>
        <v>19</v>
      </c>
      <c r="H909" s="1">
        <f ca="1">VLOOKUP(financials[[#This Row],[ID]],Prices!D:F,3,FALSE)</f>
        <v>20</v>
      </c>
      <c r="I909" s="1">
        <f ca="1">financials[[#This Row],[Units Sold]]*financials[[#This Row],[Sale Price]]</f>
        <v>440</v>
      </c>
      <c r="J9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4.4000000000000004</v>
      </c>
      <c r="K909" s="1">
        <f ca="1">financials[[#This Row],[Gross Sales]]-financials[[#This Row],[Discounts]]</f>
        <v>435.6</v>
      </c>
      <c r="L909" s="1">
        <f ca="1">financials[[#This Row],[Units Sold]]*financials[[#This Row],[Manufacturing Price]]</f>
        <v>418</v>
      </c>
      <c r="M909" s="1">
        <f ca="1">financials[[#This Row],[Sales]]-financials[[#This Row],[COGS]]</f>
        <v>17.600000000000023</v>
      </c>
      <c r="N909" s="7">
        <f t="shared" ca="1" si="29"/>
        <v>45523</v>
      </c>
      <c r="O909" s="8">
        <f ca="1">MONTH(financials[[#This Row],[Date]])</f>
        <v>8</v>
      </c>
      <c r="P909" s="6" t="str">
        <f ca="1">TEXT(financials[[#This Row],[Date]],"MMM")</f>
        <v>Aug</v>
      </c>
      <c r="Q909">
        <f ca="1">YEAR(financials[[#This Row],[Date]])</f>
        <v>2024</v>
      </c>
    </row>
    <row r="910" spans="1:17" x14ac:dyDescent="0.3">
      <c r="A910" t="s">
        <v>16</v>
      </c>
      <c r="B910" t="s">
        <v>23</v>
      </c>
      <c r="C910" s="6" t="s">
        <v>31</v>
      </c>
      <c r="D910" s="6" t="str">
        <f>CONCATENATE(financials[[#This Row],[Segment]],",",financials[[#This Row],[Country]],",",financials[[#This Row],[Product]])</f>
        <v>Government,Mexico,Amarilla</v>
      </c>
      <c r="E910" s="6" t="s">
        <v>32</v>
      </c>
      <c r="F910">
        <f t="shared" ca="1" si="28"/>
        <v>174</v>
      </c>
      <c r="G910" s="1">
        <f ca="1">VLOOKUP(financials[[#This Row],[ID]],Prices!D:F,2,FALSE)</f>
        <v>15</v>
      </c>
      <c r="H910" s="1">
        <f ca="1">VLOOKUP(financials[[#This Row],[ID]],Prices!D:F,3,FALSE)</f>
        <v>32</v>
      </c>
      <c r="I910" s="1">
        <f ca="1">financials[[#This Row],[Units Sold]]*financials[[#This Row],[Sale Price]]</f>
        <v>5568</v>
      </c>
      <c r="J9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278.40000000000003</v>
      </c>
      <c r="K910" s="1">
        <f ca="1">financials[[#This Row],[Gross Sales]]-financials[[#This Row],[Discounts]]</f>
        <v>5289.6</v>
      </c>
      <c r="L910" s="1">
        <f ca="1">financials[[#This Row],[Units Sold]]*financials[[#This Row],[Manufacturing Price]]</f>
        <v>2610</v>
      </c>
      <c r="M910" s="1">
        <f ca="1">financials[[#This Row],[Sales]]-financials[[#This Row],[COGS]]</f>
        <v>2679.6000000000004</v>
      </c>
      <c r="N910" s="7">
        <f t="shared" ca="1" si="29"/>
        <v>45532</v>
      </c>
      <c r="O910" s="8">
        <f ca="1">MONTH(financials[[#This Row],[Date]])</f>
        <v>8</v>
      </c>
      <c r="P910" s="6" t="str">
        <f ca="1">TEXT(financials[[#This Row],[Date]],"MMM")</f>
        <v>Aug</v>
      </c>
      <c r="Q910">
        <f ca="1">YEAR(financials[[#This Row],[Date]])</f>
        <v>2024</v>
      </c>
    </row>
    <row r="911" spans="1:17" x14ac:dyDescent="0.3">
      <c r="A911" t="s">
        <v>26</v>
      </c>
      <c r="B911" t="s">
        <v>23</v>
      </c>
      <c r="C911" s="6" t="s">
        <v>31</v>
      </c>
      <c r="D911" s="6" t="str">
        <f>CONCATENATE(financials[[#This Row],[Segment]],",",financials[[#This Row],[Country]],",",financials[[#This Row],[Product]])</f>
        <v>Enterprise,Mexico,Amarilla</v>
      </c>
      <c r="E911" s="6" t="s">
        <v>32</v>
      </c>
      <c r="F911">
        <f t="shared" ca="1" si="28"/>
        <v>46</v>
      </c>
      <c r="G911" s="1">
        <f ca="1">VLOOKUP(financials[[#This Row],[ID]],Prices!D:F,2,FALSE)</f>
        <v>11</v>
      </c>
      <c r="H911" s="1">
        <f ca="1">VLOOKUP(financials[[#This Row],[ID]],Prices!D:F,3,FALSE)</f>
        <v>30</v>
      </c>
      <c r="I911" s="1">
        <f ca="1">financials[[#This Row],[Units Sold]]*financials[[#This Row],[Sale Price]]</f>
        <v>1380</v>
      </c>
      <c r="J9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69</v>
      </c>
      <c r="K911" s="1">
        <f ca="1">financials[[#This Row],[Gross Sales]]-financials[[#This Row],[Discounts]]</f>
        <v>1311</v>
      </c>
      <c r="L911" s="1">
        <f ca="1">financials[[#This Row],[Units Sold]]*financials[[#This Row],[Manufacturing Price]]</f>
        <v>506</v>
      </c>
      <c r="M911" s="1">
        <f ca="1">financials[[#This Row],[Sales]]-financials[[#This Row],[COGS]]</f>
        <v>805</v>
      </c>
      <c r="N911" s="7">
        <f t="shared" ca="1" si="29"/>
        <v>45685</v>
      </c>
      <c r="O911" s="8">
        <f ca="1">MONTH(financials[[#This Row],[Date]])</f>
        <v>1</v>
      </c>
      <c r="P911" s="6" t="str">
        <f ca="1">TEXT(financials[[#This Row],[Date]],"MMM")</f>
        <v>Jan</v>
      </c>
      <c r="Q911">
        <f ca="1">YEAR(financials[[#This Row],[Date]])</f>
        <v>2025</v>
      </c>
    </row>
    <row r="912" spans="1:17" x14ac:dyDescent="0.3">
      <c r="A912" t="s">
        <v>16</v>
      </c>
      <c r="B912" t="s">
        <v>20</v>
      </c>
      <c r="C912" s="6" t="s">
        <v>31</v>
      </c>
      <c r="D912" s="6" t="str">
        <f>CONCATENATE(financials[[#This Row],[Segment]],",",financials[[#This Row],[Country]],",",financials[[#This Row],[Product]])</f>
        <v>Government,Germany,Amarilla</v>
      </c>
      <c r="E912" s="6" t="s">
        <v>32</v>
      </c>
      <c r="F912">
        <f t="shared" ca="1" si="28"/>
        <v>672</v>
      </c>
      <c r="G912" s="1">
        <f ca="1">VLOOKUP(financials[[#This Row],[ID]],Prices!D:F,2,FALSE)</f>
        <v>10</v>
      </c>
      <c r="H912" s="1">
        <f ca="1">VLOOKUP(financials[[#This Row],[ID]],Prices!D:F,3,FALSE)</f>
        <v>20</v>
      </c>
      <c r="I912" s="1">
        <f ca="1">financials[[#This Row],[Units Sold]]*financials[[#This Row],[Sale Price]]</f>
        <v>13440</v>
      </c>
      <c r="J9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672</v>
      </c>
      <c r="K912" s="1">
        <f ca="1">financials[[#This Row],[Gross Sales]]-financials[[#This Row],[Discounts]]</f>
        <v>12768</v>
      </c>
      <c r="L912" s="1">
        <f ca="1">financials[[#This Row],[Units Sold]]*financials[[#This Row],[Manufacturing Price]]</f>
        <v>6720</v>
      </c>
      <c r="M912" s="1">
        <f ca="1">financials[[#This Row],[Sales]]-financials[[#This Row],[COGS]]</f>
        <v>6048</v>
      </c>
      <c r="N912" s="7">
        <f t="shared" ca="1" si="29"/>
        <v>45184</v>
      </c>
      <c r="O912" s="8">
        <f ca="1">MONTH(financials[[#This Row],[Date]])</f>
        <v>9</v>
      </c>
      <c r="P912" s="6" t="str">
        <f ca="1">TEXT(financials[[#This Row],[Date]],"MMM")</f>
        <v>Sep</v>
      </c>
      <c r="Q912">
        <f ca="1">YEAR(financials[[#This Row],[Date]])</f>
        <v>2023</v>
      </c>
    </row>
    <row r="913" spans="1:17" x14ac:dyDescent="0.3">
      <c r="A913" t="s">
        <v>21</v>
      </c>
      <c r="B913" t="s">
        <v>36</v>
      </c>
      <c r="C913" s="6" t="s">
        <v>31</v>
      </c>
      <c r="D913" s="6" t="str">
        <f>CONCATENATE(financials[[#This Row],[Segment]],",",financials[[#This Row],[Country]],",",financials[[#This Row],[Product]])</f>
        <v>Midmarket,USA,Amarilla</v>
      </c>
      <c r="E913" s="6" t="s">
        <v>32</v>
      </c>
      <c r="F913">
        <f t="shared" ca="1" si="28"/>
        <v>367</v>
      </c>
      <c r="G913" s="1">
        <f ca="1">VLOOKUP(financials[[#This Row],[ID]],Prices!D:F,2,FALSE)</f>
        <v>12</v>
      </c>
      <c r="H913" s="1">
        <f ca="1">VLOOKUP(financials[[#This Row],[ID]],Prices!D:F,3,FALSE)</f>
        <v>21</v>
      </c>
      <c r="I913" s="1">
        <f ca="1">financials[[#This Row],[Units Sold]]*financials[[#This Row],[Sale Price]]</f>
        <v>7707</v>
      </c>
      <c r="J9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385.35</v>
      </c>
      <c r="K913" s="1">
        <f ca="1">financials[[#This Row],[Gross Sales]]-financials[[#This Row],[Discounts]]</f>
        <v>7321.65</v>
      </c>
      <c r="L913" s="1">
        <f ca="1">financials[[#This Row],[Units Sold]]*financials[[#This Row],[Manufacturing Price]]</f>
        <v>4404</v>
      </c>
      <c r="M913" s="1">
        <f ca="1">financials[[#This Row],[Sales]]-financials[[#This Row],[COGS]]</f>
        <v>2917.6499999999996</v>
      </c>
      <c r="N913" s="7">
        <f t="shared" ca="1" si="29"/>
        <v>45119</v>
      </c>
      <c r="O913" s="8">
        <f ca="1">MONTH(financials[[#This Row],[Date]])</f>
        <v>7</v>
      </c>
      <c r="P913" s="6" t="str">
        <f ca="1">TEXT(financials[[#This Row],[Date]],"MMM")</f>
        <v>Jul</v>
      </c>
      <c r="Q913">
        <f ca="1">YEAR(financials[[#This Row],[Date]])</f>
        <v>2023</v>
      </c>
    </row>
    <row r="914" spans="1:17" x14ac:dyDescent="0.3">
      <c r="A914" t="s">
        <v>16</v>
      </c>
      <c r="B914" t="s">
        <v>17</v>
      </c>
      <c r="C914" s="6" t="s">
        <v>31</v>
      </c>
      <c r="D914" s="6" t="str">
        <f>CONCATENATE(financials[[#This Row],[Segment]],",",financials[[#This Row],[Country]],",",financials[[#This Row],[Product]])</f>
        <v>Government,Canada,Amarilla</v>
      </c>
      <c r="E914" s="6" t="s">
        <v>32</v>
      </c>
      <c r="F914">
        <f t="shared" ca="1" si="28"/>
        <v>727</v>
      </c>
      <c r="G914" s="1">
        <f ca="1">VLOOKUP(financials[[#This Row],[ID]],Prices!D:F,2,FALSE)</f>
        <v>11</v>
      </c>
      <c r="H914" s="1">
        <f ca="1">VLOOKUP(financials[[#This Row],[ID]],Prices!D:F,3,FALSE)</f>
        <v>29</v>
      </c>
      <c r="I914" s="1">
        <f ca="1">financials[[#This Row],[Units Sold]]*financials[[#This Row],[Sale Price]]</f>
        <v>21083</v>
      </c>
      <c r="J9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1054.1500000000001</v>
      </c>
      <c r="K914" s="1">
        <f ca="1">financials[[#This Row],[Gross Sales]]-financials[[#This Row],[Discounts]]</f>
        <v>20028.849999999999</v>
      </c>
      <c r="L914" s="1">
        <f ca="1">financials[[#This Row],[Units Sold]]*financials[[#This Row],[Manufacturing Price]]</f>
        <v>7997</v>
      </c>
      <c r="M914" s="1">
        <f ca="1">financials[[#This Row],[Sales]]-financials[[#This Row],[COGS]]</f>
        <v>12031.849999999999</v>
      </c>
      <c r="N914" s="7">
        <f t="shared" ca="1" si="29"/>
        <v>45376</v>
      </c>
      <c r="O914" s="8">
        <f ca="1">MONTH(financials[[#This Row],[Date]])</f>
        <v>3</v>
      </c>
      <c r="P914" s="6" t="str">
        <f ca="1">TEXT(financials[[#This Row],[Date]],"MMM")</f>
        <v>Mar</v>
      </c>
      <c r="Q914">
        <f ca="1">YEAR(financials[[#This Row],[Date]])</f>
        <v>2024</v>
      </c>
    </row>
    <row r="915" spans="1:17" x14ac:dyDescent="0.3">
      <c r="A915" t="s">
        <v>16</v>
      </c>
      <c r="B915" t="s">
        <v>20</v>
      </c>
      <c r="C915" s="6" t="s">
        <v>24</v>
      </c>
      <c r="D915" s="6" t="str">
        <f>CONCATENATE(financials[[#This Row],[Segment]],",",financials[[#This Row],[Country]],",",financials[[#This Row],[Product]])</f>
        <v>Government,Germany,Montana</v>
      </c>
      <c r="E915" s="6" t="s">
        <v>33</v>
      </c>
      <c r="F915">
        <f t="shared" ca="1" si="28"/>
        <v>904</v>
      </c>
      <c r="G915" s="1">
        <f ca="1">VLOOKUP(financials[[#This Row],[ID]],Prices!D:F,2,FALSE)</f>
        <v>20</v>
      </c>
      <c r="H915" s="1">
        <f ca="1">VLOOKUP(financials[[#This Row],[ID]],Prices!D:F,3,FALSE)</f>
        <v>27</v>
      </c>
      <c r="I915" s="1">
        <f ca="1">financials[[#This Row],[Units Sold]]*financials[[#This Row],[Sale Price]]</f>
        <v>24408</v>
      </c>
      <c r="J9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1220.4000000000001</v>
      </c>
      <c r="K915" s="1">
        <f ca="1">financials[[#This Row],[Gross Sales]]-financials[[#This Row],[Discounts]]</f>
        <v>23187.599999999999</v>
      </c>
      <c r="L915" s="1">
        <f ca="1">financials[[#This Row],[Units Sold]]*financials[[#This Row],[Manufacturing Price]]</f>
        <v>18080</v>
      </c>
      <c r="M915" s="1">
        <f ca="1">financials[[#This Row],[Sales]]-financials[[#This Row],[COGS]]</f>
        <v>5107.5999999999985</v>
      </c>
      <c r="N915" s="7">
        <f t="shared" ca="1" si="29"/>
        <v>45396</v>
      </c>
      <c r="O915" s="8">
        <f ca="1">MONTH(financials[[#This Row],[Date]])</f>
        <v>4</v>
      </c>
      <c r="P915" s="6" t="str">
        <f ca="1">TEXT(financials[[#This Row],[Date]],"MMM")</f>
        <v>Apr</v>
      </c>
      <c r="Q915">
        <f ca="1">YEAR(financials[[#This Row],[Date]])</f>
        <v>2024</v>
      </c>
    </row>
    <row r="916" spans="1:17" x14ac:dyDescent="0.3">
      <c r="A916" t="s">
        <v>16</v>
      </c>
      <c r="B916" t="s">
        <v>20</v>
      </c>
      <c r="C916" s="6" t="s">
        <v>28</v>
      </c>
      <c r="D916" s="6" t="str">
        <f>CONCATENATE(financials[[#This Row],[Segment]],",",financials[[#This Row],[Country]],",",financials[[#This Row],[Product]])</f>
        <v>Government,Germany,Paseo</v>
      </c>
      <c r="E916" s="6" t="s">
        <v>33</v>
      </c>
      <c r="F916">
        <f t="shared" ca="1" si="28"/>
        <v>750</v>
      </c>
      <c r="G916" s="1">
        <f ca="1">VLOOKUP(financials[[#This Row],[ID]],Prices!D:F,2,FALSE)</f>
        <v>19</v>
      </c>
      <c r="H916" s="1">
        <f ca="1">VLOOKUP(financials[[#This Row],[ID]],Prices!D:F,3,FALSE)</f>
        <v>37</v>
      </c>
      <c r="I916" s="1">
        <f ca="1">financials[[#This Row],[Units Sold]]*financials[[#This Row],[Sale Price]]</f>
        <v>27750</v>
      </c>
      <c r="J9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1387.5</v>
      </c>
      <c r="K916" s="1">
        <f ca="1">financials[[#This Row],[Gross Sales]]-financials[[#This Row],[Discounts]]</f>
        <v>26362.5</v>
      </c>
      <c r="L916" s="1">
        <f ca="1">financials[[#This Row],[Units Sold]]*financials[[#This Row],[Manufacturing Price]]</f>
        <v>14250</v>
      </c>
      <c r="M916" s="1">
        <f ca="1">financials[[#This Row],[Sales]]-financials[[#This Row],[COGS]]</f>
        <v>12112.5</v>
      </c>
      <c r="N916" s="7">
        <f t="shared" ca="1" si="29"/>
        <v>45184</v>
      </c>
      <c r="O916" s="8">
        <f ca="1">MONTH(financials[[#This Row],[Date]])</f>
        <v>9</v>
      </c>
      <c r="P916" s="6" t="str">
        <f ca="1">TEXT(financials[[#This Row],[Date]],"MMM")</f>
        <v>Sep</v>
      </c>
      <c r="Q916">
        <f ca="1">YEAR(financials[[#This Row],[Date]])</f>
        <v>2023</v>
      </c>
    </row>
    <row r="917" spans="1:17" x14ac:dyDescent="0.3">
      <c r="A917" t="s">
        <v>16</v>
      </c>
      <c r="B917" t="s">
        <v>17</v>
      </c>
      <c r="C917" s="6" t="s">
        <v>28</v>
      </c>
      <c r="D917" s="6" t="str">
        <f>CONCATENATE(financials[[#This Row],[Segment]],",",financials[[#This Row],[Country]],",",financials[[#This Row],[Product]])</f>
        <v>Government,Canada,Paseo</v>
      </c>
      <c r="E917" s="6" t="s">
        <v>33</v>
      </c>
      <c r="F917">
        <f t="shared" ca="1" si="28"/>
        <v>904</v>
      </c>
      <c r="G917" s="1">
        <f ca="1">VLOOKUP(financials[[#This Row],[ID]],Prices!D:F,2,FALSE)</f>
        <v>10</v>
      </c>
      <c r="H917" s="1">
        <f ca="1">VLOOKUP(financials[[#This Row],[ID]],Prices!D:F,3,FALSE)</f>
        <v>23</v>
      </c>
      <c r="I917" s="1">
        <f ca="1">financials[[#This Row],[Units Sold]]*financials[[#This Row],[Sale Price]]</f>
        <v>20792</v>
      </c>
      <c r="J9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1039.6000000000001</v>
      </c>
      <c r="K917" s="1">
        <f ca="1">financials[[#This Row],[Gross Sales]]-financials[[#This Row],[Discounts]]</f>
        <v>19752.400000000001</v>
      </c>
      <c r="L917" s="1">
        <f ca="1">financials[[#This Row],[Units Sold]]*financials[[#This Row],[Manufacturing Price]]</f>
        <v>9040</v>
      </c>
      <c r="M917" s="1">
        <f ca="1">financials[[#This Row],[Sales]]-financials[[#This Row],[COGS]]</f>
        <v>10712.400000000001</v>
      </c>
      <c r="N917" s="7">
        <f t="shared" ca="1" si="29"/>
        <v>45217</v>
      </c>
      <c r="O917" s="8">
        <f ca="1">MONTH(financials[[#This Row],[Date]])</f>
        <v>10</v>
      </c>
      <c r="P917" s="6" t="str">
        <f ca="1">TEXT(financials[[#This Row],[Date]],"MMM")</f>
        <v>Oct</v>
      </c>
      <c r="Q917">
        <f ca="1">YEAR(financials[[#This Row],[Date]])</f>
        <v>2023</v>
      </c>
    </row>
    <row r="918" spans="1:17" x14ac:dyDescent="0.3">
      <c r="A918" t="s">
        <v>16</v>
      </c>
      <c r="B918" t="s">
        <v>23</v>
      </c>
      <c r="C918" s="6" t="s">
        <v>28</v>
      </c>
      <c r="D918" s="6" t="str">
        <f>CONCATENATE(financials[[#This Row],[Segment]],",",financials[[#This Row],[Country]],",",financials[[#This Row],[Product]])</f>
        <v>Government,Mexico,Paseo</v>
      </c>
      <c r="E918" s="6" t="s">
        <v>33</v>
      </c>
      <c r="F918">
        <f t="shared" ca="1" si="28"/>
        <v>694</v>
      </c>
      <c r="G918" s="1">
        <f ca="1">VLOOKUP(financials[[#This Row],[ID]],Prices!D:F,2,FALSE)</f>
        <v>18</v>
      </c>
      <c r="H918" s="1">
        <f ca="1">VLOOKUP(financials[[#This Row],[ID]],Prices!D:F,3,FALSE)</f>
        <v>19</v>
      </c>
      <c r="I918" s="1">
        <f ca="1">financials[[#This Row],[Units Sold]]*financials[[#This Row],[Sale Price]]</f>
        <v>13186</v>
      </c>
      <c r="J9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659.30000000000007</v>
      </c>
      <c r="K918" s="1">
        <f ca="1">financials[[#This Row],[Gross Sales]]-financials[[#This Row],[Discounts]]</f>
        <v>12526.7</v>
      </c>
      <c r="L918" s="1">
        <f ca="1">financials[[#This Row],[Units Sold]]*financials[[#This Row],[Manufacturing Price]]</f>
        <v>12492</v>
      </c>
      <c r="M918" s="1">
        <f ca="1">financials[[#This Row],[Sales]]-financials[[#This Row],[COGS]]</f>
        <v>34.700000000000728</v>
      </c>
      <c r="N918" s="7">
        <f t="shared" ca="1" si="29"/>
        <v>45621</v>
      </c>
      <c r="O918" s="8">
        <f ca="1">MONTH(financials[[#This Row],[Date]])</f>
        <v>11</v>
      </c>
      <c r="P918" s="6" t="str">
        <f ca="1">TEXT(financials[[#This Row],[Date]],"MMM")</f>
        <v>Nov</v>
      </c>
      <c r="Q918">
        <f ca="1">YEAR(financials[[#This Row],[Date]])</f>
        <v>2024</v>
      </c>
    </row>
    <row r="919" spans="1:17" x14ac:dyDescent="0.3">
      <c r="A919" t="s">
        <v>25</v>
      </c>
      <c r="B919" t="s">
        <v>17</v>
      </c>
      <c r="C919" s="6" t="s">
        <v>28</v>
      </c>
      <c r="D919" s="6" t="str">
        <f>CONCATENATE(financials[[#This Row],[Segment]],",",financials[[#This Row],[Country]],",",financials[[#This Row],[Product]])</f>
        <v>Channel Partners,Canada,Paseo</v>
      </c>
      <c r="E919" s="6" t="s">
        <v>33</v>
      </c>
      <c r="F919">
        <f t="shared" ca="1" si="28"/>
        <v>645</v>
      </c>
      <c r="G919" s="1">
        <f ca="1">VLOOKUP(financials[[#This Row],[ID]],Prices!D:F,2,FALSE)</f>
        <v>13</v>
      </c>
      <c r="H919" s="1">
        <f ca="1">VLOOKUP(financials[[#This Row],[ID]],Prices!D:F,3,FALSE)</f>
        <v>26</v>
      </c>
      <c r="I919" s="1">
        <f ca="1">financials[[#This Row],[Units Sold]]*financials[[#This Row],[Sale Price]]</f>
        <v>16770</v>
      </c>
      <c r="J9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838.5</v>
      </c>
      <c r="K919" s="1">
        <f ca="1">financials[[#This Row],[Gross Sales]]-financials[[#This Row],[Discounts]]</f>
        <v>15931.5</v>
      </c>
      <c r="L919" s="1">
        <f ca="1">financials[[#This Row],[Units Sold]]*financials[[#This Row],[Manufacturing Price]]</f>
        <v>8385</v>
      </c>
      <c r="M919" s="1">
        <f ca="1">financials[[#This Row],[Sales]]-financials[[#This Row],[COGS]]</f>
        <v>7546.5</v>
      </c>
      <c r="N919" s="7">
        <f t="shared" ca="1" si="29"/>
        <v>45245</v>
      </c>
      <c r="O919" s="8">
        <f ca="1">MONTH(financials[[#This Row],[Date]])</f>
        <v>11</v>
      </c>
      <c r="P919" s="6" t="str">
        <f ca="1">TEXT(financials[[#This Row],[Date]],"MMM")</f>
        <v>Nov</v>
      </c>
      <c r="Q919">
        <f ca="1">YEAR(financials[[#This Row],[Date]])</f>
        <v>2023</v>
      </c>
    </row>
    <row r="920" spans="1:17" x14ac:dyDescent="0.3">
      <c r="A920" t="s">
        <v>25</v>
      </c>
      <c r="B920" t="s">
        <v>17</v>
      </c>
      <c r="C920" s="6" t="s">
        <v>29</v>
      </c>
      <c r="D920" s="6" t="str">
        <f>CONCATENATE(financials[[#This Row],[Segment]],",",financials[[#This Row],[Country]],",",financials[[#This Row],[Product]])</f>
        <v>Channel Partners,Canada,Velo</v>
      </c>
      <c r="E920" s="6" t="s">
        <v>33</v>
      </c>
      <c r="F920">
        <f t="shared" ca="1" si="28"/>
        <v>895</v>
      </c>
      <c r="G920" s="1">
        <f ca="1">VLOOKUP(financials[[#This Row],[ID]],Prices!D:F,2,FALSE)</f>
        <v>15</v>
      </c>
      <c r="H920" s="1">
        <f ca="1">VLOOKUP(financials[[#This Row],[ID]],Prices!D:F,3,FALSE)</f>
        <v>33</v>
      </c>
      <c r="I920" s="1">
        <f ca="1">financials[[#This Row],[Units Sold]]*financials[[#This Row],[Sale Price]]</f>
        <v>29535</v>
      </c>
      <c r="J9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1476.75</v>
      </c>
      <c r="K920" s="1">
        <f ca="1">financials[[#This Row],[Gross Sales]]-financials[[#This Row],[Discounts]]</f>
        <v>28058.25</v>
      </c>
      <c r="L920" s="1">
        <f ca="1">financials[[#This Row],[Units Sold]]*financials[[#This Row],[Manufacturing Price]]</f>
        <v>13425</v>
      </c>
      <c r="M920" s="1">
        <f ca="1">financials[[#This Row],[Sales]]-financials[[#This Row],[COGS]]</f>
        <v>14633.25</v>
      </c>
      <c r="N920" s="7">
        <f t="shared" ca="1" si="29"/>
        <v>45241</v>
      </c>
      <c r="O920" s="8">
        <f ca="1">MONTH(financials[[#This Row],[Date]])</f>
        <v>11</v>
      </c>
      <c r="P920" s="6" t="str">
        <f ca="1">TEXT(financials[[#This Row],[Date]],"MMM")</f>
        <v>Nov</v>
      </c>
      <c r="Q920">
        <f ca="1">YEAR(financials[[#This Row],[Date]])</f>
        <v>2023</v>
      </c>
    </row>
    <row r="921" spans="1:17" x14ac:dyDescent="0.3">
      <c r="A921" t="s">
        <v>16</v>
      </c>
      <c r="B921" t="s">
        <v>23</v>
      </c>
      <c r="C921" s="6" t="s">
        <v>30</v>
      </c>
      <c r="D921" s="6" t="str">
        <f>CONCATENATE(financials[[#This Row],[Segment]],",",financials[[#This Row],[Country]],",",financials[[#This Row],[Product]])</f>
        <v>Government,Mexico,VTT</v>
      </c>
      <c r="E921" s="6" t="s">
        <v>33</v>
      </c>
      <c r="F921">
        <f t="shared" ca="1" si="28"/>
        <v>474</v>
      </c>
      <c r="G921" s="1">
        <f ca="1">VLOOKUP(financials[[#This Row],[ID]],Prices!D:F,2,FALSE)</f>
        <v>18</v>
      </c>
      <c r="H921" s="1">
        <f ca="1">VLOOKUP(financials[[#This Row],[ID]],Prices!D:F,3,FALSE)</f>
        <v>20</v>
      </c>
      <c r="I921" s="1">
        <f ca="1">financials[[#This Row],[Units Sold]]*financials[[#This Row],[Sale Price]]</f>
        <v>9480</v>
      </c>
      <c r="J9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474</v>
      </c>
      <c r="K921" s="1">
        <f ca="1">financials[[#This Row],[Gross Sales]]-financials[[#This Row],[Discounts]]</f>
        <v>9006</v>
      </c>
      <c r="L921" s="1">
        <f ca="1">financials[[#This Row],[Units Sold]]*financials[[#This Row],[Manufacturing Price]]</f>
        <v>8532</v>
      </c>
      <c r="M921" s="1">
        <f ca="1">financials[[#This Row],[Sales]]-financials[[#This Row],[COGS]]</f>
        <v>474</v>
      </c>
      <c r="N921" s="7">
        <f t="shared" ca="1" si="29"/>
        <v>45164</v>
      </c>
      <c r="O921" s="8">
        <f ca="1">MONTH(financials[[#This Row],[Date]])</f>
        <v>8</v>
      </c>
      <c r="P921" s="6" t="str">
        <f ca="1">TEXT(financials[[#This Row],[Date]],"MMM")</f>
        <v>Aug</v>
      </c>
      <c r="Q921">
        <f ca="1">YEAR(financials[[#This Row],[Date]])</f>
        <v>2023</v>
      </c>
    </row>
    <row r="922" spans="1:17" x14ac:dyDescent="0.3">
      <c r="A922" t="s">
        <v>16</v>
      </c>
      <c r="B922" t="s">
        <v>23</v>
      </c>
      <c r="C922" s="6" t="s">
        <v>31</v>
      </c>
      <c r="D922" s="6" t="str">
        <f>CONCATENATE(financials[[#This Row],[Segment]],",",financials[[#This Row],[Country]],",",financials[[#This Row],[Product]])</f>
        <v>Government,Mexico,Amarilla</v>
      </c>
      <c r="E922" s="6" t="s">
        <v>33</v>
      </c>
      <c r="F922">
        <f t="shared" ca="1" si="28"/>
        <v>157</v>
      </c>
      <c r="G922" s="1">
        <f ca="1">VLOOKUP(financials[[#This Row],[ID]],Prices!D:F,2,FALSE)</f>
        <v>15</v>
      </c>
      <c r="H922" s="1">
        <f ca="1">VLOOKUP(financials[[#This Row],[ID]],Prices!D:F,3,FALSE)</f>
        <v>32</v>
      </c>
      <c r="I922" s="1">
        <f ca="1">financials[[#This Row],[Units Sold]]*financials[[#This Row],[Sale Price]]</f>
        <v>5024</v>
      </c>
      <c r="J9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251.20000000000002</v>
      </c>
      <c r="K922" s="1">
        <f ca="1">financials[[#This Row],[Gross Sales]]-financials[[#This Row],[Discounts]]</f>
        <v>4772.8</v>
      </c>
      <c r="L922" s="1">
        <f ca="1">financials[[#This Row],[Units Sold]]*financials[[#This Row],[Manufacturing Price]]</f>
        <v>2355</v>
      </c>
      <c r="M922" s="1">
        <f ca="1">financials[[#This Row],[Sales]]-financials[[#This Row],[COGS]]</f>
        <v>2417.8000000000002</v>
      </c>
      <c r="N922" s="7">
        <f t="shared" ca="1" si="29"/>
        <v>45462</v>
      </c>
      <c r="O922" s="8">
        <f ca="1">MONTH(financials[[#This Row],[Date]])</f>
        <v>6</v>
      </c>
      <c r="P922" s="6" t="str">
        <f ca="1">TEXT(financials[[#This Row],[Date]],"MMM")</f>
        <v>Jun</v>
      </c>
      <c r="Q922">
        <f ca="1">YEAR(financials[[#This Row],[Date]])</f>
        <v>2024</v>
      </c>
    </row>
    <row r="923" spans="1:17" x14ac:dyDescent="0.3">
      <c r="A923" t="s">
        <v>25</v>
      </c>
      <c r="B923" t="s">
        <v>23</v>
      </c>
      <c r="C923" s="6" t="s">
        <v>31</v>
      </c>
      <c r="D923" s="6" t="str">
        <f>CONCATENATE(financials[[#This Row],[Segment]],",",financials[[#This Row],[Country]],",",financials[[#This Row],[Product]])</f>
        <v>Channel Partners,Mexico,Amarilla</v>
      </c>
      <c r="E923" s="6" t="s">
        <v>33</v>
      </c>
      <c r="F923">
        <f t="shared" ca="1" si="28"/>
        <v>60</v>
      </c>
      <c r="G923" s="1">
        <f ca="1">VLOOKUP(financials[[#This Row],[ID]],Prices!D:F,2,FALSE)</f>
        <v>11</v>
      </c>
      <c r="H923" s="1">
        <f ca="1">VLOOKUP(financials[[#This Row],[ID]],Prices!D:F,3,FALSE)</f>
        <v>20</v>
      </c>
      <c r="I923" s="1">
        <f ca="1">financials[[#This Row],[Units Sold]]*financials[[#This Row],[Sale Price]]</f>
        <v>1200</v>
      </c>
      <c r="J9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</v>
      </c>
      <c r="K923" s="1">
        <f ca="1">financials[[#This Row],[Gross Sales]]-financials[[#This Row],[Discounts]]</f>
        <v>1140</v>
      </c>
      <c r="L923" s="1">
        <f ca="1">financials[[#This Row],[Units Sold]]*financials[[#This Row],[Manufacturing Price]]</f>
        <v>660</v>
      </c>
      <c r="M923" s="1">
        <f ca="1">financials[[#This Row],[Sales]]-financials[[#This Row],[COGS]]</f>
        <v>480</v>
      </c>
      <c r="N923" s="7">
        <f t="shared" ca="1" si="29"/>
        <v>45392</v>
      </c>
      <c r="O923" s="8">
        <f ca="1">MONTH(financials[[#This Row],[Date]])</f>
        <v>4</v>
      </c>
      <c r="P923" s="6" t="str">
        <f ca="1">TEXT(financials[[#This Row],[Date]],"MMM")</f>
        <v>Apr</v>
      </c>
      <c r="Q923">
        <f ca="1">YEAR(financials[[#This Row],[Date]])</f>
        <v>2024</v>
      </c>
    </row>
    <row r="924" spans="1:17" x14ac:dyDescent="0.3">
      <c r="A924" t="s">
        <v>16</v>
      </c>
      <c r="B924" t="s">
        <v>20</v>
      </c>
      <c r="C924" s="6" t="s">
        <v>31</v>
      </c>
      <c r="D924" s="6" t="str">
        <f>CONCATENATE(financials[[#This Row],[Segment]],",",financials[[#This Row],[Country]],",",financials[[#This Row],[Product]])</f>
        <v>Government,Germany,Amarilla</v>
      </c>
      <c r="E924" s="6" t="s">
        <v>33</v>
      </c>
      <c r="F924">
        <f t="shared" ca="1" si="28"/>
        <v>960</v>
      </c>
      <c r="G924" s="1">
        <f ca="1">VLOOKUP(financials[[#This Row],[ID]],Prices!D:F,2,FALSE)</f>
        <v>10</v>
      </c>
      <c r="H924" s="1">
        <f ca="1">VLOOKUP(financials[[#This Row],[ID]],Prices!D:F,3,FALSE)</f>
        <v>20</v>
      </c>
      <c r="I924" s="1">
        <f ca="1">financials[[#This Row],[Units Sold]]*financials[[#This Row],[Sale Price]]</f>
        <v>19200</v>
      </c>
      <c r="J9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960</v>
      </c>
      <c r="K924" s="1">
        <f ca="1">financials[[#This Row],[Gross Sales]]-financials[[#This Row],[Discounts]]</f>
        <v>18240</v>
      </c>
      <c r="L924" s="1">
        <f ca="1">financials[[#This Row],[Units Sold]]*financials[[#This Row],[Manufacturing Price]]</f>
        <v>9600</v>
      </c>
      <c r="M924" s="1">
        <f ca="1">financials[[#This Row],[Sales]]-financials[[#This Row],[COGS]]</f>
        <v>8640</v>
      </c>
      <c r="N924" s="7">
        <f t="shared" ca="1" si="29"/>
        <v>45533</v>
      </c>
      <c r="O924" s="8">
        <f ca="1">MONTH(financials[[#This Row],[Date]])</f>
        <v>8</v>
      </c>
      <c r="P924" s="6" t="str">
        <f ca="1">TEXT(financials[[#This Row],[Date]],"MMM")</f>
        <v>Aug</v>
      </c>
      <c r="Q924">
        <f ca="1">YEAR(financials[[#This Row],[Date]])</f>
        <v>2024</v>
      </c>
    </row>
    <row r="925" spans="1:17" x14ac:dyDescent="0.3">
      <c r="A925" t="s">
        <v>25</v>
      </c>
      <c r="B925" t="s">
        <v>22</v>
      </c>
      <c r="C925" s="6" t="s">
        <v>18</v>
      </c>
      <c r="D925" s="6" t="str">
        <f>CONCATENATE(financials[[#This Row],[Segment]],",",financials[[#This Row],[Country]],",",financials[[#This Row],[Product]])</f>
        <v>Channel Partners,France,Carretera</v>
      </c>
      <c r="E925" s="6" t="s">
        <v>33</v>
      </c>
      <c r="F925">
        <f t="shared" ca="1" si="28"/>
        <v>16</v>
      </c>
      <c r="G925" s="1">
        <f ca="1">VLOOKUP(financials[[#This Row],[ID]],Prices!D:F,2,FALSE)</f>
        <v>10</v>
      </c>
      <c r="H925" s="1">
        <f ca="1">VLOOKUP(financials[[#This Row],[ID]],Prices!D:F,3,FALSE)</f>
        <v>25</v>
      </c>
      <c r="I925" s="1">
        <f ca="1">financials[[#This Row],[Units Sold]]*financials[[#This Row],[Sale Price]]</f>
        <v>400</v>
      </c>
      <c r="J9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</v>
      </c>
      <c r="K925" s="1">
        <f ca="1">financials[[#This Row],[Gross Sales]]-financials[[#This Row],[Discounts]]</f>
        <v>396</v>
      </c>
      <c r="L925" s="1">
        <f ca="1">financials[[#This Row],[Units Sold]]*financials[[#This Row],[Manufacturing Price]]</f>
        <v>160</v>
      </c>
      <c r="M925" s="1">
        <f ca="1">financials[[#This Row],[Sales]]-financials[[#This Row],[COGS]]</f>
        <v>236</v>
      </c>
      <c r="N925" s="7">
        <f t="shared" ca="1" si="29"/>
        <v>45677</v>
      </c>
      <c r="O925" s="8">
        <f ca="1">MONTH(financials[[#This Row],[Date]])</f>
        <v>1</v>
      </c>
      <c r="P925" s="6" t="str">
        <f ca="1">TEXT(financials[[#This Row],[Date]],"MMM")</f>
        <v>Jan</v>
      </c>
      <c r="Q925">
        <f ca="1">YEAR(financials[[#This Row],[Date]])</f>
        <v>2025</v>
      </c>
    </row>
    <row r="926" spans="1:17" x14ac:dyDescent="0.3">
      <c r="A926" t="s">
        <v>25</v>
      </c>
      <c r="B926" t="s">
        <v>20</v>
      </c>
      <c r="C926" s="6" t="s">
        <v>18</v>
      </c>
      <c r="D926" s="6" t="str">
        <f>CONCATENATE(financials[[#This Row],[Segment]],",",financials[[#This Row],[Country]],",",financials[[#This Row],[Product]])</f>
        <v>Channel Partners,Germany,Carretera</v>
      </c>
      <c r="E926" s="6" t="s">
        <v>33</v>
      </c>
      <c r="F926">
        <f t="shared" ca="1" si="28"/>
        <v>272</v>
      </c>
      <c r="G926" s="1">
        <f ca="1">VLOOKUP(financials[[#This Row],[ID]],Prices!D:F,2,FALSE)</f>
        <v>11</v>
      </c>
      <c r="H926" s="1">
        <f ca="1">VLOOKUP(financials[[#This Row],[ID]],Prices!D:F,3,FALSE)</f>
        <v>16</v>
      </c>
      <c r="I926" s="1">
        <f ca="1">financials[[#This Row],[Units Sold]]*financials[[#This Row],[Sale Price]]</f>
        <v>4352</v>
      </c>
      <c r="J9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217.60000000000002</v>
      </c>
      <c r="K926" s="1">
        <f ca="1">financials[[#This Row],[Gross Sales]]-financials[[#This Row],[Discounts]]</f>
        <v>4134.3999999999996</v>
      </c>
      <c r="L926" s="1">
        <f ca="1">financials[[#This Row],[Units Sold]]*financials[[#This Row],[Manufacturing Price]]</f>
        <v>2992</v>
      </c>
      <c r="M926" s="1">
        <f ca="1">financials[[#This Row],[Sales]]-financials[[#This Row],[COGS]]</f>
        <v>1142.3999999999996</v>
      </c>
      <c r="N926" s="7">
        <f t="shared" ca="1" si="29"/>
        <v>45208</v>
      </c>
      <c r="O926" s="8">
        <f ca="1">MONTH(financials[[#This Row],[Date]])</f>
        <v>10</v>
      </c>
      <c r="P926" s="6" t="str">
        <f ca="1">TEXT(financials[[#This Row],[Date]],"MMM")</f>
        <v>Oct</v>
      </c>
      <c r="Q926">
        <f ca="1">YEAR(financials[[#This Row],[Date]])</f>
        <v>2023</v>
      </c>
    </row>
    <row r="927" spans="1:17" x14ac:dyDescent="0.3">
      <c r="A927" t="s">
        <v>16</v>
      </c>
      <c r="B927" t="s">
        <v>22</v>
      </c>
      <c r="C927" s="6" t="s">
        <v>18</v>
      </c>
      <c r="D927" s="6" t="str">
        <f>CONCATENATE(financials[[#This Row],[Segment]],",",financials[[#This Row],[Country]],",",financials[[#This Row],[Product]])</f>
        <v>Government,France,Carretera</v>
      </c>
      <c r="E927" s="6" t="s">
        <v>33</v>
      </c>
      <c r="F927">
        <f t="shared" ca="1" si="28"/>
        <v>195</v>
      </c>
      <c r="G927" s="1">
        <f ca="1">VLOOKUP(financials[[#This Row],[ID]],Prices!D:F,2,FALSE)</f>
        <v>12</v>
      </c>
      <c r="H927" s="1">
        <f ca="1">VLOOKUP(financials[[#This Row],[ID]],Prices!D:F,3,FALSE)</f>
        <v>38</v>
      </c>
      <c r="I927" s="1">
        <f ca="1">financials[[#This Row],[Units Sold]]*financials[[#This Row],[Sale Price]]</f>
        <v>7410</v>
      </c>
      <c r="J9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370.5</v>
      </c>
      <c r="K927" s="1">
        <f ca="1">financials[[#This Row],[Gross Sales]]-financials[[#This Row],[Discounts]]</f>
        <v>7039.5</v>
      </c>
      <c r="L927" s="1">
        <f ca="1">financials[[#This Row],[Units Sold]]*financials[[#This Row],[Manufacturing Price]]</f>
        <v>2340</v>
      </c>
      <c r="M927" s="1">
        <f ca="1">financials[[#This Row],[Sales]]-financials[[#This Row],[COGS]]</f>
        <v>4699.5</v>
      </c>
      <c r="N927" s="7">
        <f t="shared" ca="1" si="29"/>
        <v>45734</v>
      </c>
      <c r="O927" s="8">
        <f ca="1">MONTH(financials[[#This Row],[Date]])</f>
        <v>3</v>
      </c>
      <c r="P927" s="6" t="str">
        <f ca="1">TEXT(financials[[#This Row],[Date]],"MMM")</f>
        <v>Mar</v>
      </c>
      <c r="Q927">
        <f ca="1">YEAR(financials[[#This Row],[Date]])</f>
        <v>2025</v>
      </c>
    </row>
    <row r="928" spans="1:17" x14ac:dyDescent="0.3">
      <c r="A928" t="s">
        <v>27</v>
      </c>
      <c r="B928" t="s">
        <v>36</v>
      </c>
      <c r="C928" s="6" t="s">
        <v>18</v>
      </c>
      <c r="D928" s="6" t="str">
        <f>CONCATENATE(financials[[#This Row],[Segment]],",",financials[[#This Row],[Country]],",",financials[[#This Row],[Product]])</f>
        <v>Small Business,USA,Carretera</v>
      </c>
      <c r="E928" s="6" t="s">
        <v>33</v>
      </c>
      <c r="F928">
        <f t="shared" ca="1" si="28"/>
        <v>837</v>
      </c>
      <c r="G928" s="1">
        <f ca="1">VLOOKUP(financials[[#This Row],[ID]],Prices!D:F,2,FALSE)</f>
        <v>14</v>
      </c>
      <c r="H928" s="1">
        <f ca="1">VLOOKUP(financials[[#This Row],[ID]],Prices!D:F,3,FALSE)</f>
        <v>25</v>
      </c>
      <c r="I928" s="1">
        <f ca="1">financials[[#This Row],[Units Sold]]*financials[[#This Row],[Sale Price]]</f>
        <v>20925</v>
      </c>
      <c r="J9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1046.25</v>
      </c>
      <c r="K928" s="1">
        <f ca="1">financials[[#This Row],[Gross Sales]]-financials[[#This Row],[Discounts]]</f>
        <v>19878.75</v>
      </c>
      <c r="L928" s="1">
        <f ca="1">financials[[#This Row],[Units Sold]]*financials[[#This Row],[Manufacturing Price]]</f>
        <v>11718</v>
      </c>
      <c r="M928" s="1">
        <f ca="1">financials[[#This Row],[Sales]]-financials[[#This Row],[COGS]]</f>
        <v>8160.75</v>
      </c>
      <c r="N928" s="7">
        <f t="shared" ca="1" si="29"/>
        <v>45279</v>
      </c>
      <c r="O928" s="8">
        <f ca="1">MONTH(financials[[#This Row],[Date]])</f>
        <v>12</v>
      </c>
      <c r="P928" s="6" t="str">
        <f ca="1">TEXT(financials[[#This Row],[Date]],"MMM")</f>
        <v>Dec</v>
      </c>
      <c r="Q928">
        <f ca="1">YEAR(financials[[#This Row],[Date]])</f>
        <v>2023</v>
      </c>
    </row>
    <row r="929" spans="1:17" x14ac:dyDescent="0.3">
      <c r="A929" t="s">
        <v>16</v>
      </c>
      <c r="B929" t="s">
        <v>20</v>
      </c>
      <c r="C929" s="6" t="s">
        <v>18</v>
      </c>
      <c r="D929" s="6" t="str">
        <f>CONCATENATE(financials[[#This Row],[Segment]],",",financials[[#This Row],[Country]],",",financials[[#This Row],[Product]])</f>
        <v>Government,Germany,Carretera</v>
      </c>
      <c r="E929" s="6" t="s">
        <v>33</v>
      </c>
      <c r="F929">
        <f t="shared" ca="1" si="28"/>
        <v>882</v>
      </c>
      <c r="G929" s="1">
        <f ca="1">VLOOKUP(financials[[#This Row],[ID]],Prices!D:F,2,FALSE)</f>
        <v>13</v>
      </c>
      <c r="H929" s="1">
        <f ca="1">VLOOKUP(financials[[#This Row],[ID]],Prices!D:F,3,FALSE)</f>
        <v>22</v>
      </c>
      <c r="I929" s="1">
        <f ca="1">financials[[#This Row],[Units Sold]]*financials[[#This Row],[Sale Price]]</f>
        <v>19404</v>
      </c>
      <c r="J9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970.2</v>
      </c>
      <c r="K929" s="1">
        <f ca="1">financials[[#This Row],[Gross Sales]]-financials[[#This Row],[Discounts]]</f>
        <v>18433.8</v>
      </c>
      <c r="L929" s="1">
        <f ca="1">financials[[#This Row],[Units Sold]]*financials[[#This Row],[Manufacturing Price]]</f>
        <v>11466</v>
      </c>
      <c r="M929" s="1">
        <f ca="1">financials[[#This Row],[Sales]]-financials[[#This Row],[COGS]]</f>
        <v>6967.7999999999993</v>
      </c>
      <c r="N929" s="7">
        <f t="shared" ca="1" si="29"/>
        <v>45716</v>
      </c>
      <c r="O929" s="8">
        <f ca="1">MONTH(financials[[#This Row],[Date]])</f>
        <v>2</v>
      </c>
      <c r="P929" s="6" t="str">
        <f ca="1">TEXT(financials[[#This Row],[Date]],"MMM")</f>
        <v>Feb</v>
      </c>
      <c r="Q929">
        <f ca="1">YEAR(financials[[#This Row],[Date]])</f>
        <v>2025</v>
      </c>
    </row>
    <row r="930" spans="1:17" x14ac:dyDescent="0.3">
      <c r="A930" t="s">
        <v>21</v>
      </c>
      <c r="B930" t="s">
        <v>23</v>
      </c>
      <c r="C930" s="6" t="s">
        <v>18</v>
      </c>
      <c r="D930" s="6" t="str">
        <f>CONCATENATE(financials[[#This Row],[Segment]],",",financials[[#This Row],[Country]],",",financials[[#This Row],[Product]])</f>
        <v>Midmarket,Mexico,Carretera</v>
      </c>
      <c r="E930" s="6" t="s">
        <v>33</v>
      </c>
      <c r="F930">
        <f t="shared" ca="1" si="28"/>
        <v>803</v>
      </c>
      <c r="G930" s="1">
        <f ca="1">VLOOKUP(financials[[#This Row],[ID]],Prices!D:F,2,FALSE)</f>
        <v>16</v>
      </c>
      <c r="H930" s="1">
        <f ca="1">VLOOKUP(financials[[#This Row],[ID]],Prices!D:F,3,FALSE)</f>
        <v>21</v>
      </c>
      <c r="I930" s="1">
        <f ca="1">financials[[#This Row],[Units Sold]]*financials[[#This Row],[Sale Price]]</f>
        <v>16863</v>
      </c>
      <c r="J9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843.15000000000009</v>
      </c>
      <c r="K930" s="1">
        <f ca="1">financials[[#This Row],[Gross Sales]]-financials[[#This Row],[Discounts]]</f>
        <v>16019.85</v>
      </c>
      <c r="L930" s="1">
        <f ca="1">financials[[#This Row],[Units Sold]]*financials[[#This Row],[Manufacturing Price]]</f>
        <v>12848</v>
      </c>
      <c r="M930" s="1">
        <f ca="1">financials[[#This Row],[Sales]]-financials[[#This Row],[COGS]]</f>
        <v>3171.8500000000004</v>
      </c>
      <c r="N930" s="7">
        <f t="shared" ca="1" si="29"/>
        <v>45151</v>
      </c>
      <c r="O930" s="8">
        <f ca="1">MONTH(financials[[#This Row],[Date]])</f>
        <v>8</v>
      </c>
      <c r="P930" s="6" t="str">
        <f ca="1">TEXT(financials[[#This Row],[Date]],"MMM")</f>
        <v>Aug</v>
      </c>
      <c r="Q930">
        <f ca="1">YEAR(financials[[#This Row],[Date]])</f>
        <v>2023</v>
      </c>
    </row>
    <row r="931" spans="1:17" x14ac:dyDescent="0.3">
      <c r="A931" t="s">
        <v>16</v>
      </c>
      <c r="B931" t="s">
        <v>36</v>
      </c>
      <c r="C931" s="6" t="s">
        <v>18</v>
      </c>
      <c r="D931" s="6" t="str">
        <f>CONCATENATE(financials[[#This Row],[Segment]],",",financials[[#This Row],[Country]],",",financials[[#This Row],[Product]])</f>
        <v>Government,USA,Carretera</v>
      </c>
      <c r="E931" s="6" t="s">
        <v>33</v>
      </c>
      <c r="F931">
        <f t="shared" ca="1" si="28"/>
        <v>20</v>
      </c>
      <c r="G931" s="1">
        <f ca="1">VLOOKUP(financials[[#This Row],[ID]],Prices!D:F,2,FALSE)</f>
        <v>11</v>
      </c>
      <c r="H931" s="1">
        <f ca="1">VLOOKUP(financials[[#This Row],[ID]],Prices!D:F,3,FALSE)</f>
        <v>21</v>
      </c>
      <c r="I931" s="1">
        <f ca="1">financials[[#This Row],[Units Sold]]*financials[[#This Row],[Sale Price]]</f>
        <v>420</v>
      </c>
      <c r="J9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4.2</v>
      </c>
      <c r="K931" s="1">
        <f ca="1">financials[[#This Row],[Gross Sales]]-financials[[#This Row],[Discounts]]</f>
        <v>415.8</v>
      </c>
      <c r="L931" s="1">
        <f ca="1">financials[[#This Row],[Units Sold]]*financials[[#This Row],[Manufacturing Price]]</f>
        <v>220</v>
      </c>
      <c r="M931" s="1">
        <f ca="1">financials[[#This Row],[Sales]]-financials[[#This Row],[COGS]]</f>
        <v>195.8</v>
      </c>
      <c r="N931" s="7">
        <f t="shared" ca="1" si="29"/>
        <v>45194</v>
      </c>
      <c r="O931" s="8">
        <f ca="1">MONTH(financials[[#This Row],[Date]])</f>
        <v>9</v>
      </c>
      <c r="P931" s="6" t="str">
        <f ca="1">TEXT(financials[[#This Row],[Date]],"MMM")</f>
        <v>Sep</v>
      </c>
      <c r="Q931">
        <f ca="1">YEAR(financials[[#This Row],[Date]])</f>
        <v>2023</v>
      </c>
    </row>
    <row r="932" spans="1:17" x14ac:dyDescent="0.3">
      <c r="A932" t="s">
        <v>16</v>
      </c>
      <c r="B932" t="s">
        <v>22</v>
      </c>
      <c r="C932" s="6" t="s">
        <v>18</v>
      </c>
      <c r="D932" s="6" t="str">
        <f>CONCATENATE(financials[[#This Row],[Segment]],",",financials[[#This Row],[Country]],",",financials[[#This Row],[Product]])</f>
        <v>Government,France,Carretera</v>
      </c>
      <c r="E932" s="6" t="s">
        <v>33</v>
      </c>
      <c r="F932">
        <f t="shared" ca="1" si="28"/>
        <v>375</v>
      </c>
      <c r="G932" s="1">
        <f ca="1">VLOOKUP(financials[[#This Row],[ID]],Prices!D:F,2,FALSE)</f>
        <v>12</v>
      </c>
      <c r="H932" s="1">
        <f ca="1">VLOOKUP(financials[[#This Row],[ID]],Prices!D:F,3,FALSE)</f>
        <v>38</v>
      </c>
      <c r="I932" s="1">
        <f ca="1">financials[[#This Row],[Units Sold]]*financials[[#This Row],[Sale Price]]</f>
        <v>14250</v>
      </c>
      <c r="J9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712.5</v>
      </c>
      <c r="K932" s="1">
        <f ca="1">financials[[#This Row],[Gross Sales]]-financials[[#This Row],[Discounts]]</f>
        <v>13537.5</v>
      </c>
      <c r="L932" s="1">
        <f ca="1">financials[[#This Row],[Units Sold]]*financials[[#This Row],[Manufacturing Price]]</f>
        <v>4500</v>
      </c>
      <c r="M932" s="1">
        <f ca="1">financials[[#This Row],[Sales]]-financials[[#This Row],[COGS]]</f>
        <v>9037.5</v>
      </c>
      <c r="N932" s="7">
        <f t="shared" ca="1" si="29"/>
        <v>45744</v>
      </c>
      <c r="O932" s="8">
        <f ca="1">MONTH(financials[[#This Row],[Date]])</f>
        <v>3</v>
      </c>
      <c r="P932" s="6" t="str">
        <f ca="1">TEXT(financials[[#This Row],[Date]],"MMM")</f>
        <v>Mar</v>
      </c>
      <c r="Q932">
        <f ca="1">YEAR(financials[[#This Row],[Date]])</f>
        <v>2025</v>
      </c>
    </row>
    <row r="933" spans="1:17" x14ac:dyDescent="0.3">
      <c r="A933" t="s">
        <v>16</v>
      </c>
      <c r="B933" t="s">
        <v>22</v>
      </c>
      <c r="C933" s="6" t="s">
        <v>24</v>
      </c>
      <c r="D933" s="6" t="str">
        <f>CONCATENATE(financials[[#This Row],[Segment]],",",financials[[#This Row],[Country]],",",financials[[#This Row],[Product]])</f>
        <v>Government,France,Montana</v>
      </c>
      <c r="E933" s="6" t="s">
        <v>33</v>
      </c>
      <c r="F933">
        <f t="shared" ca="1" si="28"/>
        <v>584</v>
      </c>
      <c r="G933" s="1">
        <f ca="1">VLOOKUP(financials[[#This Row],[ID]],Prices!D:F,2,FALSE)</f>
        <v>19</v>
      </c>
      <c r="H933" s="1">
        <f ca="1">VLOOKUP(financials[[#This Row],[ID]],Prices!D:F,3,FALSE)</f>
        <v>22</v>
      </c>
      <c r="I933" s="1">
        <f ca="1">financials[[#This Row],[Units Sold]]*financials[[#This Row],[Sale Price]]</f>
        <v>12848</v>
      </c>
      <c r="J9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642.40000000000009</v>
      </c>
      <c r="K933" s="1">
        <f ca="1">financials[[#This Row],[Gross Sales]]-financials[[#This Row],[Discounts]]</f>
        <v>12205.6</v>
      </c>
      <c r="L933" s="1">
        <f ca="1">financials[[#This Row],[Units Sold]]*financials[[#This Row],[Manufacturing Price]]</f>
        <v>11096</v>
      </c>
      <c r="M933" s="1">
        <f ca="1">financials[[#This Row],[Sales]]-financials[[#This Row],[COGS]]</f>
        <v>1109.6000000000004</v>
      </c>
      <c r="N933" s="7">
        <f t="shared" ca="1" si="29"/>
        <v>45502</v>
      </c>
      <c r="O933" s="8">
        <f ca="1">MONTH(financials[[#This Row],[Date]])</f>
        <v>7</v>
      </c>
      <c r="P933" s="6" t="str">
        <f ca="1">TEXT(financials[[#This Row],[Date]],"MMM")</f>
        <v>Jul</v>
      </c>
      <c r="Q933">
        <f ca="1">YEAR(financials[[#This Row],[Date]])</f>
        <v>2024</v>
      </c>
    </row>
    <row r="934" spans="1:17" x14ac:dyDescent="0.3">
      <c r="A934" t="s">
        <v>26</v>
      </c>
      <c r="B934" t="s">
        <v>36</v>
      </c>
      <c r="C934" s="6" t="s">
        <v>24</v>
      </c>
      <c r="D934" s="6" t="str">
        <f>CONCATENATE(financials[[#This Row],[Segment]],",",financials[[#This Row],[Country]],",",financials[[#This Row],[Product]])</f>
        <v>Enterprise,USA,Montana</v>
      </c>
      <c r="E934" s="6" t="s">
        <v>33</v>
      </c>
      <c r="F934">
        <f t="shared" ca="1" si="28"/>
        <v>145</v>
      </c>
      <c r="G934" s="1">
        <f ca="1">VLOOKUP(financials[[#This Row],[ID]],Prices!D:F,2,FALSE)</f>
        <v>14</v>
      </c>
      <c r="H934" s="1">
        <f ca="1">VLOOKUP(financials[[#This Row],[ID]],Prices!D:F,3,FALSE)</f>
        <v>29</v>
      </c>
      <c r="I934" s="1">
        <f ca="1">financials[[#This Row],[Units Sold]]*financials[[#This Row],[Sale Price]]</f>
        <v>4205</v>
      </c>
      <c r="J9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210.25</v>
      </c>
      <c r="K934" s="1">
        <f ca="1">financials[[#This Row],[Gross Sales]]-financials[[#This Row],[Discounts]]</f>
        <v>3994.75</v>
      </c>
      <c r="L934" s="1">
        <f ca="1">financials[[#This Row],[Units Sold]]*financials[[#This Row],[Manufacturing Price]]</f>
        <v>2030</v>
      </c>
      <c r="M934" s="1">
        <f ca="1">financials[[#This Row],[Sales]]-financials[[#This Row],[COGS]]</f>
        <v>1964.75</v>
      </c>
      <c r="N934" s="7">
        <f t="shared" ca="1" si="29"/>
        <v>45145</v>
      </c>
      <c r="O934" s="8">
        <f ca="1">MONTH(financials[[#This Row],[Date]])</f>
        <v>8</v>
      </c>
      <c r="P934" s="6" t="str">
        <f ca="1">TEXT(financials[[#This Row],[Date]],"MMM")</f>
        <v>Aug</v>
      </c>
      <c r="Q934">
        <f ca="1">YEAR(financials[[#This Row],[Date]])</f>
        <v>2023</v>
      </c>
    </row>
    <row r="935" spans="1:17" x14ac:dyDescent="0.3">
      <c r="A935" t="s">
        <v>16</v>
      </c>
      <c r="B935" t="s">
        <v>23</v>
      </c>
      <c r="C935" s="6" t="s">
        <v>24</v>
      </c>
      <c r="D935" s="6" t="str">
        <f>CONCATENATE(financials[[#This Row],[Segment]],",",financials[[#This Row],[Country]],",",financials[[#This Row],[Product]])</f>
        <v>Government,Mexico,Montana</v>
      </c>
      <c r="E935" s="6" t="s">
        <v>33</v>
      </c>
      <c r="F935">
        <f t="shared" ca="1" si="28"/>
        <v>244</v>
      </c>
      <c r="G935" s="1">
        <f ca="1">VLOOKUP(financials[[#This Row],[ID]],Prices!D:F,2,FALSE)</f>
        <v>19</v>
      </c>
      <c r="H935" s="1">
        <f ca="1">VLOOKUP(financials[[#This Row],[ID]],Prices!D:F,3,FALSE)</f>
        <v>20</v>
      </c>
      <c r="I935" s="1">
        <f ca="1">financials[[#This Row],[Units Sold]]*financials[[#This Row],[Sale Price]]</f>
        <v>4880</v>
      </c>
      <c r="J9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244</v>
      </c>
      <c r="K935" s="1">
        <f ca="1">financials[[#This Row],[Gross Sales]]-financials[[#This Row],[Discounts]]</f>
        <v>4636</v>
      </c>
      <c r="L935" s="1">
        <f ca="1">financials[[#This Row],[Units Sold]]*financials[[#This Row],[Manufacturing Price]]</f>
        <v>4636</v>
      </c>
      <c r="M935" s="1">
        <f ca="1">financials[[#This Row],[Sales]]-financials[[#This Row],[COGS]]</f>
        <v>0</v>
      </c>
      <c r="N935" s="7">
        <f t="shared" ca="1" si="29"/>
        <v>45547</v>
      </c>
      <c r="O935" s="8">
        <f ca="1">MONTH(financials[[#This Row],[Date]])</f>
        <v>9</v>
      </c>
      <c r="P935" s="6" t="str">
        <f ca="1">TEXT(financials[[#This Row],[Date]],"MMM")</f>
        <v>Sep</v>
      </c>
      <c r="Q935">
        <f ca="1">YEAR(financials[[#This Row],[Date]])</f>
        <v>2024</v>
      </c>
    </row>
    <row r="936" spans="1:17" x14ac:dyDescent="0.3">
      <c r="A936" t="s">
        <v>25</v>
      </c>
      <c r="B936" t="s">
        <v>20</v>
      </c>
      <c r="C936" s="6" t="s">
        <v>24</v>
      </c>
      <c r="D936" s="6" t="str">
        <f>CONCATENATE(financials[[#This Row],[Segment]],",",financials[[#This Row],[Country]],",",financials[[#This Row],[Product]])</f>
        <v>Channel Partners,Germany,Montana</v>
      </c>
      <c r="E936" s="6" t="s">
        <v>33</v>
      </c>
      <c r="F936">
        <f t="shared" ca="1" si="28"/>
        <v>602</v>
      </c>
      <c r="G936" s="1">
        <f ca="1">VLOOKUP(financials[[#This Row],[ID]],Prices!D:F,2,FALSE)</f>
        <v>12</v>
      </c>
      <c r="H936" s="1">
        <f ca="1">VLOOKUP(financials[[#This Row],[ID]],Prices!D:F,3,FALSE)</f>
        <v>33</v>
      </c>
      <c r="I936" s="1">
        <f ca="1">financials[[#This Row],[Units Sold]]*financials[[#This Row],[Sale Price]]</f>
        <v>19866</v>
      </c>
      <c r="J9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993.30000000000007</v>
      </c>
      <c r="K936" s="1">
        <f ca="1">financials[[#This Row],[Gross Sales]]-financials[[#This Row],[Discounts]]</f>
        <v>18872.7</v>
      </c>
      <c r="L936" s="1">
        <f ca="1">financials[[#This Row],[Units Sold]]*financials[[#This Row],[Manufacturing Price]]</f>
        <v>7224</v>
      </c>
      <c r="M936" s="1">
        <f ca="1">financials[[#This Row],[Sales]]-financials[[#This Row],[COGS]]</f>
        <v>11648.7</v>
      </c>
      <c r="N936" s="7">
        <f t="shared" ca="1" si="29"/>
        <v>45607</v>
      </c>
      <c r="O936" s="8">
        <f ca="1">MONTH(financials[[#This Row],[Date]])</f>
        <v>11</v>
      </c>
      <c r="P936" s="6" t="str">
        <f ca="1">TEXT(financials[[#This Row],[Date]],"MMM")</f>
        <v>Nov</v>
      </c>
      <c r="Q936">
        <f ca="1">YEAR(financials[[#This Row],[Date]])</f>
        <v>2024</v>
      </c>
    </row>
    <row r="937" spans="1:17" x14ac:dyDescent="0.3">
      <c r="A937" t="s">
        <v>27</v>
      </c>
      <c r="B937" t="s">
        <v>23</v>
      </c>
      <c r="C937" s="6" t="s">
        <v>24</v>
      </c>
      <c r="D937" s="6" t="str">
        <f>CONCATENATE(financials[[#This Row],[Segment]],",",financials[[#This Row],[Country]],",",financials[[#This Row],[Product]])</f>
        <v>Small Business,Mexico,Montana</v>
      </c>
      <c r="E937" s="6" t="s">
        <v>33</v>
      </c>
      <c r="F937">
        <f t="shared" ca="1" si="28"/>
        <v>388</v>
      </c>
      <c r="G937" s="1">
        <f ca="1">VLOOKUP(financials[[#This Row],[ID]],Prices!D:F,2,FALSE)</f>
        <v>20</v>
      </c>
      <c r="H937" s="1">
        <f ca="1">VLOOKUP(financials[[#This Row],[ID]],Prices!D:F,3,FALSE)</f>
        <v>37</v>
      </c>
      <c r="I937" s="1">
        <f ca="1">financials[[#This Row],[Units Sold]]*financials[[#This Row],[Sale Price]]</f>
        <v>14356</v>
      </c>
      <c r="J9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717.80000000000007</v>
      </c>
      <c r="K937" s="1">
        <f ca="1">financials[[#This Row],[Gross Sales]]-financials[[#This Row],[Discounts]]</f>
        <v>13638.2</v>
      </c>
      <c r="L937" s="1">
        <f ca="1">financials[[#This Row],[Units Sold]]*financials[[#This Row],[Manufacturing Price]]</f>
        <v>7760</v>
      </c>
      <c r="M937" s="1">
        <f ca="1">financials[[#This Row],[Sales]]-financials[[#This Row],[COGS]]</f>
        <v>5878.2000000000007</v>
      </c>
      <c r="N937" s="7">
        <f t="shared" ca="1" si="29"/>
        <v>45156</v>
      </c>
      <c r="O937" s="8">
        <f ca="1">MONTH(financials[[#This Row],[Date]])</f>
        <v>8</v>
      </c>
      <c r="P937" s="6" t="str">
        <f ca="1">TEXT(financials[[#This Row],[Date]],"MMM")</f>
        <v>Aug</v>
      </c>
      <c r="Q937">
        <f ca="1">YEAR(financials[[#This Row],[Date]])</f>
        <v>2023</v>
      </c>
    </row>
    <row r="938" spans="1:17" x14ac:dyDescent="0.3">
      <c r="A938" t="s">
        <v>16</v>
      </c>
      <c r="B938" t="s">
        <v>22</v>
      </c>
      <c r="C938" s="6" t="s">
        <v>28</v>
      </c>
      <c r="D938" s="6" t="str">
        <f>CONCATENATE(financials[[#This Row],[Segment]],",",financials[[#This Row],[Country]],",",financials[[#This Row],[Product]])</f>
        <v>Government,France,Paseo</v>
      </c>
      <c r="E938" s="6" t="s">
        <v>33</v>
      </c>
      <c r="F938">
        <f t="shared" ca="1" si="28"/>
        <v>376</v>
      </c>
      <c r="G938" s="1">
        <f ca="1">VLOOKUP(financials[[#This Row],[ID]],Prices!D:F,2,FALSE)</f>
        <v>14</v>
      </c>
      <c r="H938" s="1">
        <f ca="1">VLOOKUP(financials[[#This Row],[ID]],Prices!D:F,3,FALSE)</f>
        <v>18</v>
      </c>
      <c r="I938" s="1">
        <f ca="1">financials[[#This Row],[Units Sold]]*financials[[#This Row],[Sale Price]]</f>
        <v>6768</v>
      </c>
      <c r="J9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338.40000000000003</v>
      </c>
      <c r="K938" s="1">
        <f ca="1">financials[[#This Row],[Gross Sales]]-financials[[#This Row],[Discounts]]</f>
        <v>6429.6</v>
      </c>
      <c r="L938" s="1">
        <f ca="1">financials[[#This Row],[Units Sold]]*financials[[#This Row],[Manufacturing Price]]</f>
        <v>5264</v>
      </c>
      <c r="M938" s="1">
        <f ca="1">financials[[#This Row],[Sales]]-financials[[#This Row],[COGS]]</f>
        <v>1165.6000000000004</v>
      </c>
      <c r="N938" s="7">
        <f t="shared" ca="1" si="29"/>
        <v>45240</v>
      </c>
      <c r="O938" s="8">
        <f ca="1">MONTH(financials[[#This Row],[Date]])</f>
        <v>11</v>
      </c>
      <c r="P938" s="6" t="str">
        <f ca="1">TEXT(financials[[#This Row],[Date]],"MMM")</f>
        <v>Nov</v>
      </c>
      <c r="Q938">
        <f ca="1">YEAR(financials[[#This Row],[Date]])</f>
        <v>2023</v>
      </c>
    </row>
    <row r="939" spans="1:17" x14ac:dyDescent="0.3">
      <c r="A939" t="s">
        <v>26</v>
      </c>
      <c r="B939" t="s">
        <v>36</v>
      </c>
      <c r="C939" s="6" t="s">
        <v>28</v>
      </c>
      <c r="D939" s="6" t="str">
        <f>CONCATENATE(financials[[#This Row],[Segment]],",",financials[[#This Row],[Country]],",",financials[[#This Row],[Product]])</f>
        <v>Enterprise,USA,Paseo</v>
      </c>
      <c r="E939" s="6" t="s">
        <v>33</v>
      </c>
      <c r="F939">
        <f t="shared" ca="1" si="28"/>
        <v>154</v>
      </c>
      <c r="G939" s="1">
        <f ca="1">VLOOKUP(financials[[#This Row],[ID]],Prices!D:F,2,FALSE)</f>
        <v>17</v>
      </c>
      <c r="H939" s="1">
        <f ca="1">VLOOKUP(financials[[#This Row],[ID]],Prices!D:F,3,FALSE)</f>
        <v>30</v>
      </c>
      <c r="I939" s="1">
        <f ca="1">financials[[#This Row],[Units Sold]]*financials[[#This Row],[Sale Price]]</f>
        <v>4620</v>
      </c>
      <c r="J9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231</v>
      </c>
      <c r="K939" s="1">
        <f ca="1">financials[[#This Row],[Gross Sales]]-financials[[#This Row],[Discounts]]</f>
        <v>4389</v>
      </c>
      <c r="L939" s="1">
        <f ca="1">financials[[#This Row],[Units Sold]]*financials[[#This Row],[Manufacturing Price]]</f>
        <v>2618</v>
      </c>
      <c r="M939" s="1">
        <f ca="1">financials[[#This Row],[Sales]]-financials[[#This Row],[COGS]]</f>
        <v>1771</v>
      </c>
      <c r="N939" s="7">
        <f t="shared" ca="1" si="29"/>
        <v>45376</v>
      </c>
      <c r="O939" s="8">
        <f ca="1">MONTH(financials[[#This Row],[Date]])</f>
        <v>3</v>
      </c>
      <c r="P939" s="6" t="str">
        <f ca="1">TEXT(financials[[#This Row],[Date]],"MMM")</f>
        <v>Mar</v>
      </c>
      <c r="Q939">
        <f ca="1">YEAR(financials[[#This Row],[Date]])</f>
        <v>2024</v>
      </c>
    </row>
    <row r="940" spans="1:17" x14ac:dyDescent="0.3">
      <c r="A940" t="s">
        <v>26</v>
      </c>
      <c r="B940" t="s">
        <v>22</v>
      </c>
      <c r="C940" s="6" t="s">
        <v>28</v>
      </c>
      <c r="D940" s="6" t="str">
        <f>CONCATENATE(financials[[#This Row],[Segment]],",",financials[[#This Row],[Country]],",",financials[[#This Row],[Product]])</f>
        <v>Enterprise,France,Paseo</v>
      </c>
      <c r="E940" s="6" t="s">
        <v>33</v>
      </c>
      <c r="F940">
        <f t="shared" ca="1" si="28"/>
        <v>97</v>
      </c>
      <c r="G940" s="1">
        <f ca="1">VLOOKUP(financials[[#This Row],[ID]],Prices!D:F,2,FALSE)</f>
        <v>11</v>
      </c>
      <c r="H940" s="1">
        <f ca="1">VLOOKUP(financials[[#This Row],[ID]],Prices!D:F,3,FALSE)</f>
        <v>21</v>
      </c>
      <c r="I940" s="1">
        <f ca="1">financials[[#This Row],[Units Sold]]*financials[[#This Row],[Sale Price]]</f>
        <v>2037</v>
      </c>
      <c r="J9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101.85000000000001</v>
      </c>
      <c r="K940" s="1">
        <f ca="1">financials[[#This Row],[Gross Sales]]-financials[[#This Row],[Discounts]]</f>
        <v>1935.15</v>
      </c>
      <c r="L940" s="1">
        <f ca="1">financials[[#This Row],[Units Sold]]*financials[[#This Row],[Manufacturing Price]]</f>
        <v>1067</v>
      </c>
      <c r="M940" s="1">
        <f ca="1">financials[[#This Row],[Sales]]-financials[[#This Row],[COGS]]</f>
        <v>868.15000000000009</v>
      </c>
      <c r="N940" s="7">
        <f t="shared" ca="1" si="29"/>
        <v>45087</v>
      </c>
      <c r="O940" s="8">
        <f ca="1">MONTH(financials[[#This Row],[Date]])</f>
        <v>6</v>
      </c>
      <c r="P940" s="6" t="str">
        <f ca="1">TEXT(financials[[#This Row],[Date]],"MMM")</f>
        <v>Jun</v>
      </c>
      <c r="Q940">
        <f ca="1">YEAR(financials[[#This Row],[Date]])</f>
        <v>2023</v>
      </c>
    </row>
    <row r="941" spans="1:17" x14ac:dyDescent="0.3">
      <c r="A941" t="s">
        <v>27</v>
      </c>
      <c r="B941" t="s">
        <v>23</v>
      </c>
      <c r="C941" s="6" t="s">
        <v>28</v>
      </c>
      <c r="D941" s="6" t="str">
        <f>CONCATENATE(financials[[#This Row],[Segment]],",",financials[[#This Row],[Country]],",",financials[[#This Row],[Product]])</f>
        <v>Small Business,Mexico,Paseo</v>
      </c>
      <c r="E941" s="6" t="s">
        <v>33</v>
      </c>
      <c r="F941">
        <f t="shared" ca="1" si="28"/>
        <v>60</v>
      </c>
      <c r="G941" s="1">
        <f ca="1">VLOOKUP(financials[[#This Row],[ID]],Prices!D:F,2,FALSE)</f>
        <v>20</v>
      </c>
      <c r="H941" s="1">
        <f ca="1">VLOOKUP(financials[[#This Row],[ID]],Prices!D:F,3,FALSE)</f>
        <v>20</v>
      </c>
      <c r="I941" s="1">
        <f ca="1">financials[[#This Row],[Units Sold]]*financials[[#This Row],[Sale Price]]</f>
        <v>1200</v>
      </c>
      <c r="J9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</v>
      </c>
      <c r="K941" s="1">
        <f ca="1">financials[[#This Row],[Gross Sales]]-financials[[#This Row],[Discounts]]</f>
        <v>1140</v>
      </c>
      <c r="L941" s="1">
        <f ca="1">financials[[#This Row],[Units Sold]]*financials[[#This Row],[Manufacturing Price]]</f>
        <v>1200</v>
      </c>
      <c r="M941" s="1">
        <f ca="1">financials[[#This Row],[Sales]]-financials[[#This Row],[COGS]]</f>
        <v>-60</v>
      </c>
      <c r="N941" s="7">
        <f t="shared" ca="1" si="29"/>
        <v>45691</v>
      </c>
      <c r="O941" s="8">
        <f ca="1">MONTH(financials[[#This Row],[Date]])</f>
        <v>2</v>
      </c>
      <c r="P941" s="6" t="str">
        <f ca="1">TEXT(financials[[#This Row],[Date]],"MMM")</f>
        <v>Feb</v>
      </c>
      <c r="Q941">
        <f ca="1">YEAR(financials[[#This Row],[Date]])</f>
        <v>2025</v>
      </c>
    </row>
    <row r="942" spans="1:17" x14ac:dyDescent="0.3">
      <c r="A942" t="s">
        <v>16</v>
      </c>
      <c r="B942" t="s">
        <v>36</v>
      </c>
      <c r="C942" s="6" t="s">
        <v>28</v>
      </c>
      <c r="D942" s="6" t="str">
        <f>CONCATENATE(financials[[#This Row],[Segment]],",",financials[[#This Row],[Country]],",",financials[[#This Row],[Product]])</f>
        <v>Government,USA,Paseo</v>
      </c>
      <c r="E942" s="6" t="s">
        <v>33</v>
      </c>
      <c r="F942">
        <f t="shared" ca="1" si="28"/>
        <v>52</v>
      </c>
      <c r="G942" s="1">
        <f ca="1">VLOOKUP(financials[[#This Row],[ID]],Prices!D:F,2,FALSE)</f>
        <v>17</v>
      </c>
      <c r="H942" s="1">
        <f ca="1">VLOOKUP(financials[[#This Row],[ID]],Prices!D:F,3,FALSE)</f>
        <v>36</v>
      </c>
      <c r="I942" s="1">
        <f ca="1">financials[[#This Row],[Units Sold]]*financials[[#This Row],[Sale Price]]</f>
        <v>1872</v>
      </c>
      <c r="J9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93.600000000000009</v>
      </c>
      <c r="K942" s="1">
        <f ca="1">financials[[#This Row],[Gross Sales]]-financials[[#This Row],[Discounts]]</f>
        <v>1778.4</v>
      </c>
      <c r="L942" s="1">
        <f ca="1">financials[[#This Row],[Units Sold]]*financials[[#This Row],[Manufacturing Price]]</f>
        <v>884</v>
      </c>
      <c r="M942" s="1">
        <f ca="1">financials[[#This Row],[Sales]]-financials[[#This Row],[COGS]]</f>
        <v>894.40000000000009</v>
      </c>
      <c r="N942" s="7">
        <f t="shared" ca="1" si="29"/>
        <v>45163</v>
      </c>
      <c r="O942" s="8">
        <f ca="1">MONTH(financials[[#This Row],[Date]])</f>
        <v>8</v>
      </c>
      <c r="P942" s="6" t="str">
        <f ca="1">TEXT(financials[[#This Row],[Date]],"MMM")</f>
        <v>Aug</v>
      </c>
      <c r="Q942">
        <f ca="1">YEAR(financials[[#This Row],[Date]])</f>
        <v>2023</v>
      </c>
    </row>
    <row r="943" spans="1:17" x14ac:dyDescent="0.3">
      <c r="A943" t="s">
        <v>27</v>
      </c>
      <c r="B943" t="s">
        <v>36</v>
      </c>
      <c r="C943" s="6" t="s">
        <v>28</v>
      </c>
      <c r="D943" s="6" t="str">
        <f>CONCATENATE(financials[[#This Row],[Segment]],",",financials[[#This Row],[Country]],",",financials[[#This Row],[Product]])</f>
        <v>Small Business,USA,Paseo</v>
      </c>
      <c r="E943" s="6" t="s">
        <v>33</v>
      </c>
      <c r="F943">
        <f t="shared" ca="1" si="28"/>
        <v>486</v>
      </c>
      <c r="G943" s="1">
        <f ca="1">VLOOKUP(financials[[#This Row],[ID]],Prices!D:F,2,FALSE)</f>
        <v>17</v>
      </c>
      <c r="H943" s="1">
        <f ca="1">VLOOKUP(financials[[#This Row],[ID]],Prices!D:F,3,FALSE)</f>
        <v>23</v>
      </c>
      <c r="I943" s="1">
        <f ca="1">financials[[#This Row],[Units Sold]]*financials[[#This Row],[Sale Price]]</f>
        <v>11178</v>
      </c>
      <c r="J9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558.9</v>
      </c>
      <c r="K943" s="1">
        <f ca="1">financials[[#This Row],[Gross Sales]]-financials[[#This Row],[Discounts]]</f>
        <v>10619.1</v>
      </c>
      <c r="L943" s="1">
        <f ca="1">financials[[#This Row],[Units Sold]]*financials[[#This Row],[Manufacturing Price]]</f>
        <v>8262</v>
      </c>
      <c r="M943" s="1">
        <f ca="1">financials[[#This Row],[Sales]]-financials[[#This Row],[COGS]]</f>
        <v>2357.1000000000004</v>
      </c>
      <c r="N943" s="7">
        <f t="shared" ca="1" si="29"/>
        <v>45696</v>
      </c>
      <c r="O943" s="8">
        <f ca="1">MONTH(financials[[#This Row],[Date]])</f>
        <v>2</v>
      </c>
      <c r="P943" s="6" t="str">
        <f ca="1">TEXT(financials[[#This Row],[Date]],"MMM")</f>
        <v>Feb</v>
      </c>
      <c r="Q943">
        <f ca="1">YEAR(financials[[#This Row],[Date]])</f>
        <v>2025</v>
      </c>
    </row>
    <row r="944" spans="1:17" x14ac:dyDescent="0.3">
      <c r="A944" t="s">
        <v>16</v>
      </c>
      <c r="B944" t="s">
        <v>36</v>
      </c>
      <c r="C944" s="6" t="s">
        <v>28</v>
      </c>
      <c r="D944" s="6" t="str">
        <f>CONCATENATE(financials[[#This Row],[Segment]],",",financials[[#This Row],[Country]],",",financials[[#This Row],[Product]])</f>
        <v>Government,USA,Paseo</v>
      </c>
      <c r="E944" s="6" t="s">
        <v>33</v>
      </c>
      <c r="F944">
        <f t="shared" ca="1" si="28"/>
        <v>900</v>
      </c>
      <c r="G944" s="1">
        <f ca="1">VLOOKUP(financials[[#This Row],[ID]],Prices!D:F,2,FALSE)</f>
        <v>17</v>
      </c>
      <c r="H944" s="1">
        <f ca="1">VLOOKUP(financials[[#This Row],[ID]],Prices!D:F,3,FALSE)</f>
        <v>36</v>
      </c>
      <c r="I944" s="1">
        <f ca="1">financials[[#This Row],[Units Sold]]*financials[[#This Row],[Sale Price]]</f>
        <v>32400</v>
      </c>
      <c r="J9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1620</v>
      </c>
      <c r="K944" s="1">
        <f ca="1">financials[[#This Row],[Gross Sales]]-financials[[#This Row],[Discounts]]</f>
        <v>30780</v>
      </c>
      <c r="L944" s="1">
        <f ca="1">financials[[#This Row],[Units Sold]]*financials[[#This Row],[Manufacturing Price]]</f>
        <v>15300</v>
      </c>
      <c r="M944" s="1">
        <f ca="1">financials[[#This Row],[Sales]]-financials[[#This Row],[COGS]]</f>
        <v>15480</v>
      </c>
      <c r="N944" s="7">
        <f t="shared" ca="1" si="29"/>
        <v>45257</v>
      </c>
      <c r="O944" s="8">
        <f ca="1">MONTH(financials[[#This Row],[Date]])</f>
        <v>11</v>
      </c>
      <c r="P944" s="6" t="str">
        <f ca="1">TEXT(financials[[#This Row],[Date]],"MMM")</f>
        <v>Nov</v>
      </c>
      <c r="Q944">
        <f ca="1">YEAR(financials[[#This Row],[Date]])</f>
        <v>2023</v>
      </c>
    </row>
    <row r="945" spans="1:17" x14ac:dyDescent="0.3">
      <c r="A945" t="s">
        <v>21</v>
      </c>
      <c r="B945" t="s">
        <v>22</v>
      </c>
      <c r="C945" s="6" t="s">
        <v>28</v>
      </c>
      <c r="D945" s="6" t="str">
        <f>CONCATENATE(financials[[#This Row],[Segment]],",",financials[[#This Row],[Country]],",",financials[[#This Row],[Product]])</f>
        <v>Midmarket,France,Paseo</v>
      </c>
      <c r="E945" s="6" t="s">
        <v>33</v>
      </c>
      <c r="F945">
        <f t="shared" ca="1" si="28"/>
        <v>404</v>
      </c>
      <c r="G945" s="1">
        <f ca="1">VLOOKUP(financials[[#This Row],[ID]],Prices!D:F,2,FALSE)</f>
        <v>20</v>
      </c>
      <c r="H945" s="1">
        <f ca="1">VLOOKUP(financials[[#This Row],[ID]],Prices!D:F,3,FALSE)</f>
        <v>38</v>
      </c>
      <c r="I945" s="1">
        <f ca="1">financials[[#This Row],[Units Sold]]*financials[[#This Row],[Sale Price]]</f>
        <v>15352</v>
      </c>
      <c r="J9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767.6</v>
      </c>
      <c r="K945" s="1">
        <f ca="1">financials[[#This Row],[Gross Sales]]-financials[[#This Row],[Discounts]]</f>
        <v>14584.4</v>
      </c>
      <c r="L945" s="1">
        <f ca="1">financials[[#This Row],[Units Sold]]*financials[[#This Row],[Manufacturing Price]]</f>
        <v>8080</v>
      </c>
      <c r="M945" s="1">
        <f ca="1">financials[[#This Row],[Sales]]-financials[[#This Row],[COGS]]</f>
        <v>6504.4</v>
      </c>
      <c r="N945" s="7">
        <f t="shared" ca="1" si="29"/>
        <v>45118</v>
      </c>
      <c r="O945" s="8">
        <f ca="1">MONTH(financials[[#This Row],[Date]])</f>
        <v>7</v>
      </c>
      <c r="P945" s="6" t="str">
        <f ca="1">TEXT(financials[[#This Row],[Date]],"MMM")</f>
        <v>Jul</v>
      </c>
      <c r="Q945">
        <f ca="1">YEAR(financials[[#This Row],[Date]])</f>
        <v>2023</v>
      </c>
    </row>
    <row r="946" spans="1:17" x14ac:dyDescent="0.3">
      <c r="A946" t="s">
        <v>16</v>
      </c>
      <c r="B946" t="s">
        <v>17</v>
      </c>
      <c r="C946" s="6" t="s">
        <v>28</v>
      </c>
      <c r="D946" s="6" t="str">
        <f>CONCATENATE(financials[[#This Row],[Segment]],",",financials[[#This Row],[Country]],",",financials[[#This Row],[Product]])</f>
        <v>Government,Canada,Paseo</v>
      </c>
      <c r="E946" s="6" t="s">
        <v>33</v>
      </c>
      <c r="F946">
        <f t="shared" ca="1" si="28"/>
        <v>142</v>
      </c>
      <c r="G946" s="1">
        <f ca="1">VLOOKUP(financials[[#This Row],[ID]],Prices!D:F,2,FALSE)</f>
        <v>10</v>
      </c>
      <c r="H946" s="1">
        <f ca="1">VLOOKUP(financials[[#This Row],[ID]],Prices!D:F,3,FALSE)</f>
        <v>23</v>
      </c>
      <c r="I946" s="1">
        <f ca="1">financials[[#This Row],[Units Sold]]*financials[[#This Row],[Sale Price]]</f>
        <v>3266</v>
      </c>
      <c r="J9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163.30000000000001</v>
      </c>
      <c r="K946" s="1">
        <f ca="1">financials[[#This Row],[Gross Sales]]-financials[[#This Row],[Discounts]]</f>
        <v>3102.7</v>
      </c>
      <c r="L946" s="1">
        <f ca="1">financials[[#This Row],[Units Sold]]*financials[[#This Row],[Manufacturing Price]]</f>
        <v>1420</v>
      </c>
      <c r="M946" s="1">
        <f ca="1">financials[[#This Row],[Sales]]-financials[[#This Row],[COGS]]</f>
        <v>1682.6999999999998</v>
      </c>
      <c r="N946" s="7">
        <f t="shared" ca="1" si="29"/>
        <v>45295</v>
      </c>
      <c r="O946" s="8">
        <f ca="1">MONTH(financials[[#This Row],[Date]])</f>
        <v>1</v>
      </c>
      <c r="P946" s="6" t="str">
        <f ca="1">TEXT(financials[[#This Row],[Date]],"MMM")</f>
        <v>Jan</v>
      </c>
      <c r="Q946">
        <f ca="1">YEAR(financials[[#This Row],[Date]])</f>
        <v>2024</v>
      </c>
    </row>
    <row r="947" spans="1:17" x14ac:dyDescent="0.3">
      <c r="A947" t="s">
        <v>16</v>
      </c>
      <c r="B947" t="s">
        <v>17</v>
      </c>
      <c r="C947" s="6" t="s">
        <v>28</v>
      </c>
      <c r="D947" s="6" t="str">
        <f>CONCATENATE(financials[[#This Row],[Segment]],",",financials[[#This Row],[Country]],",",financials[[#This Row],[Product]])</f>
        <v>Government,Canada,Paseo</v>
      </c>
      <c r="E947" s="6" t="s">
        <v>33</v>
      </c>
      <c r="F947">
        <f t="shared" ca="1" si="28"/>
        <v>789</v>
      </c>
      <c r="G947" s="1">
        <f ca="1">VLOOKUP(financials[[#This Row],[ID]],Prices!D:F,2,FALSE)</f>
        <v>10</v>
      </c>
      <c r="H947" s="1">
        <f ca="1">VLOOKUP(financials[[#This Row],[ID]],Prices!D:F,3,FALSE)</f>
        <v>23</v>
      </c>
      <c r="I947" s="1">
        <f ca="1">financials[[#This Row],[Units Sold]]*financials[[#This Row],[Sale Price]]</f>
        <v>18147</v>
      </c>
      <c r="J9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907.35</v>
      </c>
      <c r="K947" s="1">
        <f ca="1">financials[[#This Row],[Gross Sales]]-financials[[#This Row],[Discounts]]</f>
        <v>17239.650000000001</v>
      </c>
      <c r="L947" s="1">
        <f ca="1">financials[[#This Row],[Units Sold]]*financials[[#This Row],[Manufacturing Price]]</f>
        <v>7890</v>
      </c>
      <c r="M947" s="1">
        <f ca="1">financials[[#This Row],[Sales]]-financials[[#This Row],[COGS]]</f>
        <v>9349.6500000000015</v>
      </c>
      <c r="N947" s="7">
        <f t="shared" ca="1" si="29"/>
        <v>45353</v>
      </c>
      <c r="O947" s="8">
        <f ca="1">MONTH(financials[[#This Row],[Date]])</f>
        <v>3</v>
      </c>
      <c r="P947" s="6" t="str">
        <f ca="1">TEXT(financials[[#This Row],[Date]],"MMM")</f>
        <v>Mar</v>
      </c>
      <c r="Q947">
        <f ca="1">YEAR(financials[[#This Row],[Date]])</f>
        <v>2024</v>
      </c>
    </row>
    <row r="948" spans="1:17" x14ac:dyDescent="0.3">
      <c r="A948" t="s">
        <v>26</v>
      </c>
      <c r="B948" t="s">
        <v>36</v>
      </c>
      <c r="C948" s="6" t="s">
        <v>28</v>
      </c>
      <c r="D948" s="6" t="str">
        <f>CONCATENATE(financials[[#This Row],[Segment]],",",financials[[#This Row],[Country]],",",financials[[#This Row],[Product]])</f>
        <v>Enterprise,USA,Paseo</v>
      </c>
      <c r="E948" s="6" t="s">
        <v>33</v>
      </c>
      <c r="F948">
        <f t="shared" ca="1" si="28"/>
        <v>749</v>
      </c>
      <c r="G948" s="1">
        <f ca="1">VLOOKUP(financials[[#This Row],[ID]],Prices!D:F,2,FALSE)</f>
        <v>17</v>
      </c>
      <c r="H948" s="1">
        <f ca="1">VLOOKUP(financials[[#This Row],[ID]],Prices!D:F,3,FALSE)</f>
        <v>30</v>
      </c>
      <c r="I948" s="1">
        <f ca="1">financials[[#This Row],[Units Sold]]*financials[[#This Row],[Sale Price]]</f>
        <v>22470</v>
      </c>
      <c r="J9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1123.5</v>
      </c>
      <c r="K948" s="1">
        <f ca="1">financials[[#This Row],[Gross Sales]]-financials[[#This Row],[Discounts]]</f>
        <v>21346.5</v>
      </c>
      <c r="L948" s="1">
        <f ca="1">financials[[#This Row],[Units Sold]]*financials[[#This Row],[Manufacturing Price]]</f>
        <v>12733</v>
      </c>
      <c r="M948" s="1">
        <f ca="1">financials[[#This Row],[Sales]]-financials[[#This Row],[COGS]]</f>
        <v>8613.5</v>
      </c>
      <c r="N948" s="7">
        <f t="shared" ca="1" si="29"/>
        <v>45126</v>
      </c>
      <c r="O948" s="8">
        <f ca="1">MONTH(financials[[#This Row],[Date]])</f>
        <v>7</v>
      </c>
      <c r="P948" s="6" t="str">
        <f ca="1">TEXT(financials[[#This Row],[Date]],"MMM")</f>
        <v>Jul</v>
      </c>
      <c r="Q948">
        <f ca="1">YEAR(financials[[#This Row],[Date]])</f>
        <v>2023</v>
      </c>
    </row>
    <row r="949" spans="1:17" x14ac:dyDescent="0.3">
      <c r="A949" t="s">
        <v>26</v>
      </c>
      <c r="B949" t="s">
        <v>22</v>
      </c>
      <c r="C949" s="6" t="s">
        <v>28</v>
      </c>
      <c r="D949" s="6" t="str">
        <f>CONCATENATE(financials[[#This Row],[Segment]],",",financials[[#This Row],[Country]],",",financials[[#This Row],[Product]])</f>
        <v>Enterprise,France,Paseo</v>
      </c>
      <c r="E949" s="6" t="s">
        <v>33</v>
      </c>
      <c r="F949">
        <f t="shared" ca="1" si="28"/>
        <v>363</v>
      </c>
      <c r="G949" s="1">
        <f ca="1">VLOOKUP(financials[[#This Row],[ID]],Prices!D:F,2,FALSE)</f>
        <v>11</v>
      </c>
      <c r="H949" s="1">
        <f ca="1">VLOOKUP(financials[[#This Row],[ID]],Prices!D:F,3,FALSE)</f>
        <v>21</v>
      </c>
      <c r="I949" s="1">
        <f ca="1">financials[[#This Row],[Units Sold]]*financials[[#This Row],[Sale Price]]</f>
        <v>7623</v>
      </c>
      <c r="J9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381.15000000000003</v>
      </c>
      <c r="K949" s="1">
        <f ca="1">financials[[#This Row],[Gross Sales]]-financials[[#This Row],[Discounts]]</f>
        <v>7241.85</v>
      </c>
      <c r="L949" s="1">
        <f ca="1">financials[[#This Row],[Units Sold]]*financials[[#This Row],[Manufacturing Price]]</f>
        <v>3993</v>
      </c>
      <c r="M949" s="1">
        <f ca="1">financials[[#This Row],[Sales]]-financials[[#This Row],[COGS]]</f>
        <v>3248.8500000000004</v>
      </c>
      <c r="N949" s="7">
        <f t="shared" ca="1" si="29"/>
        <v>45716</v>
      </c>
      <c r="O949" s="8">
        <f ca="1">MONTH(financials[[#This Row],[Date]])</f>
        <v>2</v>
      </c>
      <c r="P949" s="6" t="str">
        <f ca="1">TEXT(financials[[#This Row],[Date]],"MMM")</f>
        <v>Feb</v>
      </c>
      <c r="Q949">
        <f ca="1">YEAR(financials[[#This Row],[Date]])</f>
        <v>2025</v>
      </c>
    </row>
    <row r="950" spans="1:17" x14ac:dyDescent="0.3">
      <c r="A950" t="s">
        <v>16</v>
      </c>
      <c r="B950" t="s">
        <v>17</v>
      </c>
      <c r="C950" s="6" t="s">
        <v>28</v>
      </c>
      <c r="D950" s="6" t="str">
        <f>CONCATENATE(financials[[#This Row],[Segment]],",",financials[[#This Row],[Country]],",",financials[[#This Row],[Product]])</f>
        <v>Government,Canada,Paseo</v>
      </c>
      <c r="E950" s="6" t="s">
        <v>33</v>
      </c>
      <c r="F950">
        <f t="shared" ca="1" si="28"/>
        <v>479</v>
      </c>
      <c r="G950" s="1">
        <f ca="1">VLOOKUP(financials[[#This Row],[ID]],Prices!D:F,2,FALSE)</f>
        <v>10</v>
      </c>
      <c r="H950" s="1">
        <f ca="1">VLOOKUP(financials[[#This Row],[ID]],Prices!D:F,3,FALSE)</f>
        <v>23</v>
      </c>
      <c r="I950" s="1">
        <f ca="1">financials[[#This Row],[Units Sold]]*financials[[#This Row],[Sale Price]]</f>
        <v>11017</v>
      </c>
      <c r="J9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550.85</v>
      </c>
      <c r="K950" s="1">
        <f ca="1">financials[[#This Row],[Gross Sales]]-financials[[#This Row],[Discounts]]</f>
        <v>10466.15</v>
      </c>
      <c r="L950" s="1">
        <f ca="1">financials[[#This Row],[Units Sold]]*financials[[#This Row],[Manufacturing Price]]</f>
        <v>4790</v>
      </c>
      <c r="M950" s="1">
        <f ca="1">financials[[#This Row],[Sales]]-financials[[#This Row],[COGS]]</f>
        <v>5676.15</v>
      </c>
      <c r="N950" s="7">
        <f t="shared" ca="1" si="29"/>
        <v>45696</v>
      </c>
      <c r="O950" s="8">
        <f ca="1">MONTH(financials[[#This Row],[Date]])</f>
        <v>2</v>
      </c>
      <c r="P950" s="6" t="str">
        <f ca="1">TEXT(financials[[#This Row],[Date]],"MMM")</f>
        <v>Feb</v>
      </c>
      <c r="Q950">
        <f ca="1">YEAR(financials[[#This Row],[Date]])</f>
        <v>2025</v>
      </c>
    </row>
    <row r="951" spans="1:17" x14ac:dyDescent="0.3">
      <c r="A951" t="s">
        <v>16</v>
      </c>
      <c r="B951" t="s">
        <v>36</v>
      </c>
      <c r="C951" s="6" t="s">
        <v>28</v>
      </c>
      <c r="D951" s="6" t="str">
        <f>CONCATENATE(financials[[#This Row],[Segment]],",",financials[[#This Row],[Country]],",",financials[[#This Row],[Product]])</f>
        <v>Government,USA,Paseo</v>
      </c>
      <c r="E951" s="6" t="s">
        <v>33</v>
      </c>
      <c r="F951">
        <f t="shared" ca="1" si="28"/>
        <v>95</v>
      </c>
      <c r="G951" s="1">
        <f ca="1">VLOOKUP(financials[[#This Row],[ID]],Prices!D:F,2,FALSE)</f>
        <v>17</v>
      </c>
      <c r="H951" s="1">
        <f ca="1">VLOOKUP(financials[[#This Row],[ID]],Prices!D:F,3,FALSE)</f>
        <v>36</v>
      </c>
      <c r="I951" s="1">
        <f ca="1">financials[[#This Row],[Units Sold]]*financials[[#This Row],[Sale Price]]</f>
        <v>3420</v>
      </c>
      <c r="J9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171</v>
      </c>
      <c r="K951" s="1">
        <f ca="1">financials[[#This Row],[Gross Sales]]-financials[[#This Row],[Discounts]]</f>
        <v>3249</v>
      </c>
      <c r="L951" s="1">
        <f ca="1">financials[[#This Row],[Units Sold]]*financials[[#This Row],[Manufacturing Price]]</f>
        <v>1615</v>
      </c>
      <c r="M951" s="1">
        <f ca="1">financials[[#This Row],[Sales]]-financials[[#This Row],[COGS]]</f>
        <v>1634</v>
      </c>
      <c r="N951" s="7">
        <f t="shared" ca="1" si="29"/>
        <v>45486</v>
      </c>
      <c r="O951" s="8">
        <f ca="1">MONTH(financials[[#This Row],[Date]])</f>
        <v>7</v>
      </c>
      <c r="P951" s="6" t="str">
        <f ca="1">TEXT(financials[[#This Row],[Date]],"MMM")</f>
        <v>Jul</v>
      </c>
      <c r="Q951">
        <f ca="1">YEAR(financials[[#This Row],[Date]])</f>
        <v>2024</v>
      </c>
    </row>
    <row r="952" spans="1:17" x14ac:dyDescent="0.3">
      <c r="A952" t="s">
        <v>16</v>
      </c>
      <c r="B952" t="s">
        <v>22</v>
      </c>
      <c r="C952" s="6" t="s">
        <v>28</v>
      </c>
      <c r="D952" s="6" t="str">
        <f>CONCATENATE(financials[[#This Row],[Segment]],",",financials[[#This Row],[Country]],",",financials[[#This Row],[Product]])</f>
        <v>Government,France,Paseo</v>
      </c>
      <c r="E952" s="6" t="s">
        <v>33</v>
      </c>
      <c r="F952">
        <f t="shared" ca="1" si="28"/>
        <v>460</v>
      </c>
      <c r="G952" s="1">
        <f ca="1">VLOOKUP(financials[[#This Row],[ID]],Prices!D:F,2,FALSE)</f>
        <v>14</v>
      </c>
      <c r="H952" s="1">
        <f ca="1">VLOOKUP(financials[[#This Row],[ID]],Prices!D:F,3,FALSE)</f>
        <v>18</v>
      </c>
      <c r="I952" s="1">
        <f ca="1">financials[[#This Row],[Units Sold]]*financials[[#This Row],[Sale Price]]</f>
        <v>8280</v>
      </c>
      <c r="J9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414</v>
      </c>
      <c r="K952" s="1">
        <f ca="1">financials[[#This Row],[Gross Sales]]-financials[[#This Row],[Discounts]]</f>
        <v>7866</v>
      </c>
      <c r="L952" s="1">
        <f ca="1">financials[[#This Row],[Units Sold]]*financials[[#This Row],[Manufacturing Price]]</f>
        <v>6440</v>
      </c>
      <c r="M952" s="1">
        <f ca="1">financials[[#This Row],[Sales]]-financials[[#This Row],[COGS]]</f>
        <v>1426</v>
      </c>
      <c r="N952" s="7">
        <f t="shared" ca="1" si="29"/>
        <v>45053</v>
      </c>
      <c r="O952" s="8">
        <f ca="1">MONTH(financials[[#This Row],[Date]])</f>
        <v>5</v>
      </c>
      <c r="P952" s="6" t="str">
        <f ca="1">TEXT(financials[[#This Row],[Date]],"MMM")</f>
        <v>May</v>
      </c>
      <c r="Q952">
        <f ca="1">YEAR(financials[[#This Row],[Date]])</f>
        <v>2023</v>
      </c>
    </row>
    <row r="953" spans="1:17" x14ac:dyDescent="0.3">
      <c r="A953" t="s">
        <v>21</v>
      </c>
      <c r="B953" t="s">
        <v>20</v>
      </c>
      <c r="C953" s="6" t="s">
        <v>28</v>
      </c>
      <c r="D953" s="6" t="str">
        <f>CONCATENATE(financials[[#This Row],[Segment]],",",financials[[#This Row],[Country]],",",financials[[#This Row],[Product]])</f>
        <v>Midmarket,Germany,Paseo</v>
      </c>
      <c r="E953" s="6" t="s">
        <v>33</v>
      </c>
      <c r="F953">
        <f t="shared" ca="1" si="28"/>
        <v>89</v>
      </c>
      <c r="G953" s="1">
        <f ca="1">VLOOKUP(financials[[#This Row],[ID]],Prices!D:F,2,FALSE)</f>
        <v>19</v>
      </c>
      <c r="H953" s="1">
        <f ca="1">VLOOKUP(financials[[#This Row],[ID]],Prices!D:F,3,FALSE)</f>
        <v>25</v>
      </c>
      <c r="I953" s="1">
        <f ca="1">financials[[#This Row],[Units Sold]]*financials[[#This Row],[Sale Price]]</f>
        <v>2225</v>
      </c>
      <c r="J9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111.25</v>
      </c>
      <c r="K953" s="1">
        <f ca="1">financials[[#This Row],[Gross Sales]]-financials[[#This Row],[Discounts]]</f>
        <v>2113.75</v>
      </c>
      <c r="L953" s="1">
        <f ca="1">financials[[#This Row],[Units Sold]]*financials[[#This Row],[Manufacturing Price]]</f>
        <v>1691</v>
      </c>
      <c r="M953" s="1">
        <f ca="1">financials[[#This Row],[Sales]]-financials[[#This Row],[COGS]]</f>
        <v>422.75</v>
      </c>
      <c r="N953" s="7">
        <f t="shared" ca="1" si="29"/>
        <v>45577</v>
      </c>
      <c r="O953" s="8">
        <f ca="1">MONTH(financials[[#This Row],[Date]])</f>
        <v>10</v>
      </c>
      <c r="P953" s="6" t="str">
        <f ca="1">TEXT(financials[[#This Row],[Date]],"MMM")</f>
        <v>Oct</v>
      </c>
      <c r="Q953">
        <f ca="1">YEAR(financials[[#This Row],[Date]])</f>
        <v>2024</v>
      </c>
    </row>
    <row r="954" spans="1:17" x14ac:dyDescent="0.3">
      <c r="A954" t="s">
        <v>21</v>
      </c>
      <c r="B954" t="s">
        <v>36</v>
      </c>
      <c r="C954" s="6" t="s">
        <v>29</v>
      </c>
      <c r="D954" s="6" t="str">
        <f>CONCATENATE(financials[[#This Row],[Segment]],",",financials[[#This Row],[Country]],",",financials[[#This Row],[Product]])</f>
        <v>Midmarket,USA,Velo</v>
      </c>
      <c r="E954" s="6" t="s">
        <v>33</v>
      </c>
      <c r="F954">
        <f t="shared" ca="1" si="28"/>
        <v>956</v>
      </c>
      <c r="G954" s="1">
        <f ca="1">VLOOKUP(financials[[#This Row],[ID]],Prices!D:F,2,FALSE)</f>
        <v>12</v>
      </c>
      <c r="H954" s="1">
        <f ca="1">VLOOKUP(financials[[#This Row],[ID]],Prices!D:F,3,FALSE)</f>
        <v>34</v>
      </c>
      <c r="I954" s="1">
        <f ca="1">financials[[#This Row],[Units Sold]]*financials[[#This Row],[Sale Price]]</f>
        <v>32504</v>
      </c>
      <c r="J9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1625.2</v>
      </c>
      <c r="K954" s="1">
        <f ca="1">financials[[#This Row],[Gross Sales]]-financials[[#This Row],[Discounts]]</f>
        <v>30878.799999999999</v>
      </c>
      <c r="L954" s="1">
        <f ca="1">financials[[#This Row],[Units Sold]]*financials[[#This Row],[Manufacturing Price]]</f>
        <v>11472</v>
      </c>
      <c r="M954" s="1">
        <f ca="1">financials[[#This Row],[Sales]]-financials[[#This Row],[COGS]]</f>
        <v>19406.8</v>
      </c>
      <c r="N954" s="7">
        <f t="shared" ca="1" si="29"/>
        <v>45583</v>
      </c>
      <c r="O954" s="8">
        <f ca="1">MONTH(financials[[#This Row],[Date]])</f>
        <v>10</v>
      </c>
      <c r="P954" s="6" t="str">
        <f ca="1">TEXT(financials[[#This Row],[Date]],"MMM")</f>
        <v>Oct</v>
      </c>
      <c r="Q954">
        <f ca="1">YEAR(financials[[#This Row],[Date]])</f>
        <v>2024</v>
      </c>
    </row>
    <row r="955" spans="1:17" x14ac:dyDescent="0.3">
      <c r="A955" t="s">
        <v>21</v>
      </c>
      <c r="B955" t="s">
        <v>23</v>
      </c>
      <c r="C955" s="6" t="s">
        <v>29</v>
      </c>
      <c r="D955" s="6" t="str">
        <f>CONCATENATE(financials[[#This Row],[Segment]],",",financials[[#This Row],[Country]],",",financials[[#This Row],[Product]])</f>
        <v>Midmarket,Mexico,Velo</v>
      </c>
      <c r="E955" s="6" t="s">
        <v>33</v>
      </c>
      <c r="F955">
        <f t="shared" ca="1" si="28"/>
        <v>271</v>
      </c>
      <c r="G955" s="1">
        <f ca="1">VLOOKUP(financials[[#This Row],[ID]],Prices!D:F,2,FALSE)</f>
        <v>20</v>
      </c>
      <c r="H955" s="1">
        <f ca="1">VLOOKUP(financials[[#This Row],[ID]],Prices!D:F,3,FALSE)</f>
        <v>35</v>
      </c>
      <c r="I955" s="1">
        <f ca="1">financials[[#This Row],[Units Sold]]*financials[[#This Row],[Sale Price]]</f>
        <v>9485</v>
      </c>
      <c r="J9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474.25</v>
      </c>
      <c r="K955" s="1">
        <f ca="1">financials[[#This Row],[Gross Sales]]-financials[[#This Row],[Discounts]]</f>
        <v>9010.75</v>
      </c>
      <c r="L955" s="1">
        <f ca="1">financials[[#This Row],[Units Sold]]*financials[[#This Row],[Manufacturing Price]]</f>
        <v>5420</v>
      </c>
      <c r="M955" s="1">
        <f ca="1">financials[[#This Row],[Sales]]-financials[[#This Row],[COGS]]</f>
        <v>3590.75</v>
      </c>
      <c r="N955" s="7">
        <f t="shared" ca="1" si="29"/>
        <v>45376</v>
      </c>
      <c r="O955" s="8">
        <f ca="1">MONTH(financials[[#This Row],[Date]])</f>
        <v>3</v>
      </c>
      <c r="P955" s="6" t="str">
        <f ca="1">TEXT(financials[[#This Row],[Date]],"MMM")</f>
        <v>Mar</v>
      </c>
      <c r="Q955">
        <f ca="1">YEAR(financials[[#This Row],[Date]])</f>
        <v>2024</v>
      </c>
    </row>
    <row r="956" spans="1:17" x14ac:dyDescent="0.3">
      <c r="A956" t="s">
        <v>26</v>
      </c>
      <c r="B956" t="s">
        <v>20</v>
      </c>
      <c r="C956" s="6" t="s">
        <v>29</v>
      </c>
      <c r="D956" s="6" t="str">
        <f>CONCATENATE(financials[[#This Row],[Segment]],",",financials[[#This Row],[Country]],",",financials[[#This Row],[Product]])</f>
        <v>Enterprise,Germany,Velo</v>
      </c>
      <c r="E956" s="6" t="s">
        <v>33</v>
      </c>
      <c r="F956">
        <f t="shared" ca="1" si="28"/>
        <v>366</v>
      </c>
      <c r="G956" s="1">
        <f ca="1">VLOOKUP(financials[[#This Row],[ID]],Prices!D:F,2,FALSE)</f>
        <v>16</v>
      </c>
      <c r="H956" s="1">
        <f ca="1">VLOOKUP(financials[[#This Row],[ID]],Prices!D:F,3,FALSE)</f>
        <v>29</v>
      </c>
      <c r="I956" s="1">
        <f ca="1">financials[[#This Row],[Units Sold]]*financials[[#This Row],[Sale Price]]</f>
        <v>10614</v>
      </c>
      <c r="J9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530.70000000000005</v>
      </c>
      <c r="K956" s="1">
        <f ca="1">financials[[#This Row],[Gross Sales]]-financials[[#This Row],[Discounts]]</f>
        <v>10083.299999999999</v>
      </c>
      <c r="L956" s="1">
        <f ca="1">financials[[#This Row],[Units Sold]]*financials[[#This Row],[Manufacturing Price]]</f>
        <v>5856</v>
      </c>
      <c r="M956" s="1">
        <f ca="1">financials[[#This Row],[Sales]]-financials[[#This Row],[COGS]]</f>
        <v>4227.2999999999993</v>
      </c>
      <c r="N956" s="7">
        <f t="shared" ca="1" si="29"/>
        <v>45139</v>
      </c>
      <c r="O956" s="8">
        <f ca="1">MONTH(financials[[#This Row],[Date]])</f>
        <v>8</v>
      </c>
      <c r="P956" s="6" t="str">
        <f ca="1">TEXT(financials[[#This Row],[Date]],"MMM")</f>
        <v>Aug</v>
      </c>
      <c r="Q956">
        <f ca="1">YEAR(financials[[#This Row],[Date]])</f>
        <v>2023</v>
      </c>
    </row>
    <row r="957" spans="1:17" x14ac:dyDescent="0.3">
      <c r="A957" t="s">
        <v>16</v>
      </c>
      <c r="B957" t="s">
        <v>36</v>
      </c>
      <c r="C957" s="6" t="s">
        <v>29</v>
      </c>
      <c r="D957" s="6" t="str">
        <f>CONCATENATE(financials[[#This Row],[Segment]],",",financials[[#This Row],[Country]],",",financials[[#This Row],[Product]])</f>
        <v>Government,USA,Velo</v>
      </c>
      <c r="E957" s="6" t="s">
        <v>33</v>
      </c>
      <c r="F957">
        <f t="shared" ca="1" si="28"/>
        <v>622</v>
      </c>
      <c r="G957" s="1">
        <f ca="1">VLOOKUP(financials[[#This Row],[ID]],Prices!D:F,2,FALSE)</f>
        <v>18</v>
      </c>
      <c r="H957" s="1">
        <f ca="1">VLOOKUP(financials[[#This Row],[ID]],Prices!D:F,3,FALSE)</f>
        <v>38</v>
      </c>
      <c r="I957" s="1">
        <f ca="1">financials[[#This Row],[Units Sold]]*financials[[#This Row],[Sale Price]]</f>
        <v>23636</v>
      </c>
      <c r="J9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1181.8</v>
      </c>
      <c r="K957" s="1">
        <f ca="1">financials[[#This Row],[Gross Sales]]-financials[[#This Row],[Discounts]]</f>
        <v>22454.2</v>
      </c>
      <c r="L957" s="1">
        <f ca="1">financials[[#This Row],[Units Sold]]*financials[[#This Row],[Manufacturing Price]]</f>
        <v>11196</v>
      </c>
      <c r="M957" s="1">
        <f ca="1">financials[[#This Row],[Sales]]-financials[[#This Row],[COGS]]</f>
        <v>11258.2</v>
      </c>
      <c r="N957" s="7">
        <f t="shared" ca="1" si="29"/>
        <v>45091</v>
      </c>
      <c r="O957" s="8">
        <f ca="1">MONTH(financials[[#This Row],[Date]])</f>
        <v>6</v>
      </c>
      <c r="P957" s="6" t="str">
        <f ca="1">TEXT(financials[[#This Row],[Date]],"MMM")</f>
        <v>Jun</v>
      </c>
      <c r="Q957">
        <f ca="1">YEAR(financials[[#This Row],[Date]])</f>
        <v>2023</v>
      </c>
    </row>
    <row r="958" spans="1:17" x14ac:dyDescent="0.3">
      <c r="A958" t="s">
        <v>16</v>
      </c>
      <c r="B958" t="s">
        <v>36</v>
      </c>
      <c r="C958" s="6" t="s">
        <v>29</v>
      </c>
      <c r="D958" s="6" t="str">
        <f>CONCATENATE(financials[[#This Row],[Segment]],",",financials[[#This Row],[Country]],",",financials[[#This Row],[Product]])</f>
        <v>Government,USA,Velo</v>
      </c>
      <c r="E958" s="6" t="s">
        <v>33</v>
      </c>
      <c r="F958">
        <f t="shared" ca="1" si="28"/>
        <v>58</v>
      </c>
      <c r="G958" s="1">
        <f ca="1">VLOOKUP(financials[[#This Row],[ID]],Prices!D:F,2,FALSE)</f>
        <v>18</v>
      </c>
      <c r="H958" s="1">
        <f ca="1">VLOOKUP(financials[[#This Row],[ID]],Prices!D:F,3,FALSE)</f>
        <v>38</v>
      </c>
      <c r="I958" s="1">
        <f ca="1">financials[[#This Row],[Units Sold]]*financials[[#This Row],[Sale Price]]</f>
        <v>2204</v>
      </c>
      <c r="J9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110.2</v>
      </c>
      <c r="K958" s="1">
        <f ca="1">financials[[#This Row],[Gross Sales]]-financials[[#This Row],[Discounts]]</f>
        <v>2093.8000000000002</v>
      </c>
      <c r="L958" s="1">
        <f ca="1">financials[[#This Row],[Units Sold]]*financials[[#This Row],[Manufacturing Price]]</f>
        <v>1044</v>
      </c>
      <c r="M958" s="1">
        <f ca="1">financials[[#This Row],[Sales]]-financials[[#This Row],[COGS]]</f>
        <v>1049.8000000000002</v>
      </c>
      <c r="N958" s="7">
        <f t="shared" ca="1" si="29"/>
        <v>45359</v>
      </c>
      <c r="O958" s="8">
        <f ca="1">MONTH(financials[[#This Row],[Date]])</f>
        <v>3</v>
      </c>
      <c r="P958" s="6" t="str">
        <f ca="1">TEXT(financials[[#This Row],[Date]],"MMM")</f>
        <v>Mar</v>
      </c>
      <c r="Q958">
        <f ca="1">YEAR(financials[[#This Row],[Date]])</f>
        <v>2024</v>
      </c>
    </row>
    <row r="959" spans="1:17" x14ac:dyDescent="0.3">
      <c r="A959" t="s">
        <v>16</v>
      </c>
      <c r="B959" t="s">
        <v>22</v>
      </c>
      <c r="C959" s="6" t="s">
        <v>29</v>
      </c>
      <c r="D959" s="6" t="str">
        <f>CONCATENATE(financials[[#This Row],[Segment]],",",financials[[#This Row],[Country]],",",financials[[#This Row],[Product]])</f>
        <v>Government,France,Velo</v>
      </c>
      <c r="E959" s="6" t="s">
        <v>33</v>
      </c>
      <c r="F959">
        <f t="shared" ca="1" si="28"/>
        <v>805</v>
      </c>
      <c r="G959" s="1">
        <f ca="1">VLOOKUP(financials[[#This Row],[ID]],Prices!D:F,2,FALSE)</f>
        <v>20</v>
      </c>
      <c r="H959" s="1">
        <f ca="1">VLOOKUP(financials[[#This Row],[ID]],Prices!D:F,3,FALSE)</f>
        <v>36</v>
      </c>
      <c r="I959" s="1">
        <f ca="1">financials[[#This Row],[Units Sold]]*financials[[#This Row],[Sale Price]]</f>
        <v>28980</v>
      </c>
      <c r="J9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1449</v>
      </c>
      <c r="K959" s="1">
        <f ca="1">financials[[#This Row],[Gross Sales]]-financials[[#This Row],[Discounts]]</f>
        <v>27531</v>
      </c>
      <c r="L959" s="1">
        <f ca="1">financials[[#This Row],[Units Sold]]*financials[[#This Row],[Manufacturing Price]]</f>
        <v>16100</v>
      </c>
      <c r="M959" s="1">
        <f ca="1">financials[[#This Row],[Sales]]-financials[[#This Row],[COGS]]</f>
        <v>11431</v>
      </c>
      <c r="N959" s="7">
        <f t="shared" ca="1" si="29"/>
        <v>45321</v>
      </c>
      <c r="O959" s="8">
        <f ca="1">MONTH(financials[[#This Row],[Date]])</f>
        <v>1</v>
      </c>
      <c r="P959" s="6" t="str">
        <f ca="1">TEXT(financials[[#This Row],[Date]],"MMM")</f>
        <v>Jan</v>
      </c>
      <c r="Q959">
        <f ca="1">YEAR(financials[[#This Row],[Date]])</f>
        <v>2024</v>
      </c>
    </row>
    <row r="960" spans="1:17" x14ac:dyDescent="0.3">
      <c r="A960" t="s">
        <v>26</v>
      </c>
      <c r="B960" t="s">
        <v>36</v>
      </c>
      <c r="C960" s="6" t="s">
        <v>29</v>
      </c>
      <c r="D960" s="6" t="str">
        <f>CONCATENATE(financials[[#This Row],[Segment]],",",financials[[#This Row],[Country]],",",financials[[#This Row],[Product]])</f>
        <v>Enterprise,USA,Velo</v>
      </c>
      <c r="E960" s="6" t="s">
        <v>33</v>
      </c>
      <c r="F960">
        <f t="shared" ca="1" si="28"/>
        <v>552</v>
      </c>
      <c r="G960" s="1">
        <f ca="1">VLOOKUP(financials[[#This Row],[ID]],Prices!D:F,2,FALSE)</f>
        <v>20</v>
      </c>
      <c r="H960" s="1">
        <f ca="1">VLOOKUP(financials[[#This Row],[ID]],Prices!D:F,3,FALSE)</f>
        <v>24</v>
      </c>
      <c r="I960" s="1">
        <f ca="1">financials[[#This Row],[Units Sold]]*financials[[#This Row],[Sale Price]]</f>
        <v>13248</v>
      </c>
      <c r="J9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662.40000000000009</v>
      </c>
      <c r="K960" s="1">
        <f ca="1">financials[[#This Row],[Gross Sales]]-financials[[#This Row],[Discounts]]</f>
        <v>12585.6</v>
      </c>
      <c r="L960" s="1">
        <f ca="1">financials[[#This Row],[Units Sold]]*financials[[#This Row],[Manufacturing Price]]</f>
        <v>11040</v>
      </c>
      <c r="M960" s="1">
        <f ca="1">financials[[#This Row],[Sales]]-financials[[#This Row],[COGS]]</f>
        <v>1545.6000000000004</v>
      </c>
      <c r="N960" s="7">
        <f t="shared" ca="1" si="29"/>
        <v>45085</v>
      </c>
      <c r="O960" s="8">
        <f ca="1">MONTH(financials[[#This Row],[Date]])</f>
        <v>6</v>
      </c>
      <c r="P960" s="6" t="str">
        <f ca="1">TEXT(financials[[#This Row],[Date]],"MMM")</f>
        <v>Jun</v>
      </c>
      <c r="Q960">
        <f ca="1">YEAR(financials[[#This Row],[Date]])</f>
        <v>2023</v>
      </c>
    </row>
    <row r="961" spans="1:17" x14ac:dyDescent="0.3">
      <c r="A961" t="s">
        <v>26</v>
      </c>
      <c r="B961" t="s">
        <v>22</v>
      </c>
      <c r="C961" s="6" t="s">
        <v>29</v>
      </c>
      <c r="D961" s="6" t="str">
        <f>CONCATENATE(financials[[#This Row],[Segment]],",",financials[[#This Row],[Country]],",",financials[[#This Row],[Product]])</f>
        <v>Enterprise,France,Velo</v>
      </c>
      <c r="E961" s="6" t="s">
        <v>33</v>
      </c>
      <c r="F961">
        <f t="shared" ca="1" si="28"/>
        <v>663</v>
      </c>
      <c r="G961" s="1">
        <f ca="1">VLOOKUP(financials[[#This Row],[ID]],Prices!D:F,2,FALSE)</f>
        <v>20</v>
      </c>
      <c r="H961" s="1">
        <f ca="1">VLOOKUP(financials[[#This Row],[ID]],Prices!D:F,3,FALSE)</f>
        <v>27</v>
      </c>
      <c r="I961" s="1">
        <f ca="1">financials[[#This Row],[Units Sold]]*financials[[#This Row],[Sale Price]]</f>
        <v>17901</v>
      </c>
      <c r="J9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895.05000000000007</v>
      </c>
      <c r="K961" s="1">
        <f ca="1">financials[[#This Row],[Gross Sales]]-financials[[#This Row],[Discounts]]</f>
        <v>17005.95</v>
      </c>
      <c r="L961" s="1">
        <f ca="1">financials[[#This Row],[Units Sold]]*financials[[#This Row],[Manufacturing Price]]</f>
        <v>13260</v>
      </c>
      <c r="M961" s="1">
        <f ca="1">financials[[#This Row],[Sales]]-financials[[#This Row],[COGS]]</f>
        <v>3745.9500000000007</v>
      </c>
      <c r="N961" s="7">
        <f t="shared" ca="1" si="29"/>
        <v>45649</v>
      </c>
      <c r="O961" s="8">
        <f ca="1">MONTH(financials[[#This Row],[Date]])</f>
        <v>12</v>
      </c>
      <c r="P961" s="6" t="str">
        <f ca="1">TEXT(financials[[#This Row],[Date]],"MMM")</f>
        <v>Dec</v>
      </c>
      <c r="Q961">
        <f ca="1">YEAR(financials[[#This Row],[Date]])</f>
        <v>2024</v>
      </c>
    </row>
    <row r="962" spans="1:17" x14ac:dyDescent="0.3">
      <c r="A962" t="s">
        <v>16</v>
      </c>
      <c r="B962" t="s">
        <v>22</v>
      </c>
      <c r="C962" s="6" t="s">
        <v>29</v>
      </c>
      <c r="D962" s="6" t="str">
        <f>CONCATENATE(financials[[#This Row],[Segment]],",",financials[[#This Row],[Country]],",",financials[[#This Row],[Product]])</f>
        <v>Government,France,Velo</v>
      </c>
      <c r="E962" s="6" t="s">
        <v>33</v>
      </c>
      <c r="F962">
        <f t="shared" ca="1" si="28"/>
        <v>680</v>
      </c>
      <c r="G962" s="1">
        <f ca="1">VLOOKUP(financials[[#This Row],[ID]],Prices!D:F,2,FALSE)</f>
        <v>20</v>
      </c>
      <c r="H962" s="1">
        <f ca="1">VLOOKUP(financials[[#This Row],[ID]],Prices!D:F,3,FALSE)</f>
        <v>36</v>
      </c>
      <c r="I962" s="1">
        <f ca="1">financials[[#This Row],[Units Sold]]*financials[[#This Row],[Sale Price]]</f>
        <v>24480</v>
      </c>
      <c r="J9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1224</v>
      </c>
      <c r="K962" s="1">
        <f ca="1">financials[[#This Row],[Gross Sales]]-financials[[#This Row],[Discounts]]</f>
        <v>23256</v>
      </c>
      <c r="L962" s="1">
        <f ca="1">financials[[#This Row],[Units Sold]]*financials[[#This Row],[Manufacturing Price]]</f>
        <v>13600</v>
      </c>
      <c r="M962" s="1">
        <f ca="1">financials[[#This Row],[Sales]]-financials[[#This Row],[COGS]]</f>
        <v>9656</v>
      </c>
      <c r="N962" s="7">
        <f t="shared" ca="1" si="29"/>
        <v>45432</v>
      </c>
      <c r="O962" s="8">
        <f ca="1">MONTH(financials[[#This Row],[Date]])</f>
        <v>5</v>
      </c>
      <c r="P962" s="6" t="str">
        <f ca="1">TEXT(financials[[#This Row],[Date]],"MMM")</f>
        <v>May</v>
      </c>
      <c r="Q962">
        <f ca="1">YEAR(financials[[#This Row],[Date]])</f>
        <v>2024</v>
      </c>
    </row>
    <row r="963" spans="1:17" x14ac:dyDescent="0.3">
      <c r="A963" t="s">
        <v>27</v>
      </c>
      <c r="B963" t="s">
        <v>20</v>
      </c>
      <c r="C963" s="6" t="s">
        <v>29</v>
      </c>
      <c r="D963" s="6" t="str">
        <f>CONCATENATE(financials[[#This Row],[Segment]],",",financials[[#This Row],[Country]],",",financials[[#This Row],[Product]])</f>
        <v>Small Business,Germany,Velo</v>
      </c>
      <c r="E963" s="6" t="s">
        <v>33</v>
      </c>
      <c r="F963">
        <f t="shared" ref="F963:F1026" ca="1" si="30">RANDBETWEEN(10,1000)</f>
        <v>648</v>
      </c>
      <c r="G963" s="1">
        <f ca="1">VLOOKUP(financials[[#This Row],[ID]],Prices!D:F,2,FALSE)</f>
        <v>15</v>
      </c>
      <c r="H963" s="1">
        <f ca="1">VLOOKUP(financials[[#This Row],[ID]],Prices!D:F,3,FALSE)</f>
        <v>30</v>
      </c>
      <c r="I963" s="1">
        <f ca="1">financials[[#This Row],[Units Sold]]*financials[[#This Row],[Sale Price]]</f>
        <v>19440</v>
      </c>
      <c r="J9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972</v>
      </c>
      <c r="K963" s="1">
        <f ca="1">financials[[#This Row],[Gross Sales]]-financials[[#This Row],[Discounts]]</f>
        <v>18468</v>
      </c>
      <c r="L963" s="1">
        <f ca="1">financials[[#This Row],[Units Sold]]*financials[[#This Row],[Manufacturing Price]]</f>
        <v>9720</v>
      </c>
      <c r="M963" s="1">
        <f ca="1">financials[[#This Row],[Sales]]-financials[[#This Row],[COGS]]</f>
        <v>8748</v>
      </c>
      <c r="N963" s="7">
        <f t="shared" ref="N963:N1026" ca="1" si="31">TODAY()-RANDBETWEEN(1,732)</f>
        <v>45441</v>
      </c>
      <c r="O963" s="8">
        <f ca="1">MONTH(financials[[#This Row],[Date]])</f>
        <v>5</v>
      </c>
      <c r="P963" s="6" t="str">
        <f ca="1">TEXT(financials[[#This Row],[Date]],"MMM")</f>
        <v>May</v>
      </c>
      <c r="Q963">
        <f ca="1">YEAR(financials[[#This Row],[Date]])</f>
        <v>2024</v>
      </c>
    </row>
    <row r="964" spans="1:17" x14ac:dyDescent="0.3">
      <c r="A964" t="s">
        <v>16</v>
      </c>
      <c r="B964" t="s">
        <v>17</v>
      </c>
      <c r="C964" s="6" t="s">
        <v>30</v>
      </c>
      <c r="D964" s="6" t="str">
        <f>CONCATENATE(financials[[#This Row],[Segment]],",",financials[[#This Row],[Country]],",",financials[[#This Row],[Product]])</f>
        <v>Government,Canada,VTT</v>
      </c>
      <c r="E964" s="6" t="s">
        <v>33</v>
      </c>
      <c r="F964">
        <f t="shared" ca="1" si="30"/>
        <v>456</v>
      </c>
      <c r="G964" s="1">
        <f ca="1">VLOOKUP(financials[[#This Row],[ID]],Prices!D:F,2,FALSE)</f>
        <v>17</v>
      </c>
      <c r="H964" s="1">
        <f ca="1">VLOOKUP(financials[[#This Row],[ID]],Prices!D:F,3,FALSE)</f>
        <v>38</v>
      </c>
      <c r="I964" s="1">
        <f ca="1">financials[[#This Row],[Units Sold]]*financials[[#This Row],[Sale Price]]</f>
        <v>17328</v>
      </c>
      <c r="J9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866.40000000000009</v>
      </c>
      <c r="K964" s="1">
        <f ca="1">financials[[#This Row],[Gross Sales]]-financials[[#This Row],[Discounts]]</f>
        <v>16461.599999999999</v>
      </c>
      <c r="L964" s="1">
        <f ca="1">financials[[#This Row],[Units Sold]]*financials[[#This Row],[Manufacturing Price]]</f>
        <v>7752</v>
      </c>
      <c r="M964" s="1">
        <f ca="1">financials[[#This Row],[Sales]]-financials[[#This Row],[COGS]]</f>
        <v>8709.5999999999985</v>
      </c>
      <c r="N964" s="7">
        <f t="shared" ca="1" si="31"/>
        <v>45439</v>
      </c>
      <c r="O964" s="8">
        <f ca="1">MONTH(financials[[#This Row],[Date]])</f>
        <v>5</v>
      </c>
      <c r="P964" s="6" t="str">
        <f ca="1">TEXT(financials[[#This Row],[Date]],"MMM")</f>
        <v>May</v>
      </c>
      <c r="Q964">
        <f ca="1">YEAR(financials[[#This Row],[Date]])</f>
        <v>2024</v>
      </c>
    </row>
    <row r="965" spans="1:17" x14ac:dyDescent="0.3">
      <c r="A965" t="s">
        <v>16</v>
      </c>
      <c r="B965" t="s">
        <v>36</v>
      </c>
      <c r="C965" s="6" t="s">
        <v>30</v>
      </c>
      <c r="D965" s="6" t="str">
        <f>CONCATENATE(financials[[#This Row],[Segment]],",",financials[[#This Row],[Country]],",",financials[[#This Row],[Product]])</f>
        <v>Government,USA,VTT</v>
      </c>
      <c r="E965" s="6" t="s">
        <v>33</v>
      </c>
      <c r="F965">
        <f t="shared" ca="1" si="30"/>
        <v>354</v>
      </c>
      <c r="G965" s="1">
        <f ca="1">VLOOKUP(financials[[#This Row],[ID]],Prices!D:F,2,FALSE)</f>
        <v>13</v>
      </c>
      <c r="H965" s="1">
        <f ca="1">VLOOKUP(financials[[#This Row],[ID]],Prices!D:F,3,FALSE)</f>
        <v>31</v>
      </c>
      <c r="I965" s="1">
        <f ca="1">financials[[#This Row],[Units Sold]]*financials[[#This Row],[Sale Price]]</f>
        <v>10974</v>
      </c>
      <c r="J9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548.70000000000005</v>
      </c>
      <c r="K965" s="1">
        <f ca="1">financials[[#This Row],[Gross Sales]]-financials[[#This Row],[Discounts]]</f>
        <v>10425.299999999999</v>
      </c>
      <c r="L965" s="1">
        <f ca="1">financials[[#This Row],[Units Sold]]*financials[[#This Row],[Manufacturing Price]]</f>
        <v>4602</v>
      </c>
      <c r="M965" s="1">
        <f ca="1">financials[[#This Row],[Sales]]-financials[[#This Row],[COGS]]</f>
        <v>5823.2999999999993</v>
      </c>
      <c r="N965" s="7">
        <f t="shared" ca="1" si="31"/>
        <v>45565</v>
      </c>
      <c r="O965" s="8">
        <f ca="1">MONTH(financials[[#This Row],[Date]])</f>
        <v>9</v>
      </c>
      <c r="P965" s="6" t="str">
        <f ca="1">TEXT(financials[[#This Row],[Date]],"MMM")</f>
        <v>Sep</v>
      </c>
      <c r="Q965">
        <f ca="1">YEAR(financials[[#This Row],[Date]])</f>
        <v>2024</v>
      </c>
    </row>
    <row r="966" spans="1:17" x14ac:dyDescent="0.3">
      <c r="A966" t="s">
        <v>16</v>
      </c>
      <c r="B966" t="s">
        <v>20</v>
      </c>
      <c r="C966" s="6" t="s">
        <v>30</v>
      </c>
      <c r="D966" s="6" t="str">
        <f>CONCATENATE(financials[[#This Row],[Segment]],",",financials[[#This Row],[Country]],",",financials[[#This Row],[Product]])</f>
        <v>Government,Germany,VTT</v>
      </c>
      <c r="E966" s="6" t="s">
        <v>33</v>
      </c>
      <c r="F966">
        <f t="shared" ca="1" si="30"/>
        <v>899</v>
      </c>
      <c r="G966" s="1">
        <f ca="1">VLOOKUP(financials[[#This Row],[ID]],Prices!D:F,2,FALSE)</f>
        <v>16</v>
      </c>
      <c r="H966" s="1">
        <f ca="1">VLOOKUP(financials[[#This Row],[ID]],Prices!D:F,3,FALSE)</f>
        <v>20</v>
      </c>
      <c r="I966" s="1">
        <f ca="1">financials[[#This Row],[Units Sold]]*financials[[#This Row],[Sale Price]]</f>
        <v>17980</v>
      </c>
      <c r="J9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899</v>
      </c>
      <c r="K966" s="1">
        <f ca="1">financials[[#This Row],[Gross Sales]]-financials[[#This Row],[Discounts]]</f>
        <v>17081</v>
      </c>
      <c r="L966" s="1">
        <f ca="1">financials[[#This Row],[Units Sold]]*financials[[#This Row],[Manufacturing Price]]</f>
        <v>14384</v>
      </c>
      <c r="M966" s="1">
        <f ca="1">financials[[#This Row],[Sales]]-financials[[#This Row],[COGS]]</f>
        <v>2697</v>
      </c>
      <c r="N966" s="7">
        <f t="shared" ca="1" si="31"/>
        <v>45084</v>
      </c>
      <c r="O966" s="8">
        <f ca="1">MONTH(financials[[#This Row],[Date]])</f>
        <v>6</v>
      </c>
      <c r="P966" s="6" t="str">
        <f ca="1">TEXT(financials[[#This Row],[Date]],"MMM")</f>
        <v>Jun</v>
      </c>
      <c r="Q966">
        <f ca="1">YEAR(financials[[#This Row],[Date]])</f>
        <v>2023</v>
      </c>
    </row>
    <row r="967" spans="1:17" x14ac:dyDescent="0.3">
      <c r="A967" t="s">
        <v>16</v>
      </c>
      <c r="B967" t="s">
        <v>36</v>
      </c>
      <c r="C967" s="6" t="s">
        <v>30</v>
      </c>
      <c r="D967" s="6" t="str">
        <f>CONCATENATE(financials[[#This Row],[Segment]],",",financials[[#This Row],[Country]],",",financials[[#This Row],[Product]])</f>
        <v>Government,USA,VTT</v>
      </c>
      <c r="E967" s="6" t="s">
        <v>33</v>
      </c>
      <c r="F967">
        <f t="shared" ca="1" si="30"/>
        <v>876</v>
      </c>
      <c r="G967" s="1">
        <f ca="1">VLOOKUP(financials[[#This Row],[ID]],Prices!D:F,2,FALSE)</f>
        <v>13</v>
      </c>
      <c r="H967" s="1">
        <f ca="1">VLOOKUP(financials[[#This Row],[ID]],Prices!D:F,3,FALSE)</f>
        <v>31</v>
      </c>
      <c r="I967" s="1">
        <f ca="1">financials[[#This Row],[Units Sold]]*financials[[#This Row],[Sale Price]]</f>
        <v>27156</v>
      </c>
      <c r="J9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1357.8000000000002</v>
      </c>
      <c r="K967" s="1">
        <f ca="1">financials[[#This Row],[Gross Sales]]-financials[[#This Row],[Discounts]]</f>
        <v>25798.2</v>
      </c>
      <c r="L967" s="1">
        <f ca="1">financials[[#This Row],[Units Sold]]*financials[[#This Row],[Manufacturing Price]]</f>
        <v>11388</v>
      </c>
      <c r="M967" s="1">
        <f ca="1">financials[[#This Row],[Sales]]-financials[[#This Row],[COGS]]</f>
        <v>14410.2</v>
      </c>
      <c r="N967" s="7">
        <f t="shared" ca="1" si="31"/>
        <v>45585</v>
      </c>
      <c r="O967" s="8">
        <f ca="1">MONTH(financials[[#This Row],[Date]])</f>
        <v>10</v>
      </c>
      <c r="P967" s="6" t="str">
        <f ca="1">TEXT(financials[[#This Row],[Date]],"MMM")</f>
        <v>Oct</v>
      </c>
      <c r="Q967">
        <f ca="1">YEAR(financials[[#This Row],[Date]])</f>
        <v>2024</v>
      </c>
    </row>
    <row r="968" spans="1:17" x14ac:dyDescent="0.3">
      <c r="A968" t="s">
        <v>16</v>
      </c>
      <c r="B968" t="s">
        <v>36</v>
      </c>
      <c r="C968" s="6" t="s">
        <v>30</v>
      </c>
      <c r="D968" s="6" t="str">
        <f>CONCATENATE(financials[[#This Row],[Segment]],",",financials[[#This Row],[Country]],",",financials[[#This Row],[Product]])</f>
        <v>Government,USA,VTT</v>
      </c>
      <c r="E968" s="6" t="s">
        <v>33</v>
      </c>
      <c r="F968">
        <f t="shared" ca="1" si="30"/>
        <v>499</v>
      </c>
      <c r="G968" s="1">
        <f ca="1">VLOOKUP(financials[[#This Row],[ID]],Prices!D:F,2,FALSE)</f>
        <v>13</v>
      </c>
      <c r="H968" s="1">
        <f ca="1">VLOOKUP(financials[[#This Row],[ID]],Prices!D:F,3,FALSE)</f>
        <v>31</v>
      </c>
      <c r="I968" s="1">
        <f ca="1">financials[[#This Row],[Units Sold]]*financials[[#This Row],[Sale Price]]</f>
        <v>15469</v>
      </c>
      <c r="J9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773.45</v>
      </c>
      <c r="K968" s="1">
        <f ca="1">financials[[#This Row],[Gross Sales]]-financials[[#This Row],[Discounts]]</f>
        <v>14695.55</v>
      </c>
      <c r="L968" s="1">
        <f ca="1">financials[[#This Row],[Units Sold]]*financials[[#This Row],[Manufacturing Price]]</f>
        <v>6487</v>
      </c>
      <c r="M968" s="1">
        <f ca="1">financials[[#This Row],[Sales]]-financials[[#This Row],[COGS]]</f>
        <v>8208.5499999999993</v>
      </c>
      <c r="N968" s="7">
        <f t="shared" ca="1" si="31"/>
        <v>45378</v>
      </c>
      <c r="O968" s="8">
        <f ca="1">MONTH(financials[[#This Row],[Date]])</f>
        <v>3</v>
      </c>
      <c r="P968" s="6" t="str">
        <f ca="1">TEXT(financials[[#This Row],[Date]],"MMM")</f>
        <v>Mar</v>
      </c>
      <c r="Q968">
        <f ca="1">YEAR(financials[[#This Row],[Date]])</f>
        <v>2024</v>
      </c>
    </row>
    <row r="969" spans="1:17" x14ac:dyDescent="0.3">
      <c r="A969" t="s">
        <v>16</v>
      </c>
      <c r="B969" t="s">
        <v>22</v>
      </c>
      <c r="C969" s="6" t="s">
        <v>30</v>
      </c>
      <c r="D969" s="6" t="str">
        <f>CONCATENATE(financials[[#This Row],[Segment]],",",financials[[#This Row],[Country]],",",financials[[#This Row],[Product]])</f>
        <v>Government,France,VTT</v>
      </c>
      <c r="E969" s="6" t="s">
        <v>33</v>
      </c>
      <c r="F969">
        <f t="shared" ca="1" si="30"/>
        <v>254</v>
      </c>
      <c r="G969" s="1">
        <f ca="1">VLOOKUP(financials[[#This Row],[ID]],Prices!D:F,2,FALSE)</f>
        <v>18</v>
      </c>
      <c r="H969" s="1">
        <f ca="1">VLOOKUP(financials[[#This Row],[ID]],Prices!D:F,3,FALSE)</f>
        <v>32</v>
      </c>
      <c r="I969" s="1">
        <f ca="1">financials[[#This Row],[Units Sold]]*financials[[#This Row],[Sale Price]]</f>
        <v>8128</v>
      </c>
      <c r="J9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406.40000000000003</v>
      </c>
      <c r="K969" s="1">
        <f ca="1">financials[[#This Row],[Gross Sales]]-financials[[#This Row],[Discounts]]</f>
        <v>7721.6</v>
      </c>
      <c r="L969" s="1">
        <f ca="1">financials[[#This Row],[Units Sold]]*financials[[#This Row],[Manufacturing Price]]</f>
        <v>4572</v>
      </c>
      <c r="M969" s="1">
        <f ca="1">financials[[#This Row],[Sales]]-financials[[#This Row],[COGS]]</f>
        <v>3149.6000000000004</v>
      </c>
      <c r="N969" s="7">
        <f t="shared" ca="1" si="31"/>
        <v>45039</v>
      </c>
      <c r="O969" s="8">
        <f ca="1">MONTH(financials[[#This Row],[Date]])</f>
        <v>4</v>
      </c>
      <c r="P969" s="6" t="str">
        <f ca="1">TEXT(financials[[#This Row],[Date]],"MMM")</f>
        <v>Apr</v>
      </c>
      <c r="Q969">
        <f ca="1">YEAR(financials[[#This Row],[Date]])</f>
        <v>2023</v>
      </c>
    </row>
    <row r="970" spans="1:17" x14ac:dyDescent="0.3">
      <c r="A970" t="s">
        <v>16</v>
      </c>
      <c r="B970" t="s">
        <v>20</v>
      </c>
      <c r="C970" s="6" t="s">
        <v>31</v>
      </c>
      <c r="D970" s="6" t="str">
        <f>CONCATENATE(financials[[#This Row],[Segment]],",",financials[[#This Row],[Country]],",",financials[[#This Row],[Product]])</f>
        <v>Government,Germany,Amarilla</v>
      </c>
      <c r="E970" s="6" t="s">
        <v>33</v>
      </c>
      <c r="F970">
        <f t="shared" ca="1" si="30"/>
        <v>639</v>
      </c>
      <c r="G970" s="1">
        <f ca="1">VLOOKUP(financials[[#This Row],[ID]],Prices!D:F,2,FALSE)</f>
        <v>10</v>
      </c>
      <c r="H970" s="1">
        <f ca="1">VLOOKUP(financials[[#This Row],[ID]],Prices!D:F,3,FALSE)</f>
        <v>20</v>
      </c>
      <c r="I970" s="1">
        <f ca="1">financials[[#This Row],[Units Sold]]*financials[[#This Row],[Sale Price]]</f>
        <v>12780</v>
      </c>
      <c r="J9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639</v>
      </c>
      <c r="K970" s="1">
        <f ca="1">financials[[#This Row],[Gross Sales]]-financials[[#This Row],[Discounts]]</f>
        <v>12141</v>
      </c>
      <c r="L970" s="1">
        <f ca="1">financials[[#This Row],[Units Sold]]*financials[[#This Row],[Manufacturing Price]]</f>
        <v>6390</v>
      </c>
      <c r="M970" s="1">
        <f ca="1">financials[[#This Row],[Sales]]-financials[[#This Row],[COGS]]</f>
        <v>5751</v>
      </c>
      <c r="N970" s="7">
        <f t="shared" ca="1" si="31"/>
        <v>45589</v>
      </c>
      <c r="O970" s="8">
        <f ca="1">MONTH(financials[[#This Row],[Date]])</f>
        <v>10</v>
      </c>
      <c r="P970" s="6" t="str">
        <f ca="1">TEXT(financials[[#This Row],[Date]],"MMM")</f>
        <v>Oct</v>
      </c>
      <c r="Q970">
        <f ca="1">YEAR(financials[[#This Row],[Date]])</f>
        <v>2024</v>
      </c>
    </row>
    <row r="971" spans="1:17" x14ac:dyDescent="0.3">
      <c r="A971" t="s">
        <v>16</v>
      </c>
      <c r="B971" t="s">
        <v>17</v>
      </c>
      <c r="C971" s="6" t="s">
        <v>31</v>
      </c>
      <c r="D971" s="6" t="str">
        <f>CONCATENATE(financials[[#This Row],[Segment]],",",financials[[#This Row],[Country]],",",financials[[#This Row],[Product]])</f>
        <v>Government,Canada,Amarilla</v>
      </c>
      <c r="E971" s="6" t="s">
        <v>33</v>
      </c>
      <c r="F971">
        <f t="shared" ca="1" si="30"/>
        <v>641</v>
      </c>
      <c r="G971" s="1">
        <f ca="1">VLOOKUP(financials[[#This Row],[ID]],Prices!D:F,2,FALSE)</f>
        <v>11</v>
      </c>
      <c r="H971" s="1">
        <f ca="1">VLOOKUP(financials[[#This Row],[ID]],Prices!D:F,3,FALSE)</f>
        <v>29</v>
      </c>
      <c r="I971" s="1">
        <f ca="1">financials[[#This Row],[Units Sold]]*financials[[#This Row],[Sale Price]]</f>
        <v>18589</v>
      </c>
      <c r="J9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929.45</v>
      </c>
      <c r="K971" s="1">
        <f ca="1">financials[[#This Row],[Gross Sales]]-financials[[#This Row],[Discounts]]</f>
        <v>17659.55</v>
      </c>
      <c r="L971" s="1">
        <f ca="1">financials[[#This Row],[Units Sold]]*financials[[#This Row],[Manufacturing Price]]</f>
        <v>7051</v>
      </c>
      <c r="M971" s="1">
        <f ca="1">financials[[#This Row],[Sales]]-financials[[#This Row],[COGS]]</f>
        <v>10608.55</v>
      </c>
      <c r="N971" s="7">
        <f t="shared" ca="1" si="31"/>
        <v>45192</v>
      </c>
      <c r="O971" s="8">
        <f ca="1">MONTH(financials[[#This Row],[Date]])</f>
        <v>9</v>
      </c>
      <c r="P971" s="6" t="str">
        <f ca="1">TEXT(financials[[#This Row],[Date]],"MMM")</f>
        <v>Sep</v>
      </c>
      <c r="Q971">
        <f ca="1">YEAR(financials[[#This Row],[Date]])</f>
        <v>2023</v>
      </c>
    </row>
    <row r="972" spans="1:17" x14ac:dyDescent="0.3">
      <c r="A972" t="s">
        <v>16</v>
      </c>
      <c r="B972" t="s">
        <v>17</v>
      </c>
      <c r="C972" s="6" t="s">
        <v>31</v>
      </c>
      <c r="D972" s="6" t="str">
        <f>CONCATENATE(financials[[#This Row],[Segment]],",",financials[[#This Row],[Country]],",",financials[[#This Row],[Product]])</f>
        <v>Government,Canada,Amarilla</v>
      </c>
      <c r="E972" s="6" t="s">
        <v>33</v>
      </c>
      <c r="F972">
        <f t="shared" ca="1" si="30"/>
        <v>747</v>
      </c>
      <c r="G972" s="1">
        <f ca="1">VLOOKUP(financials[[#This Row],[ID]],Prices!D:F,2,FALSE)</f>
        <v>11</v>
      </c>
      <c r="H972" s="1">
        <f ca="1">VLOOKUP(financials[[#This Row],[ID]],Prices!D:F,3,FALSE)</f>
        <v>29</v>
      </c>
      <c r="I972" s="1">
        <f ca="1">financials[[#This Row],[Units Sold]]*financials[[#This Row],[Sale Price]]</f>
        <v>21663</v>
      </c>
      <c r="J9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1083.1500000000001</v>
      </c>
      <c r="K972" s="1">
        <f ca="1">financials[[#This Row],[Gross Sales]]-financials[[#This Row],[Discounts]]</f>
        <v>20579.849999999999</v>
      </c>
      <c r="L972" s="1">
        <f ca="1">financials[[#This Row],[Units Sold]]*financials[[#This Row],[Manufacturing Price]]</f>
        <v>8217</v>
      </c>
      <c r="M972" s="1">
        <f ca="1">financials[[#This Row],[Sales]]-financials[[#This Row],[COGS]]</f>
        <v>12362.849999999999</v>
      </c>
      <c r="N972" s="7">
        <f t="shared" ca="1" si="31"/>
        <v>45269</v>
      </c>
      <c r="O972" s="8">
        <f ca="1">MONTH(financials[[#This Row],[Date]])</f>
        <v>12</v>
      </c>
      <c r="P972" s="6" t="str">
        <f ca="1">TEXT(financials[[#This Row],[Date]],"MMM")</f>
        <v>Dec</v>
      </c>
      <c r="Q972">
        <f ca="1">YEAR(financials[[#This Row],[Date]])</f>
        <v>2023</v>
      </c>
    </row>
    <row r="973" spans="1:17" x14ac:dyDescent="0.3">
      <c r="A973" t="s">
        <v>27</v>
      </c>
      <c r="B973" t="s">
        <v>20</v>
      </c>
      <c r="C973" s="6" t="s">
        <v>31</v>
      </c>
      <c r="D973" s="6" t="str">
        <f>CONCATENATE(financials[[#This Row],[Segment]],",",financials[[#This Row],[Country]],",",financials[[#This Row],[Product]])</f>
        <v>Small Business,Germany,Amarilla</v>
      </c>
      <c r="E973" s="6" t="s">
        <v>33</v>
      </c>
      <c r="F973">
        <f t="shared" ca="1" si="30"/>
        <v>833</v>
      </c>
      <c r="G973" s="1">
        <f ca="1">VLOOKUP(financials[[#This Row],[ID]],Prices!D:F,2,FALSE)</f>
        <v>14</v>
      </c>
      <c r="H973" s="1">
        <f ca="1">VLOOKUP(financials[[#This Row],[ID]],Prices!D:F,3,FALSE)</f>
        <v>35</v>
      </c>
      <c r="I973" s="1">
        <f ca="1">financials[[#This Row],[Units Sold]]*financials[[#This Row],[Sale Price]]</f>
        <v>29155</v>
      </c>
      <c r="J9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1457.75</v>
      </c>
      <c r="K973" s="1">
        <f ca="1">financials[[#This Row],[Gross Sales]]-financials[[#This Row],[Discounts]]</f>
        <v>27697.25</v>
      </c>
      <c r="L973" s="1">
        <f ca="1">financials[[#This Row],[Units Sold]]*financials[[#This Row],[Manufacturing Price]]</f>
        <v>11662</v>
      </c>
      <c r="M973" s="1">
        <f ca="1">financials[[#This Row],[Sales]]-financials[[#This Row],[COGS]]</f>
        <v>16035.25</v>
      </c>
      <c r="N973" s="7">
        <f t="shared" ca="1" si="31"/>
        <v>45488</v>
      </c>
      <c r="O973" s="8">
        <f ca="1">MONTH(financials[[#This Row],[Date]])</f>
        <v>7</v>
      </c>
      <c r="P973" s="6" t="str">
        <f ca="1">TEXT(financials[[#This Row],[Date]],"MMM")</f>
        <v>Jul</v>
      </c>
      <c r="Q973">
        <f ca="1">YEAR(financials[[#This Row],[Date]])</f>
        <v>2024</v>
      </c>
    </row>
    <row r="974" spans="1:17" x14ac:dyDescent="0.3">
      <c r="A974" t="s">
        <v>21</v>
      </c>
      <c r="B974" t="s">
        <v>22</v>
      </c>
      <c r="C974" s="6" t="s">
        <v>28</v>
      </c>
      <c r="D974" s="6" t="str">
        <f>CONCATENATE(financials[[#This Row],[Segment]],",",financials[[#This Row],[Country]],",",financials[[#This Row],[Product]])</f>
        <v>Midmarket,France,Paseo</v>
      </c>
      <c r="E974" s="6" t="s">
        <v>33</v>
      </c>
      <c r="F974">
        <f t="shared" ca="1" si="30"/>
        <v>962</v>
      </c>
      <c r="G974" s="1">
        <f ca="1">VLOOKUP(financials[[#This Row],[ID]],Prices!D:F,2,FALSE)</f>
        <v>20</v>
      </c>
      <c r="H974" s="1">
        <f ca="1">VLOOKUP(financials[[#This Row],[ID]],Prices!D:F,3,FALSE)</f>
        <v>38</v>
      </c>
      <c r="I974" s="1">
        <f ca="1">financials[[#This Row],[Units Sold]]*financials[[#This Row],[Sale Price]]</f>
        <v>36556</v>
      </c>
      <c r="J9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1827.8000000000002</v>
      </c>
      <c r="K974" s="1">
        <f ca="1">financials[[#This Row],[Gross Sales]]-financials[[#This Row],[Discounts]]</f>
        <v>34728.199999999997</v>
      </c>
      <c r="L974" s="1">
        <f ca="1">financials[[#This Row],[Units Sold]]*financials[[#This Row],[Manufacturing Price]]</f>
        <v>19240</v>
      </c>
      <c r="M974" s="1">
        <f ca="1">financials[[#This Row],[Sales]]-financials[[#This Row],[COGS]]</f>
        <v>15488.199999999997</v>
      </c>
      <c r="N974" s="7">
        <f t="shared" ca="1" si="31"/>
        <v>45344</v>
      </c>
      <c r="O974" s="8">
        <f ca="1">MONTH(financials[[#This Row],[Date]])</f>
        <v>2</v>
      </c>
      <c r="P974" s="6" t="str">
        <f ca="1">TEXT(financials[[#This Row],[Date]],"MMM")</f>
        <v>Feb</v>
      </c>
      <c r="Q974">
        <f ca="1">YEAR(financials[[#This Row],[Date]])</f>
        <v>2024</v>
      </c>
    </row>
    <row r="975" spans="1:17" x14ac:dyDescent="0.3">
      <c r="A975" t="s">
        <v>16</v>
      </c>
      <c r="B975" t="s">
        <v>36</v>
      </c>
      <c r="C975" s="6" t="s">
        <v>18</v>
      </c>
      <c r="D975" s="6" t="str">
        <f>CONCATENATE(financials[[#This Row],[Segment]],",",financials[[#This Row],[Country]],",",financials[[#This Row],[Product]])</f>
        <v>Government,USA,Carretera</v>
      </c>
      <c r="E975" s="6" t="s">
        <v>33</v>
      </c>
      <c r="F975">
        <f t="shared" ca="1" si="30"/>
        <v>922</v>
      </c>
      <c r="G975" s="1">
        <f ca="1">VLOOKUP(financials[[#This Row],[ID]],Prices!D:F,2,FALSE)</f>
        <v>11</v>
      </c>
      <c r="H975" s="1">
        <f ca="1">VLOOKUP(financials[[#This Row],[ID]],Prices!D:F,3,FALSE)</f>
        <v>21</v>
      </c>
      <c r="I975" s="1">
        <f ca="1">financials[[#This Row],[Units Sold]]*financials[[#This Row],[Sale Price]]</f>
        <v>19362</v>
      </c>
      <c r="J9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968.1</v>
      </c>
      <c r="K975" s="1">
        <f ca="1">financials[[#This Row],[Gross Sales]]-financials[[#This Row],[Discounts]]</f>
        <v>18393.900000000001</v>
      </c>
      <c r="L975" s="1">
        <f ca="1">financials[[#This Row],[Units Sold]]*financials[[#This Row],[Manufacturing Price]]</f>
        <v>10142</v>
      </c>
      <c r="M975" s="1">
        <f ca="1">financials[[#This Row],[Sales]]-financials[[#This Row],[COGS]]</f>
        <v>8251.9000000000015</v>
      </c>
      <c r="N975" s="7">
        <f t="shared" ca="1" si="31"/>
        <v>45643</v>
      </c>
      <c r="O975" s="8">
        <f ca="1">MONTH(financials[[#This Row],[Date]])</f>
        <v>12</v>
      </c>
      <c r="P975" s="6" t="str">
        <f ca="1">TEXT(financials[[#This Row],[Date]],"MMM")</f>
        <v>Dec</v>
      </c>
      <c r="Q975">
        <f ca="1">YEAR(financials[[#This Row],[Date]])</f>
        <v>2024</v>
      </c>
    </row>
    <row r="976" spans="1:17" x14ac:dyDescent="0.3">
      <c r="A976" t="s">
        <v>21</v>
      </c>
      <c r="B976" t="s">
        <v>17</v>
      </c>
      <c r="C976" s="6" t="s">
        <v>18</v>
      </c>
      <c r="D976" s="6" t="str">
        <f>CONCATENATE(financials[[#This Row],[Segment]],",",financials[[#This Row],[Country]],",",financials[[#This Row],[Product]])</f>
        <v>Midmarket,Canada,Carretera</v>
      </c>
      <c r="E976" s="6" t="s">
        <v>33</v>
      </c>
      <c r="F976">
        <f t="shared" ca="1" si="30"/>
        <v>222</v>
      </c>
      <c r="G976" s="1">
        <f ca="1">VLOOKUP(financials[[#This Row],[ID]],Prices!D:F,2,FALSE)</f>
        <v>10</v>
      </c>
      <c r="H976" s="1">
        <f ca="1">VLOOKUP(financials[[#This Row],[ID]],Prices!D:F,3,FALSE)</f>
        <v>29</v>
      </c>
      <c r="I976" s="1">
        <f ca="1">financials[[#This Row],[Units Sold]]*financials[[#This Row],[Sale Price]]</f>
        <v>6438</v>
      </c>
      <c r="J9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321.90000000000003</v>
      </c>
      <c r="K976" s="1">
        <f ca="1">financials[[#This Row],[Gross Sales]]-financials[[#This Row],[Discounts]]</f>
        <v>6116.1</v>
      </c>
      <c r="L976" s="1">
        <f ca="1">financials[[#This Row],[Units Sold]]*financials[[#This Row],[Manufacturing Price]]</f>
        <v>2220</v>
      </c>
      <c r="M976" s="1">
        <f ca="1">financials[[#This Row],[Sales]]-financials[[#This Row],[COGS]]</f>
        <v>3896.1000000000004</v>
      </c>
      <c r="N976" s="7">
        <f t="shared" ca="1" si="31"/>
        <v>45189</v>
      </c>
      <c r="O976" s="8">
        <f ca="1">MONTH(financials[[#This Row],[Date]])</f>
        <v>9</v>
      </c>
      <c r="P976" s="6" t="str">
        <f ca="1">TEXT(financials[[#This Row],[Date]],"MMM")</f>
        <v>Sep</v>
      </c>
      <c r="Q976">
        <f ca="1">YEAR(financials[[#This Row],[Date]])</f>
        <v>2023</v>
      </c>
    </row>
    <row r="977" spans="1:17" x14ac:dyDescent="0.3">
      <c r="A977" t="s">
        <v>25</v>
      </c>
      <c r="B977" t="s">
        <v>23</v>
      </c>
      <c r="C977" s="6" t="s">
        <v>18</v>
      </c>
      <c r="D977" s="6" t="str">
        <f>CONCATENATE(financials[[#This Row],[Segment]],",",financials[[#This Row],[Country]],",",financials[[#This Row],[Product]])</f>
        <v>Channel Partners,Mexico,Carretera</v>
      </c>
      <c r="E977" s="6" t="s">
        <v>33</v>
      </c>
      <c r="F977">
        <f t="shared" ca="1" si="30"/>
        <v>561</v>
      </c>
      <c r="G977" s="1">
        <f ca="1">VLOOKUP(financials[[#This Row],[ID]],Prices!D:F,2,FALSE)</f>
        <v>14</v>
      </c>
      <c r="H977" s="1">
        <f ca="1">VLOOKUP(financials[[#This Row],[ID]],Prices!D:F,3,FALSE)</f>
        <v>18</v>
      </c>
      <c r="I977" s="1">
        <f ca="1">financials[[#This Row],[Units Sold]]*financials[[#This Row],[Sale Price]]</f>
        <v>10098</v>
      </c>
      <c r="J9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504.90000000000003</v>
      </c>
      <c r="K977" s="1">
        <f ca="1">financials[[#This Row],[Gross Sales]]-financials[[#This Row],[Discounts]]</f>
        <v>9593.1</v>
      </c>
      <c r="L977" s="1">
        <f ca="1">financials[[#This Row],[Units Sold]]*financials[[#This Row],[Manufacturing Price]]</f>
        <v>7854</v>
      </c>
      <c r="M977" s="1">
        <f ca="1">financials[[#This Row],[Sales]]-financials[[#This Row],[COGS]]</f>
        <v>1739.1000000000004</v>
      </c>
      <c r="N977" s="7">
        <f t="shared" ca="1" si="31"/>
        <v>45399</v>
      </c>
      <c r="O977" s="8">
        <f ca="1">MONTH(financials[[#This Row],[Date]])</f>
        <v>4</v>
      </c>
      <c r="P977" s="6" t="str">
        <f ca="1">TEXT(financials[[#This Row],[Date]],"MMM")</f>
        <v>Apr</v>
      </c>
      <c r="Q977">
        <f ca="1">YEAR(financials[[#This Row],[Date]])</f>
        <v>2024</v>
      </c>
    </row>
    <row r="978" spans="1:17" x14ac:dyDescent="0.3">
      <c r="A978" t="s">
        <v>25</v>
      </c>
      <c r="B978" t="s">
        <v>17</v>
      </c>
      <c r="C978" s="6" t="s">
        <v>18</v>
      </c>
      <c r="D978" s="6" t="str">
        <f>CONCATENATE(financials[[#This Row],[Segment]],",",financials[[#This Row],[Country]],",",financials[[#This Row],[Product]])</f>
        <v>Channel Partners,Canada,Carretera</v>
      </c>
      <c r="E978" s="6" t="s">
        <v>33</v>
      </c>
      <c r="F978">
        <f t="shared" ca="1" si="30"/>
        <v>926</v>
      </c>
      <c r="G978" s="1">
        <f ca="1">VLOOKUP(financials[[#This Row],[ID]],Prices!D:F,2,FALSE)</f>
        <v>17</v>
      </c>
      <c r="H978" s="1">
        <f ca="1">VLOOKUP(financials[[#This Row],[ID]],Prices!D:F,3,FALSE)</f>
        <v>24</v>
      </c>
      <c r="I978" s="1">
        <f ca="1">financials[[#This Row],[Units Sold]]*financials[[#This Row],[Sale Price]]</f>
        <v>22224</v>
      </c>
      <c r="J9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1111.2</v>
      </c>
      <c r="K978" s="1">
        <f ca="1">financials[[#This Row],[Gross Sales]]-financials[[#This Row],[Discounts]]</f>
        <v>21112.799999999999</v>
      </c>
      <c r="L978" s="1">
        <f ca="1">financials[[#This Row],[Units Sold]]*financials[[#This Row],[Manufacturing Price]]</f>
        <v>15742</v>
      </c>
      <c r="M978" s="1">
        <f ca="1">financials[[#This Row],[Sales]]-financials[[#This Row],[COGS]]</f>
        <v>5370.7999999999993</v>
      </c>
      <c r="N978" s="7">
        <f t="shared" ca="1" si="31"/>
        <v>45270</v>
      </c>
      <c r="O978" s="8">
        <f ca="1">MONTH(financials[[#This Row],[Date]])</f>
        <v>12</v>
      </c>
      <c r="P978" s="6" t="str">
        <f ca="1">TEXT(financials[[#This Row],[Date]],"MMM")</f>
        <v>Dec</v>
      </c>
      <c r="Q978">
        <f ca="1">YEAR(financials[[#This Row],[Date]])</f>
        <v>2023</v>
      </c>
    </row>
    <row r="979" spans="1:17" x14ac:dyDescent="0.3">
      <c r="A979" t="s">
        <v>21</v>
      </c>
      <c r="B979" t="s">
        <v>36</v>
      </c>
      <c r="C979" s="6" t="s">
        <v>18</v>
      </c>
      <c r="D979" s="6" t="str">
        <f>CONCATENATE(financials[[#This Row],[Segment]],",",financials[[#This Row],[Country]],",",financials[[#This Row],[Product]])</f>
        <v>Midmarket,USA,Carretera</v>
      </c>
      <c r="E979" s="6" t="s">
        <v>33</v>
      </c>
      <c r="F979">
        <f t="shared" ca="1" si="30"/>
        <v>987</v>
      </c>
      <c r="G979" s="1">
        <f ca="1">VLOOKUP(financials[[#This Row],[ID]],Prices!D:F,2,FALSE)</f>
        <v>13</v>
      </c>
      <c r="H979" s="1">
        <f ca="1">VLOOKUP(financials[[#This Row],[ID]],Prices!D:F,3,FALSE)</f>
        <v>21</v>
      </c>
      <c r="I979" s="1">
        <f ca="1">financials[[#This Row],[Units Sold]]*financials[[#This Row],[Sale Price]]</f>
        <v>20727</v>
      </c>
      <c r="J9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1036.3500000000001</v>
      </c>
      <c r="K979" s="1">
        <f ca="1">financials[[#This Row],[Gross Sales]]-financials[[#This Row],[Discounts]]</f>
        <v>19690.650000000001</v>
      </c>
      <c r="L979" s="1">
        <f ca="1">financials[[#This Row],[Units Sold]]*financials[[#This Row],[Manufacturing Price]]</f>
        <v>12831</v>
      </c>
      <c r="M979" s="1">
        <f ca="1">financials[[#This Row],[Sales]]-financials[[#This Row],[COGS]]</f>
        <v>6859.6500000000015</v>
      </c>
      <c r="N979" s="7">
        <f t="shared" ca="1" si="31"/>
        <v>45461</v>
      </c>
      <c r="O979" s="8">
        <f ca="1">MONTH(financials[[#This Row],[Date]])</f>
        <v>6</v>
      </c>
      <c r="P979" s="6" t="str">
        <f ca="1">TEXT(financials[[#This Row],[Date]],"MMM")</f>
        <v>Jun</v>
      </c>
      <c r="Q979">
        <f ca="1">YEAR(financials[[#This Row],[Date]])</f>
        <v>2024</v>
      </c>
    </row>
    <row r="980" spans="1:17" x14ac:dyDescent="0.3">
      <c r="A980" t="s">
        <v>16</v>
      </c>
      <c r="B980" t="s">
        <v>36</v>
      </c>
      <c r="C980" s="6" t="s">
        <v>18</v>
      </c>
      <c r="D980" s="6" t="str">
        <f>CONCATENATE(financials[[#This Row],[Segment]],",",financials[[#This Row],[Country]],",",financials[[#This Row],[Product]])</f>
        <v>Government,USA,Carretera</v>
      </c>
      <c r="E980" s="6" t="s">
        <v>33</v>
      </c>
      <c r="F980">
        <f t="shared" ca="1" si="30"/>
        <v>182</v>
      </c>
      <c r="G980" s="1">
        <f ca="1">VLOOKUP(financials[[#This Row],[ID]],Prices!D:F,2,FALSE)</f>
        <v>11</v>
      </c>
      <c r="H980" s="1">
        <f ca="1">VLOOKUP(financials[[#This Row],[ID]],Prices!D:F,3,FALSE)</f>
        <v>21</v>
      </c>
      <c r="I980" s="1">
        <f ca="1">financials[[#This Row],[Units Sold]]*financials[[#This Row],[Sale Price]]</f>
        <v>3822</v>
      </c>
      <c r="J9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191.10000000000002</v>
      </c>
      <c r="K980" s="1">
        <f ca="1">financials[[#This Row],[Gross Sales]]-financials[[#This Row],[Discounts]]</f>
        <v>3630.9</v>
      </c>
      <c r="L980" s="1">
        <f ca="1">financials[[#This Row],[Units Sold]]*financials[[#This Row],[Manufacturing Price]]</f>
        <v>2002</v>
      </c>
      <c r="M980" s="1">
        <f ca="1">financials[[#This Row],[Sales]]-financials[[#This Row],[COGS]]</f>
        <v>1628.9</v>
      </c>
      <c r="N980" s="7">
        <f t="shared" ca="1" si="31"/>
        <v>45371</v>
      </c>
      <c r="O980" s="8">
        <f ca="1">MONTH(financials[[#This Row],[Date]])</f>
        <v>3</v>
      </c>
      <c r="P980" s="6" t="str">
        <f ca="1">TEXT(financials[[#This Row],[Date]],"MMM")</f>
        <v>Mar</v>
      </c>
      <c r="Q980">
        <f ca="1">YEAR(financials[[#This Row],[Date]])</f>
        <v>2024</v>
      </c>
    </row>
    <row r="981" spans="1:17" x14ac:dyDescent="0.3">
      <c r="A981" t="s">
        <v>26</v>
      </c>
      <c r="B981" t="s">
        <v>20</v>
      </c>
      <c r="C981" s="6" t="s">
        <v>18</v>
      </c>
      <c r="D981" s="6" t="str">
        <f>CONCATENATE(financials[[#This Row],[Segment]],",",financials[[#This Row],[Country]],",",financials[[#This Row],[Product]])</f>
        <v>Enterprise,Germany,Carretera</v>
      </c>
      <c r="E981" s="6" t="s">
        <v>33</v>
      </c>
      <c r="F981">
        <f t="shared" ca="1" si="30"/>
        <v>751</v>
      </c>
      <c r="G981" s="1">
        <f ca="1">VLOOKUP(financials[[#This Row],[ID]],Prices!D:F,2,FALSE)</f>
        <v>20</v>
      </c>
      <c r="H981" s="1">
        <f ca="1">VLOOKUP(financials[[#This Row],[ID]],Prices!D:F,3,FALSE)</f>
        <v>37</v>
      </c>
      <c r="I981" s="1">
        <f ca="1">financials[[#This Row],[Units Sold]]*financials[[#This Row],[Sale Price]]</f>
        <v>27787</v>
      </c>
      <c r="J9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1389.3500000000001</v>
      </c>
      <c r="K981" s="1">
        <f ca="1">financials[[#This Row],[Gross Sales]]-financials[[#This Row],[Discounts]]</f>
        <v>26397.65</v>
      </c>
      <c r="L981" s="1">
        <f ca="1">financials[[#This Row],[Units Sold]]*financials[[#This Row],[Manufacturing Price]]</f>
        <v>15020</v>
      </c>
      <c r="M981" s="1">
        <f ca="1">financials[[#This Row],[Sales]]-financials[[#This Row],[COGS]]</f>
        <v>11377.650000000001</v>
      </c>
      <c r="N981" s="7">
        <f t="shared" ca="1" si="31"/>
        <v>45315</v>
      </c>
      <c r="O981" s="8">
        <f ca="1">MONTH(financials[[#This Row],[Date]])</f>
        <v>1</v>
      </c>
      <c r="P981" s="6" t="str">
        <f ca="1">TEXT(financials[[#This Row],[Date]],"MMM")</f>
        <v>Jan</v>
      </c>
      <c r="Q981">
        <f ca="1">YEAR(financials[[#This Row],[Date]])</f>
        <v>2024</v>
      </c>
    </row>
    <row r="982" spans="1:17" x14ac:dyDescent="0.3">
      <c r="A982" t="s">
        <v>16</v>
      </c>
      <c r="B982" t="s">
        <v>23</v>
      </c>
      <c r="C982" s="6" t="s">
        <v>24</v>
      </c>
      <c r="D982" s="6" t="str">
        <f>CONCATENATE(financials[[#This Row],[Segment]],",",financials[[#This Row],[Country]],",",financials[[#This Row],[Product]])</f>
        <v>Government,Mexico,Montana</v>
      </c>
      <c r="E982" s="6" t="s">
        <v>33</v>
      </c>
      <c r="F982">
        <f t="shared" ca="1" si="30"/>
        <v>500</v>
      </c>
      <c r="G982" s="1">
        <f ca="1">VLOOKUP(financials[[#This Row],[ID]],Prices!D:F,2,FALSE)</f>
        <v>19</v>
      </c>
      <c r="H982" s="1">
        <f ca="1">VLOOKUP(financials[[#This Row],[ID]],Prices!D:F,3,FALSE)</f>
        <v>20</v>
      </c>
      <c r="I982" s="1">
        <f ca="1">financials[[#This Row],[Units Sold]]*financials[[#This Row],[Sale Price]]</f>
        <v>10000</v>
      </c>
      <c r="J9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500</v>
      </c>
      <c r="K982" s="1">
        <f ca="1">financials[[#This Row],[Gross Sales]]-financials[[#This Row],[Discounts]]</f>
        <v>9500</v>
      </c>
      <c r="L982" s="1">
        <f ca="1">financials[[#This Row],[Units Sold]]*financials[[#This Row],[Manufacturing Price]]</f>
        <v>9500</v>
      </c>
      <c r="M982" s="1">
        <f ca="1">financials[[#This Row],[Sales]]-financials[[#This Row],[COGS]]</f>
        <v>0</v>
      </c>
      <c r="N982" s="7">
        <f t="shared" ca="1" si="31"/>
        <v>45733</v>
      </c>
      <c r="O982" s="8">
        <f ca="1">MONTH(financials[[#This Row],[Date]])</f>
        <v>3</v>
      </c>
      <c r="P982" s="6" t="str">
        <f ca="1">TEXT(financials[[#This Row],[Date]],"MMM")</f>
        <v>Mar</v>
      </c>
      <c r="Q982">
        <f ca="1">YEAR(financials[[#This Row],[Date]])</f>
        <v>2025</v>
      </c>
    </row>
    <row r="983" spans="1:17" x14ac:dyDescent="0.3">
      <c r="A983" t="s">
        <v>16</v>
      </c>
      <c r="B983" t="s">
        <v>20</v>
      </c>
      <c r="C983" s="6" t="s">
        <v>24</v>
      </c>
      <c r="D983" s="6" t="str">
        <f>CONCATENATE(financials[[#This Row],[Segment]],",",financials[[#This Row],[Country]],",",financials[[#This Row],[Product]])</f>
        <v>Government,Germany,Montana</v>
      </c>
      <c r="E983" s="6" t="s">
        <v>33</v>
      </c>
      <c r="F983">
        <f t="shared" ca="1" si="30"/>
        <v>801</v>
      </c>
      <c r="G983" s="1">
        <f ca="1">VLOOKUP(financials[[#This Row],[ID]],Prices!D:F,2,FALSE)</f>
        <v>20</v>
      </c>
      <c r="H983" s="1">
        <f ca="1">VLOOKUP(financials[[#This Row],[ID]],Prices!D:F,3,FALSE)</f>
        <v>27</v>
      </c>
      <c r="I983" s="1">
        <f ca="1">financials[[#This Row],[Units Sold]]*financials[[#This Row],[Sale Price]]</f>
        <v>21627</v>
      </c>
      <c r="J9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1081.3500000000001</v>
      </c>
      <c r="K983" s="1">
        <f ca="1">financials[[#This Row],[Gross Sales]]-financials[[#This Row],[Discounts]]</f>
        <v>20545.650000000001</v>
      </c>
      <c r="L983" s="1">
        <f ca="1">financials[[#This Row],[Units Sold]]*financials[[#This Row],[Manufacturing Price]]</f>
        <v>16020</v>
      </c>
      <c r="M983" s="1">
        <f ca="1">financials[[#This Row],[Sales]]-financials[[#This Row],[COGS]]</f>
        <v>4525.6500000000015</v>
      </c>
      <c r="N983" s="7">
        <f t="shared" ca="1" si="31"/>
        <v>45670</v>
      </c>
      <c r="O983" s="8">
        <f ca="1">MONTH(financials[[#This Row],[Date]])</f>
        <v>1</v>
      </c>
      <c r="P983" s="6" t="str">
        <f ca="1">TEXT(financials[[#This Row],[Date]],"MMM")</f>
        <v>Jan</v>
      </c>
      <c r="Q983">
        <f ca="1">YEAR(financials[[#This Row],[Date]])</f>
        <v>2025</v>
      </c>
    </row>
    <row r="984" spans="1:17" x14ac:dyDescent="0.3">
      <c r="A984" t="s">
        <v>16</v>
      </c>
      <c r="B984" t="s">
        <v>22</v>
      </c>
      <c r="C984" s="6" t="s">
        <v>24</v>
      </c>
      <c r="D984" s="6" t="str">
        <f>CONCATENATE(financials[[#This Row],[Segment]],",",financials[[#This Row],[Country]],",",financials[[#This Row],[Product]])</f>
        <v>Government,France,Montana</v>
      </c>
      <c r="E984" s="6" t="s">
        <v>33</v>
      </c>
      <c r="F984">
        <f t="shared" ca="1" si="30"/>
        <v>855</v>
      </c>
      <c r="G984" s="1">
        <f ca="1">VLOOKUP(financials[[#This Row],[ID]],Prices!D:F,2,FALSE)</f>
        <v>19</v>
      </c>
      <c r="H984" s="1">
        <f ca="1">VLOOKUP(financials[[#This Row],[ID]],Prices!D:F,3,FALSE)</f>
        <v>22</v>
      </c>
      <c r="I984" s="1">
        <f ca="1">financials[[#This Row],[Units Sold]]*financials[[#This Row],[Sale Price]]</f>
        <v>18810</v>
      </c>
      <c r="J9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940.5</v>
      </c>
      <c r="K984" s="1">
        <f ca="1">financials[[#This Row],[Gross Sales]]-financials[[#This Row],[Discounts]]</f>
        <v>17869.5</v>
      </c>
      <c r="L984" s="1">
        <f ca="1">financials[[#This Row],[Units Sold]]*financials[[#This Row],[Manufacturing Price]]</f>
        <v>16245</v>
      </c>
      <c r="M984" s="1">
        <f ca="1">financials[[#This Row],[Sales]]-financials[[#This Row],[COGS]]</f>
        <v>1624.5</v>
      </c>
      <c r="N984" s="7">
        <f t="shared" ca="1" si="31"/>
        <v>45430</v>
      </c>
      <c r="O984" s="8">
        <f ca="1">MONTH(financials[[#This Row],[Date]])</f>
        <v>5</v>
      </c>
      <c r="P984" s="6" t="str">
        <f ca="1">TEXT(financials[[#This Row],[Date]],"MMM")</f>
        <v>May</v>
      </c>
      <c r="Q984">
        <f ca="1">YEAR(financials[[#This Row],[Date]])</f>
        <v>2024</v>
      </c>
    </row>
    <row r="985" spans="1:17" x14ac:dyDescent="0.3">
      <c r="A985" t="s">
        <v>25</v>
      </c>
      <c r="B985" t="s">
        <v>36</v>
      </c>
      <c r="C985" s="6" t="s">
        <v>24</v>
      </c>
      <c r="D985" s="6" t="str">
        <f>CONCATENATE(financials[[#This Row],[Segment]],",",financials[[#This Row],[Country]],",",financials[[#This Row],[Product]])</f>
        <v>Channel Partners,USA,Montana</v>
      </c>
      <c r="E985" s="6" t="s">
        <v>33</v>
      </c>
      <c r="F985">
        <f t="shared" ca="1" si="30"/>
        <v>672</v>
      </c>
      <c r="G985" s="1">
        <f ca="1">VLOOKUP(financials[[#This Row],[ID]],Prices!D:F,2,FALSE)</f>
        <v>12</v>
      </c>
      <c r="H985" s="1">
        <f ca="1">VLOOKUP(financials[[#This Row],[ID]],Prices!D:F,3,FALSE)</f>
        <v>38</v>
      </c>
      <c r="I985" s="1">
        <f ca="1">financials[[#This Row],[Units Sold]]*financials[[#This Row],[Sale Price]]</f>
        <v>25536</v>
      </c>
      <c r="J9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1276.8000000000002</v>
      </c>
      <c r="K985" s="1">
        <f ca="1">financials[[#This Row],[Gross Sales]]-financials[[#This Row],[Discounts]]</f>
        <v>24259.200000000001</v>
      </c>
      <c r="L985" s="1">
        <f ca="1">financials[[#This Row],[Units Sold]]*financials[[#This Row],[Manufacturing Price]]</f>
        <v>8064</v>
      </c>
      <c r="M985" s="1">
        <f ca="1">financials[[#This Row],[Sales]]-financials[[#This Row],[COGS]]</f>
        <v>16195.2</v>
      </c>
      <c r="N985" s="7">
        <f t="shared" ca="1" si="31"/>
        <v>45134</v>
      </c>
      <c r="O985" s="8">
        <f ca="1">MONTH(financials[[#This Row],[Date]])</f>
        <v>7</v>
      </c>
      <c r="P985" s="6" t="str">
        <f ca="1">TEXT(financials[[#This Row],[Date]],"MMM")</f>
        <v>Jul</v>
      </c>
      <c r="Q985">
        <f ca="1">YEAR(financials[[#This Row],[Date]])</f>
        <v>2023</v>
      </c>
    </row>
    <row r="986" spans="1:17" x14ac:dyDescent="0.3">
      <c r="A986" t="s">
        <v>16</v>
      </c>
      <c r="B986" t="s">
        <v>22</v>
      </c>
      <c r="C986" s="6" t="s">
        <v>28</v>
      </c>
      <c r="D986" s="6" t="str">
        <f>CONCATENATE(financials[[#This Row],[Segment]],",",financials[[#This Row],[Country]],",",financials[[#This Row],[Product]])</f>
        <v>Government,France,Paseo</v>
      </c>
      <c r="E986" s="6" t="s">
        <v>33</v>
      </c>
      <c r="F986">
        <f t="shared" ca="1" si="30"/>
        <v>981</v>
      </c>
      <c r="G986" s="1">
        <f ca="1">VLOOKUP(financials[[#This Row],[ID]],Prices!D:F,2,FALSE)</f>
        <v>14</v>
      </c>
      <c r="H986" s="1">
        <f ca="1">VLOOKUP(financials[[#This Row],[ID]],Prices!D:F,3,FALSE)</f>
        <v>18</v>
      </c>
      <c r="I986" s="1">
        <f ca="1">financials[[#This Row],[Units Sold]]*financials[[#This Row],[Sale Price]]</f>
        <v>17658</v>
      </c>
      <c r="J9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882.90000000000009</v>
      </c>
      <c r="K986" s="1">
        <f ca="1">financials[[#This Row],[Gross Sales]]-financials[[#This Row],[Discounts]]</f>
        <v>16775.099999999999</v>
      </c>
      <c r="L986" s="1">
        <f ca="1">financials[[#This Row],[Units Sold]]*financials[[#This Row],[Manufacturing Price]]</f>
        <v>13734</v>
      </c>
      <c r="M986" s="1">
        <f ca="1">financials[[#This Row],[Sales]]-financials[[#This Row],[COGS]]</f>
        <v>3041.0999999999985</v>
      </c>
      <c r="N986" s="7">
        <f t="shared" ca="1" si="31"/>
        <v>45361</v>
      </c>
      <c r="O986" s="8">
        <f ca="1">MONTH(financials[[#This Row],[Date]])</f>
        <v>3</v>
      </c>
      <c r="P986" s="6" t="str">
        <f ca="1">TEXT(financials[[#This Row],[Date]],"MMM")</f>
        <v>Mar</v>
      </c>
      <c r="Q986">
        <f ca="1">YEAR(financials[[#This Row],[Date]])</f>
        <v>2024</v>
      </c>
    </row>
    <row r="987" spans="1:17" x14ac:dyDescent="0.3">
      <c r="A987" t="s">
        <v>25</v>
      </c>
      <c r="B987" t="s">
        <v>17</v>
      </c>
      <c r="C987" s="6" t="s">
        <v>28</v>
      </c>
      <c r="D987" s="6" t="str">
        <f>CONCATENATE(financials[[#This Row],[Segment]],",",financials[[#This Row],[Country]],",",financials[[#This Row],[Product]])</f>
        <v>Channel Partners,Canada,Paseo</v>
      </c>
      <c r="E987" s="6" t="s">
        <v>33</v>
      </c>
      <c r="F987">
        <f t="shared" ca="1" si="30"/>
        <v>410</v>
      </c>
      <c r="G987" s="1">
        <f ca="1">VLOOKUP(financials[[#This Row],[ID]],Prices!D:F,2,FALSE)</f>
        <v>13</v>
      </c>
      <c r="H987" s="1">
        <f ca="1">VLOOKUP(financials[[#This Row],[ID]],Prices!D:F,3,FALSE)</f>
        <v>26</v>
      </c>
      <c r="I987" s="1">
        <f ca="1">financials[[#This Row],[Units Sold]]*financials[[#This Row],[Sale Price]]</f>
        <v>10660</v>
      </c>
      <c r="J9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533</v>
      </c>
      <c r="K987" s="1">
        <f ca="1">financials[[#This Row],[Gross Sales]]-financials[[#This Row],[Discounts]]</f>
        <v>10127</v>
      </c>
      <c r="L987" s="1">
        <f ca="1">financials[[#This Row],[Units Sold]]*financials[[#This Row],[Manufacturing Price]]</f>
        <v>5330</v>
      </c>
      <c r="M987" s="1">
        <f ca="1">financials[[#This Row],[Sales]]-financials[[#This Row],[COGS]]</f>
        <v>4797</v>
      </c>
      <c r="N987" s="7">
        <f t="shared" ca="1" si="31"/>
        <v>45240</v>
      </c>
      <c r="O987" s="8">
        <f ca="1">MONTH(financials[[#This Row],[Date]])</f>
        <v>11</v>
      </c>
      <c r="P987" s="6" t="str">
        <f ca="1">TEXT(financials[[#This Row],[Date]],"MMM")</f>
        <v>Nov</v>
      </c>
      <c r="Q987">
        <f ca="1">YEAR(financials[[#This Row],[Date]])</f>
        <v>2023</v>
      </c>
    </row>
    <row r="988" spans="1:17" x14ac:dyDescent="0.3">
      <c r="A988" t="s">
        <v>16</v>
      </c>
      <c r="B988" t="s">
        <v>36</v>
      </c>
      <c r="C988" s="6" t="s">
        <v>28</v>
      </c>
      <c r="D988" s="6" t="str">
        <f>CONCATENATE(financials[[#This Row],[Segment]],",",financials[[#This Row],[Country]],",",financials[[#This Row],[Product]])</f>
        <v>Government,USA,Paseo</v>
      </c>
      <c r="E988" s="6" t="s">
        <v>33</v>
      </c>
      <c r="F988">
        <f t="shared" ca="1" si="30"/>
        <v>941</v>
      </c>
      <c r="G988" s="1">
        <f ca="1">VLOOKUP(financials[[#This Row],[ID]],Prices!D:F,2,FALSE)</f>
        <v>17</v>
      </c>
      <c r="H988" s="1">
        <f ca="1">VLOOKUP(financials[[#This Row],[ID]],Prices!D:F,3,FALSE)</f>
        <v>36</v>
      </c>
      <c r="I988" s="1">
        <f ca="1">financials[[#This Row],[Units Sold]]*financials[[#This Row],[Sale Price]]</f>
        <v>33876</v>
      </c>
      <c r="J9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1693.8000000000002</v>
      </c>
      <c r="K988" s="1">
        <f ca="1">financials[[#This Row],[Gross Sales]]-financials[[#This Row],[Discounts]]</f>
        <v>32182.2</v>
      </c>
      <c r="L988" s="1">
        <f ca="1">financials[[#This Row],[Units Sold]]*financials[[#This Row],[Manufacturing Price]]</f>
        <v>15997</v>
      </c>
      <c r="M988" s="1">
        <f ca="1">financials[[#This Row],[Sales]]-financials[[#This Row],[COGS]]</f>
        <v>16185.2</v>
      </c>
      <c r="N988" s="7">
        <f t="shared" ca="1" si="31"/>
        <v>45289</v>
      </c>
      <c r="O988" s="8">
        <f ca="1">MONTH(financials[[#This Row],[Date]])</f>
        <v>12</v>
      </c>
      <c r="P988" s="6" t="str">
        <f ca="1">TEXT(financials[[#This Row],[Date]],"MMM")</f>
        <v>Dec</v>
      </c>
      <c r="Q988">
        <f ca="1">YEAR(financials[[#This Row],[Date]])</f>
        <v>2023</v>
      </c>
    </row>
    <row r="989" spans="1:17" x14ac:dyDescent="0.3">
      <c r="A989" t="s">
        <v>26</v>
      </c>
      <c r="B989" t="s">
        <v>17</v>
      </c>
      <c r="C989" s="6" t="s">
        <v>29</v>
      </c>
      <c r="D989" s="6" t="str">
        <f>CONCATENATE(financials[[#This Row],[Segment]],",",financials[[#This Row],[Country]],",",financials[[#This Row],[Product]])</f>
        <v>Enterprise,Canada,Velo</v>
      </c>
      <c r="E989" s="6" t="s">
        <v>33</v>
      </c>
      <c r="F989">
        <f t="shared" ca="1" si="30"/>
        <v>594</v>
      </c>
      <c r="G989" s="1">
        <f ca="1">VLOOKUP(financials[[#This Row],[ID]],Prices!D:F,2,FALSE)</f>
        <v>11</v>
      </c>
      <c r="H989" s="1">
        <f ca="1">VLOOKUP(financials[[#This Row],[ID]],Prices!D:F,3,FALSE)</f>
        <v>34</v>
      </c>
      <c r="I989" s="1">
        <f ca="1">financials[[#This Row],[Units Sold]]*financials[[#This Row],[Sale Price]]</f>
        <v>20196</v>
      </c>
      <c r="J9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1009.8000000000001</v>
      </c>
      <c r="K989" s="1">
        <f ca="1">financials[[#This Row],[Gross Sales]]-financials[[#This Row],[Discounts]]</f>
        <v>19186.2</v>
      </c>
      <c r="L989" s="1">
        <f ca="1">financials[[#This Row],[Units Sold]]*financials[[#This Row],[Manufacturing Price]]</f>
        <v>6534</v>
      </c>
      <c r="M989" s="1">
        <f ca="1">financials[[#This Row],[Sales]]-financials[[#This Row],[COGS]]</f>
        <v>12652.2</v>
      </c>
      <c r="N989" s="7">
        <f t="shared" ca="1" si="31"/>
        <v>45596</v>
      </c>
      <c r="O989" s="8">
        <f ca="1">MONTH(financials[[#This Row],[Date]])</f>
        <v>10</v>
      </c>
      <c r="P989" s="6" t="str">
        <f ca="1">TEXT(financials[[#This Row],[Date]],"MMM")</f>
        <v>Oct</v>
      </c>
      <c r="Q989">
        <f ca="1">YEAR(financials[[#This Row],[Date]])</f>
        <v>2024</v>
      </c>
    </row>
    <row r="990" spans="1:17" x14ac:dyDescent="0.3">
      <c r="A990" t="s">
        <v>26</v>
      </c>
      <c r="B990" t="s">
        <v>36</v>
      </c>
      <c r="C990" s="6" t="s">
        <v>29</v>
      </c>
      <c r="D990" s="6" t="str">
        <f>CONCATENATE(financials[[#This Row],[Segment]],",",financials[[#This Row],[Country]],",",financials[[#This Row],[Product]])</f>
        <v>Enterprise,USA,Velo</v>
      </c>
      <c r="E990" s="6" t="s">
        <v>33</v>
      </c>
      <c r="F990">
        <f t="shared" ca="1" si="30"/>
        <v>85</v>
      </c>
      <c r="G990" s="1">
        <f ca="1">VLOOKUP(financials[[#This Row],[ID]],Prices!D:F,2,FALSE)</f>
        <v>20</v>
      </c>
      <c r="H990" s="1">
        <f ca="1">VLOOKUP(financials[[#This Row],[ID]],Prices!D:F,3,FALSE)</f>
        <v>24</v>
      </c>
      <c r="I990" s="1">
        <f ca="1">financials[[#This Row],[Units Sold]]*financials[[#This Row],[Sale Price]]</f>
        <v>2040</v>
      </c>
      <c r="J9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102</v>
      </c>
      <c r="K990" s="1">
        <f ca="1">financials[[#This Row],[Gross Sales]]-financials[[#This Row],[Discounts]]</f>
        <v>1938</v>
      </c>
      <c r="L990" s="1">
        <f ca="1">financials[[#This Row],[Units Sold]]*financials[[#This Row],[Manufacturing Price]]</f>
        <v>1700</v>
      </c>
      <c r="M990" s="1">
        <f ca="1">financials[[#This Row],[Sales]]-financials[[#This Row],[COGS]]</f>
        <v>238</v>
      </c>
      <c r="N990" s="7">
        <f t="shared" ca="1" si="31"/>
        <v>45101</v>
      </c>
      <c r="O990" s="8">
        <f ca="1">MONTH(financials[[#This Row],[Date]])</f>
        <v>6</v>
      </c>
      <c r="P990" s="6" t="str">
        <f ca="1">TEXT(financials[[#This Row],[Date]],"MMM")</f>
        <v>Jun</v>
      </c>
      <c r="Q990">
        <f ca="1">YEAR(financials[[#This Row],[Date]])</f>
        <v>2023</v>
      </c>
    </row>
    <row r="991" spans="1:17" x14ac:dyDescent="0.3">
      <c r="A991" t="s">
        <v>21</v>
      </c>
      <c r="B991" t="s">
        <v>20</v>
      </c>
      <c r="C991" s="6" t="s">
        <v>29</v>
      </c>
      <c r="D991" s="6" t="str">
        <f>CONCATENATE(financials[[#This Row],[Segment]],",",financials[[#This Row],[Country]],",",financials[[#This Row],[Product]])</f>
        <v>Midmarket,Germany,Velo</v>
      </c>
      <c r="E991" s="6" t="s">
        <v>33</v>
      </c>
      <c r="F991">
        <f t="shared" ca="1" si="30"/>
        <v>994</v>
      </c>
      <c r="G991" s="1">
        <f ca="1">VLOOKUP(financials[[#This Row],[ID]],Prices!D:F,2,FALSE)</f>
        <v>10</v>
      </c>
      <c r="H991" s="1">
        <f ca="1">VLOOKUP(financials[[#This Row],[ID]],Prices!D:F,3,FALSE)</f>
        <v>25</v>
      </c>
      <c r="I991" s="1">
        <f ca="1">financials[[#This Row],[Units Sold]]*financials[[#This Row],[Sale Price]]</f>
        <v>24850</v>
      </c>
      <c r="J9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1242.5</v>
      </c>
      <c r="K991" s="1">
        <f ca="1">financials[[#This Row],[Gross Sales]]-financials[[#This Row],[Discounts]]</f>
        <v>23607.5</v>
      </c>
      <c r="L991" s="1">
        <f ca="1">financials[[#This Row],[Units Sold]]*financials[[#This Row],[Manufacturing Price]]</f>
        <v>9940</v>
      </c>
      <c r="M991" s="1">
        <f ca="1">financials[[#This Row],[Sales]]-financials[[#This Row],[COGS]]</f>
        <v>13667.5</v>
      </c>
      <c r="N991" s="7">
        <f t="shared" ca="1" si="31"/>
        <v>45620</v>
      </c>
      <c r="O991" s="8">
        <f ca="1">MONTH(financials[[#This Row],[Date]])</f>
        <v>11</v>
      </c>
      <c r="P991" s="6" t="str">
        <f ca="1">TEXT(financials[[#This Row],[Date]],"MMM")</f>
        <v>Nov</v>
      </c>
      <c r="Q991">
        <f ca="1">YEAR(financials[[#This Row],[Date]])</f>
        <v>2024</v>
      </c>
    </row>
    <row r="992" spans="1:17" x14ac:dyDescent="0.3">
      <c r="A992" t="s">
        <v>16</v>
      </c>
      <c r="B992" t="s">
        <v>22</v>
      </c>
      <c r="C992" s="6" t="s">
        <v>29</v>
      </c>
      <c r="D992" s="6" t="str">
        <f>CONCATENATE(financials[[#This Row],[Segment]],",",financials[[#This Row],[Country]],",",financials[[#This Row],[Product]])</f>
        <v>Government,France,Velo</v>
      </c>
      <c r="E992" s="6" t="s">
        <v>33</v>
      </c>
      <c r="F992">
        <f t="shared" ca="1" si="30"/>
        <v>557</v>
      </c>
      <c r="G992" s="1">
        <f ca="1">VLOOKUP(financials[[#This Row],[ID]],Prices!D:F,2,FALSE)</f>
        <v>20</v>
      </c>
      <c r="H992" s="1">
        <f ca="1">VLOOKUP(financials[[#This Row],[ID]],Prices!D:F,3,FALSE)</f>
        <v>36</v>
      </c>
      <c r="I992" s="1">
        <f ca="1">financials[[#This Row],[Units Sold]]*financials[[#This Row],[Sale Price]]</f>
        <v>20052</v>
      </c>
      <c r="J9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1002.6</v>
      </c>
      <c r="K992" s="1">
        <f ca="1">financials[[#This Row],[Gross Sales]]-financials[[#This Row],[Discounts]]</f>
        <v>19049.400000000001</v>
      </c>
      <c r="L992" s="1">
        <f ca="1">financials[[#This Row],[Units Sold]]*financials[[#This Row],[Manufacturing Price]]</f>
        <v>11140</v>
      </c>
      <c r="M992" s="1">
        <f ca="1">financials[[#This Row],[Sales]]-financials[[#This Row],[COGS]]</f>
        <v>7909.4000000000015</v>
      </c>
      <c r="N992" s="7">
        <f t="shared" ca="1" si="31"/>
        <v>45556</v>
      </c>
      <c r="O992" s="8">
        <f ca="1">MONTH(financials[[#This Row],[Date]])</f>
        <v>9</v>
      </c>
      <c r="P992" s="6" t="str">
        <f ca="1">TEXT(financials[[#This Row],[Date]],"MMM")</f>
        <v>Sep</v>
      </c>
      <c r="Q992">
        <f ca="1">YEAR(financials[[#This Row],[Date]])</f>
        <v>2024</v>
      </c>
    </row>
    <row r="993" spans="1:17" x14ac:dyDescent="0.3">
      <c r="A993" t="s">
        <v>16</v>
      </c>
      <c r="B993" t="s">
        <v>23</v>
      </c>
      <c r="C993" s="6" t="s">
        <v>29</v>
      </c>
      <c r="D993" s="6" t="str">
        <f>CONCATENATE(financials[[#This Row],[Segment]],",",financials[[#This Row],[Country]],",",financials[[#This Row],[Product]])</f>
        <v>Government,Mexico,Velo</v>
      </c>
      <c r="E993" s="6" t="s">
        <v>33</v>
      </c>
      <c r="F993">
        <f t="shared" ca="1" si="30"/>
        <v>641</v>
      </c>
      <c r="G993" s="1">
        <f ca="1">VLOOKUP(financials[[#This Row],[ID]],Prices!D:F,2,FALSE)</f>
        <v>18</v>
      </c>
      <c r="H993" s="1">
        <f ca="1">VLOOKUP(financials[[#This Row],[ID]],Prices!D:F,3,FALSE)</f>
        <v>36</v>
      </c>
      <c r="I993" s="1">
        <f ca="1">financials[[#This Row],[Units Sold]]*financials[[#This Row],[Sale Price]]</f>
        <v>23076</v>
      </c>
      <c r="J9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1153.8</v>
      </c>
      <c r="K993" s="1">
        <f ca="1">financials[[#This Row],[Gross Sales]]-financials[[#This Row],[Discounts]]</f>
        <v>21922.2</v>
      </c>
      <c r="L993" s="1">
        <f ca="1">financials[[#This Row],[Units Sold]]*financials[[#This Row],[Manufacturing Price]]</f>
        <v>11538</v>
      </c>
      <c r="M993" s="1">
        <f ca="1">financials[[#This Row],[Sales]]-financials[[#This Row],[COGS]]</f>
        <v>10384.200000000001</v>
      </c>
      <c r="N993" s="7">
        <f t="shared" ca="1" si="31"/>
        <v>45064</v>
      </c>
      <c r="O993" s="8">
        <f ca="1">MONTH(financials[[#This Row],[Date]])</f>
        <v>5</v>
      </c>
      <c r="P993" s="6" t="str">
        <f ca="1">TEXT(financials[[#This Row],[Date]],"MMM")</f>
        <v>May</v>
      </c>
      <c r="Q993">
        <f ca="1">YEAR(financials[[#This Row],[Date]])</f>
        <v>2023</v>
      </c>
    </row>
    <row r="994" spans="1:17" x14ac:dyDescent="0.3">
      <c r="A994" t="s">
        <v>27</v>
      </c>
      <c r="B994" t="s">
        <v>22</v>
      </c>
      <c r="C994" s="6" t="s">
        <v>29</v>
      </c>
      <c r="D994" s="6" t="str">
        <f>CONCATENATE(financials[[#This Row],[Segment]],",",financials[[#This Row],[Country]],",",financials[[#This Row],[Product]])</f>
        <v>Small Business,France,Velo</v>
      </c>
      <c r="E994" s="6" t="s">
        <v>33</v>
      </c>
      <c r="F994">
        <f t="shared" ca="1" si="30"/>
        <v>905</v>
      </c>
      <c r="G994" s="1">
        <f ca="1">VLOOKUP(financials[[#This Row],[ID]],Prices!D:F,2,FALSE)</f>
        <v>17</v>
      </c>
      <c r="H994" s="1">
        <f ca="1">VLOOKUP(financials[[#This Row],[ID]],Prices!D:F,3,FALSE)</f>
        <v>22</v>
      </c>
      <c r="I994" s="1">
        <f ca="1">financials[[#This Row],[Units Sold]]*financials[[#This Row],[Sale Price]]</f>
        <v>19910</v>
      </c>
      <c r="J9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995.5</v>
      </c>
      <c r="K994" s="1">
        <f ca="1">financials[[#This Row],[Gross Sales]]-financials[[#This Row],[Discounts]]</f>
        <v>18914.5</v>
      </c>
      <c r="L994" s="1">
        <f ca="1">financials[[#This Row],[Units Sold]]*financials[[#This Row],[Manufacturing Price]]</f>
        <v>15385</v>
      </c>
      <c r="M994" s="1">
        <f ca="1">financials[[#This Row],[Sales]]-financials[[#This Row],[COGS]]</f>
        <v>3529.5</v>
      </c>
      <c r="N994" s="7">
        <f t="shared" ca="1" si="31"/>
        <v>45400</v>
      </c>
      <c r="O994" s="8">
        <f ca="1">MONTH(financials[[#This Row],[Date]])</f>
        <v>4</v>
      </c>
      <c r="P994" s="6" t="str">
        <f ca="1">TEXT(financials[[#This Row],[Date]],"MMM")</f>
        <v>Apr</v>
      </c>
      <c r="Q994">
        <f ca="1">YEAR(financials[[#This Row],[Date]])</f>
        <v>2024</v>
      </c>
    </row>
    <row r="995" spans="1:17" x14ac:dyDescent="0.3">
      <c r="A995" t="s">
        <v>16</v>
      </c>
      <c r="B995" t="s">
        <v>22</v>
      </c>
      <c r="C995" s="6" t="s">
        <v>29</v>
      </c>
      <c r="D995" s="6" t="str">
        <f>CONCATENATE(financials[[#This Row],[Segment]],",",financials[[#This Row],[Country]],",",financials[[#This Row],[Product]])</f>
        <v>Government,France,Velo</v>
      </c>
      <c r="E995" s="6" t="s">
        <v>33</v>
      </c>
      <c r="F995">
        <f t="shared" ca="1" si="30"/>
        <v>661</v>
      </c>
      <c r="G995" s="1">
        <f ca="1">VLOOKUP(financials[[#This Row],[ID]],Prices!D:F,2,FALSE)</f>
        <v>20</v>
      </c>
      <c r="H995" s="1">
        <f ca="1">VLOOKUP(financials[[#This Row],[ID]],Prices!D:F,3,FALSE)</f>
        <v>36</v>
      </c>
      <c r="I995" s="1">
        <f ca="1">financials[[#This Row],[Units Sold]]*financials[[#This Row],[Sale Price]]</f>
        <v>23796</v>
      </c>
      <c r="J9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1189.8</v>
      </c>
      <c r="K995" s="1">
        <f ca="1">financials[[#This Row],[Gross Sales]]-financials[[#This Row],[Discounts]]</f>
        <v>22606.2</v>
      </c>
      <c r="L995" s="1">
        <f ca="1">financials[[#This Row],[Units Sold]]*financials[[#This Row],[Manufacturing Price]]</f>
        <v>13220</v>
      </c>
      <c r="M995" s="1">
        <f ca="1">financials[[#This Row],[Sales]]-financials[[#This Row],[COGS]]</f>
        <v>9386.2000000000007</v>
      </c>
      <c r="N995" s="7">
        <f t="shared" ca="1" si="31"/>
        <v>45625</v>
      </c>
      <c r="O995" s="8">
        <f ca="1">MONTH(financials[[#This Row],[Date]])</f>
        <v>11</v>
      </c>
      <c r="P995" s="6" t="str">
        <f ca="1">TEXT(financials[[#This Row],[Date]],"MMM")</f>
        <v>Nov</v>
      </c>
      <c r="Q995">
        <f ca="1">YEAR(financials[[#This Row],[Date]])</f>
        <v>2024</v>
      </c>
    </row>
    <row r="996" spans="1:17" x14ac:dyDescent="0.3">
      <c r="A996" t="s">
        <v>21</v>
      </c>
      <c r="B996" t="s">
        <v>17</v>
      </c>
      <c r="C996" s="6" t="s">
        <v>30</v>
      </c>
      <c r="D996" s="6" t="str">
        <f>CONCATENATE(financials[[#This Row],[Segment]],",",financials[[#This Row],[Country]],",",financials[[#This Row],[Product]])</f>
        <v>Midmarket,Canada,VTT</v>
      </c>
      <c r="E996" s="6" t="s">
        <v>33</v>
      </c>
      <c r="F996">
        <f t="shared" ca="1" si="30"/>
        <v>472</v>
      </c>
      <c r="G996" s="1">
        <f ca="1">VLOOKUP(financials[[#This Row],[ID]],Prices!D:F,2,FALSE)</f>
        <v>13</v>
      </c>
      <c r="H996" s="1">
        <f ca="1">VLOOKUP(financials[[#This Row],[ID]],Prices!D:F,3,FALSE)</f>
        <v>36</v>
      </c>
      <c r="I996" s="1">
        <f ca="1">financials[[#This Row],[Units Sold]]*financials[[#This Row],[Sale Price]]</f>
        <v>16992</v>
      </c>
      <c r="J9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849.6</v>
      </c>
      <c r="K996" s="1">
        <f ca="1">financials[[#This Row],[Gross Sales]]-financials[[#This Row],[Discounts]]</f>
        <v>16142.4</v>
      </c>
      <c r="L996" s="1">
        <f ca="1">financials[[#This Row],[Units Sold]]*financials[[#This Row],[Manufacturing Price]]</f>
        <v>6136</v>
      </c>
      <c r="M996" s="1">
        <f ca="1">financials[[#This Row],[Sales]]-financials[[#This Row],[COGS]]</f>
        <v>10006.4</v>
      </c>
      <c r="N996" s="7">
        <f t="shared" ca="1" si="31"/>
        <v>45618</v>
      </c>
      <c r="O996" s="8">
        <f ca="1">MONTH(financials[[#This Row],[Date]])</f>
        <v>11</v>
      </c>
      <c r="P996" s="6" t="str">
        <f ca="1">TEXT(financials[[#This Row],[Date]],"MMM")</f>
        <v>Nov</v>
      </c>
      <c r="Q996">
        <f ca="1">YEAR(financials[[#This Row],[Date]])</f>
        <v>2024</v>
      </c>
    </row>
    <row r="997" spans="1:17" x14ac:dyDescent="0.3">
      <c r="A997" t="s">
        <v>16</v>
      </c>
      <c r="B997" t="s">
        <v>23</v>
      </c>
      <c r="C997" s="6" t="s">
        <v>30</v>
      </c>
      <c r="D997" s="6" t="str">
        <f>CONCATENATE(financials[[#This Row],[Segment]],",",financials[[#This Row],[Country]],",",financials[[#This Row],[Product]])</f>
        <v>Government,Mexico,VTT</v>
      </c>
      <c r="E997" s="6" t="s">
        <v>33</v>
      </c>
      <c r="F997">
        <f t="shared" ca="1" si="30"/>
        <v>697</v>
      </c>
      <c r="G997" s="1">
        <f ca="1">VLOOKUP(financials[[#This Row],[ID]],Prices!D:F,2,FALSE)</f>
        <v>18</v>
      </c>
      <c r="H997" s="1">
        <f ca="1">VLOOKUP(financials[[#This Row],[ID]],Prices!D:F,3,FALSE)</f>
        <v>20</v>
      </c>
      <c r="I997" s="1">
        <f ca="1">financials[[#This Row],[Units Sold]]*financials[[#This Row],[Sale Price]]</f>
        <v>13940</v>
      </c>
      <c r="J9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697</v>
      </c>
      <c r="K997" s="1">
        <f ca="1">financials[[#This Row],[Gross Sales]]-financials[[#This Row],[Discounts]]</f>
        <v>13243</v>
      </c>
      <c r="L997" s="1">
        <f ca="1">financials[[#This Row],[Units Sold]]*financials[[#This Row],[Manufacturing Price]]</f>
        <v>12546</v>
      </c>
      <c r="M997" s="1">
        <f ca="1">financials[[#This Row],[Sales]]-financials[[#This Row],[COGS]]</f>
        <v>697</v>
      </c>
      <c r="N997" s="7">
        <f t="shared" ca="1" si="31"/>
        <v>45198</v>
      </c>
      <c r="O997" s="8">
        <f ca="1">MONTH(financials[[#This Row],[Date]])</f>
        <v>9</v>
      </c>
      <c r="P997" s="6" t="str">
        <f ca="1">TEXT(financials[[#This Row],[Date]],"MMM")</f>
        <v>Sep</v>
      </c>
      <c r="Q997">
        <f ca="1">YEAR(financials[[#This Row],[Date]])</f>
        <v>2023</v>
      </c>
    </row>
    <row r="998" spans="1:17" x14ac:dyDescent="0.3">
      <c r="A998" t="s">
        <v>27</v>
      </c>
      <c r="B998" t="s">
        <v>22</v>
      </c>
      <c r="C998" s="6" t="s">
        <v>30</v>
      </c>
      <c r="D998" s="6" t="str">
        <f>CONCATENATE(financials[[#This Row],[Segment]],",",financials[[#This Row],[Country]],",",financials[[#This Row],[Product]])</f>
        <v>Small Business,France,VTT</v>
      </c>
      <c r="E998" s="6" t="s">
        <v>33</v>
      </c>
      <c r="F998">
        <f t="shared" ca="1" si="30"/>
        <v>114</v>
      </c>
      <c r="G998" s="1">
        <f ca="1">VLOOKUP(financials[[#This Row],[ID]],Prices!D:F,2,FALSE)</f>
        <v>20</v>
      </c>
      <c r="H998" s="1">
        <f ca="1">VLOOKUP(financials[[#This Row],[ID]],Prices!D:F,3,FALSE)</f>
        <v>24</v>
      </c>
      <c r="I998" s="1">
        <f ca="1">financials[[#This Row],[Units Sold]]*financials[[#This Row],[Sale Price]]</f>
        <v>2736</v>
      </c>
      <c r="J9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136.80000000000001</v>
      </c>
      <c r="K998" s="1">
        <f ca="1">financials[[#This Row],[Gross Sales]]-financials[[#This Row],[Discounts]]</f>
        <v>2599.1999999999998</v>
      </c>
      <c r="L998" s="1">
        <f ca="1">financials[[#This Row],[Units Sold]]*financials[[#This Row],[Manufacturing Price]]</f>
        <v>2280</v>
      </c>
      <c r="M998" s="1">
        <f ca="1">financials[[#This Row],[Sales]]-financials[[#This Row],[COGS]]</f>
        <v>319.19999999999982</v>
      </c>
      <c r="N998" s="7">
        <f t="shared" ca="1" si="31"/>
        <v>45272</v>
      </c>
      <c r="O998" s="8">
        <f ca="1">MONTH(financials[[#This Row],[Date]])</f>
        <v>12</v>
      </c>
      <c r="P998" s="6" t="str">
        <f ca="1">TEXT(financials[[#This Row],[Date]],"MMM")</f>
        <v>Dec</v>
      </c>
      <c r="Q998">
        <f ca="1">YEAR(financials[[#This Row],[Date]])</f>
        <v>2023</v>
      </c>
    </row>
    <row r="999" spans="1:17" x14ac:dyDescent="0.3">
      <c r="A999" t="s">
        <v>16</v>
      </c>
      <c r="B999" t="s">
        <v>23</v>
      </c>
      <c r="C999" s="6" t="s">
        <v>30</v>
      </c>
      <c r="D999" s="6" t="str">
        <f>CONCATENATE(financials[[#This Row],[Segment]],",",financials[[#This Row],[Country]],",",financials[[#This Row],[Product]])</f>
        <v>Government,Mexico,VTT</v>
      </c>
      <c r="E999" s="6" t="s">
        <v>33</v>
      </c>
      <c r="F999">
        <f t="shared" ca="1" si="30"/>
        <v>732</v>
      </c>
      <c r="G999" s="1">
        <f ca="1">VLOOKUP(financials[[#This Row],[ID]],Prices!D:F,2,FALSE)</f>
        <v>18</v>
      </c>
      <c r="H999" s="1">
        <f ca="1">VLOOKUP(financials[[#This Row],[ID]],Prices!D:F,3,FALSE)</f>
        <v>20</v>
      </c>
      <c r="I999" s="1">
        <f ca="1">financials[[#This Row],[Units Sold]]*financials[[#This Row],[Sale Price]]</f>
        <v>14640</v>
      </c>
      <c r="J9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732</v>
      </c>
      <c r="K999" s="1">
        <f ca="1">financials[[#This Row],[Gross Sales]]-financials[[#This Row],[Discounts]]</f>
        <v>13908</v>
      </c>
      <c r="L999" s="1">
        <f ca="1">financials[[#This Row],[Units Sold]]*financials[[#This Row],[Manufacturing Price]]</f>
        <v>13176</v>
      </c>
      <c r="M999" s="1">
        <f ca="1">financials[[#This Row],[Sales]]-financials[[#This Row],[COGS]]</f>
        <v>732</v>
      </c>
      <c r="N999" s="7">
        <f t="shared" ca="1" si="31"/>
        <v>45487</v>
      </c>
      <c r="O999" s="8">
        <f ca="1">MONTH(financials[[#This Row],[Date]])</f>
        <v>7</v>
      </c>
      <c r="P999" s="6" t="str">
        <f ca="1">TEXT(financials[[#This Row],[Date]],"MMM")</f>
        <v>Jul</v>
      </c>
      <c r="Q999">
        <f ca="1">YEAR(financials[[#This Row],[Date]])</f>
        <v>2024</v>
      </c>
    </row>
    <row r="1000" spans="1:17" x14ac:dyDescent="0.3">
      <c r="A1000" t="s">
        <v>27</v>
      </c>
      <c r="B1000" t="s">
        <v>17</v>
      </c>
      <c r="C1000" s="6" t="s">
        <v>30</v>
      </c>
      <c r="D1000" s="6" t="str">
        <f>CONCATENATE(financials[[#This Row],[Segment]],",",financials[[#This Row],[Country]],",",financials[[#This Row],[Product]])</f>
        <v>Small Business,Canada,VTT</v>
      </c>
      <c r="E1000" s="6" t="s">
        <v>33</v>
      </c>
      <c r="F1000">
        <f t="shared" ca="1" si="30"/>
        <v>169</v>
      </c>
      <c r="G1000" s="1">
        <f ca="1">VLOOKUP(financials[[#This Row],[ID]],Prices!D:F,2,FALSE)</f>
        <v>10</v>
      </c>
      <c r="H1000" s="1">
        <f ca="1">VLOOKUP(financials[[#This Row],[ID]],Prices!D:F,3,FALSE)</f>
        <v>21</v>
      </c>
      <c r="I1000" s="1">
        <f ca="1">financials[[#This Row],[Units Sold]]*financials[[#This Row],[Sale Price]]</f>
        <v>3549</v>
      </c>
      <c r="J10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177.45000000000002</v>
      </c>
      <c r="K1000" s="1">
        <f ca="1">financials[[#This Row],[Gross Sales]]-financials[[#This Row],[Discounts]]</f>
        <v>3371.55</v>
      </c>
      <c r="L1000" s="1">
        <f ca="1">financials[[#This Row],[Units Sold]]*financials[[#This Row],[Manufacturing Price]]</f>
        <v>1690</v>
      </c>
      <c r="M1000" s="1">
        <f ca="1">financials[[#This Row],[Sales]]-financials[[#This Row],[COGS]]</f>
        <v>1681.5500000000002</v>
      </c>
      <c r="N1000" s="7">
        <f t="shared" ca="1" si="31"/>
        <v>45701</v>
      </c>
      <c r="O1000" s="8">
        <f ca="1">MONTH(financials[[#This Row],[Date]])</f>
        <v>2</v>
      </c>
      <c r="P1000" s="6" t="str">
        <f ca="1">TEXT(financials[[#This Row],[Date]],"MMM")</f>
        <v>Feb</v>
      </c>
      <c r="Q1000">
        <f ca="1">YEAR(financials[[#This Row],[Date]])</f>
        <v>2025</v>
      </c>
    </row>
    <row r="1001" spans="1:17" x14ac:dyDescent="0.3">
      <c r="A1001" t="s">
        <v>26</v>
      </c>
      <c r="B1001" t="s">
        <v>22</v>
      </c>
      <c r="C1001" s="6" t="s">
        <v>31</v>
      </c>
      <c r="D1001" s="6" t="str">
        <f>CONCATENATE(financials[[#This Row],[Segment]],",",financials[[#This Row],[Country]],",",financials[[#This Row],[Product]])</f>
        <v>Enterprise,France,Amarilla</v>
      </c>
      <c r="E1001" s="6" t="s">
        <v>33</v>
      </c>
      <c r="F1001">
        <f t="shared" ca="1" si="30"/>
        <v>798</v>
      </c>
      <c r="G1001" s="1">
        <f ca="1">VLOOKUP(financials[[#This Row],[ID]],Prices!D:F,2,FALSE)</f>
        <v>12</v>
      </c>
      <c r="H1001" s="1">
        <f ca="1">VLOOKUP(financials[[#This Row],[ID]],Prices!D:F,3,FALSE)</f>
        <v>34</v>
      </c>
      <c r="I1001" s="1">
        <f ca="1">financials[[#This Row],[Units Sold]]*financials[[#This Row],[Sale Price]]</f>
        <v>27132</v>
      </c>
      <c r="J10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1356.6000000000001</v>
      </c>
      <c r="K1001" s="1">
        <f ca="1">financials[[#This Row],[Gross Sales]]-financials[[#This Row],[Discounts]]</f>
        <v>25775.4</v>
      </c>
      <c r="L1001" s="1">
        <f ca="1">financials[[#This Row],[Units Sold]]*financials[[#This Row],[Manufacturing Price]]</f>
        <v>9576</v>
      </c>
      <c r="M1001" s="1">
        <f ca="1">financials[[#This Row],[Sales]]-financials[[#This Row],[COGS]]</f>
        <v>16199.400000000001</v>
      </c>
      <c r="N1001" s="7">
        <f t="shared" ca="1" si="31"/>
        <v>45725</v>
      </c>
      <c r="O1001" s="8">
        <f ca="1">MONTH(financials[[#This Row],[Date]])</f>
        <v>3</v>
      </c>
      <c r="P1001" s="6" t="str">
        <f ca="1">TEXT(financials[[#This Row],[Date]],"MMM")</f>
        <v>Mar</v>
      </c>
      <c r="Q1001">
        <f ca="1">YEAR(financials[[#This Row],[Date]])</f>
        <v>2025</v>
      </c>
    </row>
    <row r="1002" spans="1:17" x14ac:dyDescent="0.3">
      <c r="A1002" t="s">
        <v>16</v>
      </c>
      <c r="B1002" t="s">
        <v>23</v>
      </c>
      <c r="C1002" s="6" t="s">
        <v>31</v>
      </c>
      <c r="D1002" s="6" t="str">
        <f>CONCATENATE(financials[[#This Row],[Segment]],",",financials[[#This Row],[Country]],",",financials[[#This Row],[Product]])</f>
        <v>Government,Mexico,Amarilla</v>
      </c>
      <c r="E1002" s="6" t="s">
        <v>33</v>
      </c>
      <c r="F1002">
        <f t="shared" ca="1" si="30"/>
        <v>800</v>
      </c>
      <c r="G1002" s="1">
        <f ca="1">VLOOKUP(financials[[#This Row],[ID]],Prices!D:F,2,FALSE)</f>
        <v>15</v>
      </c>
      <c r="H1002" s="1">
        <f ca="1">VLOOKUP(financials[[#This Row],[ID]],Prices!D:F,3,FALSE)</f>
        <v>32</v>
      </c>
      <c r="I1002" s="1">
        <f ca="1">financials[[#This Row],[Units Sold]]*financials[[#This Row],[Sale Price]]</f>
        <v>25600</v>
      </c>
      <c r="J10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1280</v>
      </c>
      <c r="K1002" s="1">
        <f ca="1">financials[[#This Row],[Gross Sales]]-financials[[#This Row],[Discounts]]</f>
        <v>24320</v>
      </c>
      <c r="L1002" s="1">
        <f ca="1">financials[[#This Row],[Units Sold]]*financials[[#This Row],[Manufacturing Price]]</f>
        <v>12000</v>
      </c>
      <c r="M1002" s="1">
        <f ca="1">financials[[#This Row],[Sales]]-financials[[#This Row],[COGS]]</f>
        <v>12320</v>
      </c>
      <c r="N1002" s="7">
        <f t="shared" ca="1" si="31"/>
        <v>45669</v>
      </c>
      <c r="O1002" s="8">
        <f ca="1">MONTH(financials[[#This Row],[Date]])</f>
        <v>1</v>
      </c>
      <c r="P1002" s="6" t="str">
        <f ca="1">TEXT(financials[[#This Row],[Date]],"MMM")</f>
        <v>Jan</v>
      </c>
      <c r="Q1002">
        <f ca="1">YEAR(financials[[#This Row],[Date]])</f>
        <v>2025</v>
      </c>
    </row>
    <row r="1003" spans="1:17" x14ac:dyDescent="0.3">
      <c r="A1003" t="s">
        <v>16</v>
      </c>
      <c r="B1003" t="s">
        <v>36</v>
      </c>
      <c r="C1003" s="6" t="s">
        <v>31</v>
      </c>
      <c r="D1003" s="6" t="str">
        <f>CONCATENATE(financials[[#This Row],[Segment]],",",financials[[#This Row],[Country]],",",financials[[#This Row],[Product]])</f>
        <v>Government,USA,Amarilla</v>
      </c>
      <c r="E1003" s="6" t="s">
        <v>33</v>
      </c>
      <c r="F1003">
        <f t="shared" ca="1" si="30"/>
        <v>151</v>
      </c>
      <c r="G1003" s="1">
        <f ca="1">VLOOKUP(financials[[#This Row],[ID]],Prices!D:F,2,FALSE)</f>
        <v>20</v>
      </c>
      <c r="H1003" s="1">
        <f ca="1">VLOOKUP(financials[[#This Row],[ID]],Prices!D:F,3,FALSE)</f>
        <v>37</v>
      </c>
      <c r="I1003" s="1">
        <f ca="1">financials[[#This Row],[Units Sold]]*financials[[#This Row],[Sale Price]]</f>
        <v>5587</v>
      </c>
      <c r="J10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279.35000000000002</v>
      </c>
      <c r="K1003" s="1">
        <f ca="1">financials[[#This Row],[Gross Sales]]-financials[[#This Row],[Discounts]]</f>
        <v>5307.65</v>
      </c>
      <c r="L1003" s="1">
        <f ca="1">financials[[#This Row],[Units Sold]]*financials[[#This Row],[Manufacturing Price]]</f>
        <v>3020</v>
      </c>
      <c r="M1003" s="1">
        <f ca="1">financials[[#This Row],[Sales]]-financials[[#This Row],[COGS]]</f>
        <v>2287.6499999999996</v>
      </c>
      <c r="N1003" s="7">
        <f t="shared" ca="1" si="31"/>
        <v>45437</v>
      </c>
      <c r="O1003" s="8">
        <f ca="1">MONTH(financials[[#This Row],[Date]])</f>
        <v>5</v>
      </c>
      <c r="P1003" s="6" t="str">
        <f ca="1">TEXT(financials[[#This Row],[Date]],"MMM")</f>
        <v>May</v>
      </c>
      <c r="Q1003">
        <f ca="1">YEAR(financials[[#This Row],[Date]])</f>
        <v>2024</v>
      </c>
    </row>
    <row r="1004" spans="1:17" x14ac:dyDescent="0.3">
      <c r="A1004" t="s">
        <v>16</v>
      </c>
      <c r="B1004" t="s">
        <v>22</v>
      </c>
      <c r="C1004" s="6" t="s">
        <v>31</v>
      </c>
      <c r="D1004" s="6" t="str">
        <f>CONCATENATE(financials[[#This Row],[Segment]],",",financials[[#This Row],[Country]],",",financials[[#This Row],[Product]])</f>
        <v>Government,France,Amarilla</v>
      </c>
      <c r="E1004" s="6" t="s">
        <v>33</v>
      </c>
      <c r="F1004">
        <f t="shared" ca="1" si="30"/>
        <v>161</v>
      </c>
      <c r="G1004" s="1">
        <f ca="1">VLOOKUP(financials[[#This Row],[ID]],Prices!D:F,2,FALSE)</f>
        <v>10</v>
      </c>
      <c r="H1004" s="1">
        <f ca="1">VLOOKUP(financials[[#This Row],[ID]],Prices!D:F,3,FALSE)</f>
        <v>25</v>
      </c>
      <c r="I1004" s="1">
        <f ca="1">financials[[#This Row],[Units Sold]]*financials[[#This Row],[Sale Price]]</f>
        <v>4025</v>
      </c>
      <c r="J10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201.25</v>
      </c>
      <c r="K1004" s="1">
        <f ca="1">financials[[#This Row],[Gross Sales]]-financials[[#This Row],[Discounts]]</f>
        <v>3823.75</v>
      </c>
      <c r="L1004" s="1">
        <f ca="1">financials[[#This Row],[Units Sold]]*financials[[#This Row],[Manufacturing Price]]</f>
        <v>1610</v>
      </c>
      <c r="M1004" s="1">
        <f ca="1">financials[[#This Row],[Sales]]-financials[[#This Row],[COGS]]</f>
        <v>2213.75</v>
      </c>
      <c r="N1004" s="7">
        <f t="shared" ca="1" si="31"/>
        <v>45577</v>
      </c>
      <c r="O1004" s="8">
        <f ca="1">MONTH(financials[[#This Row],[Date]])</f>
        <v>10</v>
      </c>
      <c r="P1004" s="6" t="str">
        <f ca="1">TEXT(financials[[#This Row],[Date]],"MMM")</f>
        <v>Oct</v>
      </c>
      <c r="Q1004">
        <f ca="1">YEAR(financials[[#This Row],[Date]])</f>
        <v>2024</v>
      </c>
    </row>
    <row r="1005" spans="1:17" x14ac:dyDescent="0.3">
      <c r="A1005" t="s">
        <v>16</v>
      </c>
      <c r="B1005" t="s">
        <v>22</v>
      </c>
      <c r="C1005" s="6" t="s">
        <v>31</v>
      </c>
      <c r="D1005" s="6" t="str">
        <f>CONCATENATE(financials[[#This Row],[Segment]],",",financials[[#This Row],[Country]],",",financials[[#This Row],[Product]])</f>
        <v>Government,France,Amarilla</v>
      </c>
      <c r="E1005" s="6" t="s">
        <v>33</v>
      </c>
      <c r="F1005">
        <f t="shared" ca="1" si="30"/>
        <v>663</v>
      </c>
      <c r="G1005" s="1">
        <f ca="1">VLOOKUP(financials[[#This Row],[ID]],Prices!D:F,2,FALSE)</f>
        <v>10</v>
      </c>
      <c r="H1005" s="1">
        <f ca="1">VLOOKUP(financials[[#This Row],[ID]],Prices!D:F,3,FALSE)</f>
        <v>25</v>
      </c>
      <c r="I1005" s="1">
        <f ca="1">financials[[#This Row],[Units Sold]]*financials[[#This Row],[Sale Price]]</f>
        <v>16575</v>
      </c>
      <c r="J10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828.75</v>
      </c>
      <c r="K1005" s="1">
        <f ca="1">financials[[#This Row],[Gross Sales]]-financials[[#This Row],[Discounts]]</f>
        <v>15746.25</v>
      </c>
      <c r="L1005" s="1">
        <f ca="1">financials[[#This Row],[Units Sold]]*financials[[#This Row],[Manufacturing Price]]</f>
        <v>6630</v>
      </c>
      <c r="M1005" s="1">
        <f ca="1">financials[[#This Row],[Sales]]-financials[[#This Row],[COGS]]</f>
        <v>9116.25</v>
      </c>
      <c r="N1005" s="7">
        <f t="shared" ca="1" si="31"/>
        <v>45131</v>
      </c>
      <c r="O1005" s="8">
        <f ca="1">MONTH(financials[[#This Row],[Date]])</f>
        <v>7</v>
      </c>
      <c r="P1005" s="6" t="str">
        <f ca="1">TEXT(financials[[#This Row],[Date]],"MMM")</f>
        <v>Jul</v>
      </c>
      <c r="Q1005">
        <f ca="1">YEAR(financials[[#This Row],[Date]])</f>
        <v>2023</v>
      </c>
    </row>
    <row r="1006" spans="1:17" x14ac:dyDescent="0.3">
      <c r="A1006" t="s">
        <v>16</v>
      </c>
      <c r="B1006" t="s">
        <v>22</v>
      </c>
      <c r="C1006" s="6" t="s">
        <v>24</v>
      </c>
      <c r="D1006" s="6" t="str">
        <f>CONCATENATE(financials[[#This Row],[Segment]],",",financials[[#This Row],[Country]],",",financials[[#This Row],[Product]])</f>
        <v>Government,France,Montana</v>
      </c>
      <c r="E1006" s="6" t="s">
        <v>33</v>
      </c>
      <c r="F1006">
        <f t="shared" ca="1" si="30"/>
        <v>619</v>
      </c>
      <c r="G1006" s="1">
        <f ca="1">VLOOKUP(financials[[#This Row],[ID]],Prices!D:F,2,FALSE)</f>
        <v>19</v>
      </c>
      <c r="H1006" s="1">
        <f ca="1">VLOOKUP(financials[[#This Row],[ID]],Prices!D:F,3,FALSE)</f>
        <v>22</v>
      </c>
      <c r="I1006" s="1">
        <f ca="1">financials[[#This Row],[Units Sold]]*financials[[#This Row],[Sale Price]]</f>
        <v>13618</v>
      </c>
      <c r="J10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680.90000000000009</v>
      </c>
      <c r="K1006" s="1">
        <f ca="1">financials[[#This Row],[Gross Sales]]-financials[[#This Row],[Discounts]]</f>
        <v>12937.1</v>
      </c>
      <c r="L1006" s="1">
        <f ca="1">financials[[#This Row],[Units Sold]]*financials[[#This Row],[Manufacturing Price]]</f>
        <v>11761</v>
      </c>
      <c r="M1006" s="1">
        <f ca="1">financials[[#This Row],[Sales]]-financials[[#This Row],[COGS]]</f>
        <v>1176.1000000000004</v>
      </c>
      <c r="N1006" s="7">
        <f t="shared" ca="1" si="31"/>
        <v>45340</v>
      </c>
      <c r="O1006" s="8">
        <f ca="1">MONTH(financials[[#This Row],[Date]])</f>
        <v>2</v>
      </c>
      <c r="P1006" s="6" t="str">
        <f ca="1">TEXT(financials[[#This Row],[Date]],"MMM")</f>
        <v>Feb</v>
      </c>
      <c r="Q1006">
        <f ca="1">YEAR(financials[[#This Row],[Date]])</f>
        <v>2024</v>
      </c>
    </row>
    <row r="1007" spans="1:17" x14ac:dyDescent="0.3">
      <c r="A1007" t="s">
        <v>21</v>
      </c>
      <c r="B1007" t="s">
        <v>36</v>
      </c>
      <c r="C1007" s="6" t="s">
        <v>28</v>
      </c>
      <c r="D1007" s="6" t="str">
        <f>CONCATENATE(financials[[#This Row],[Segment]],",",financials[[#This Row],[Country]],",",financials[[#This Row],[Product]])</f>
        <v>Midmarket,USA,Paseo</v>
      </c>
      <c r="E1007" s="6" t="s">
        <v>33</v>
      </c>
      <c r="F1007">
        <f t="shared" ca="1" si="30"/>
        <v>821</v>
      </c>
      <c r="G1007" s="1">
        <f ca="1">VLOOKUP(financials[[#This Row],[ID]],Prices!D:F,2,FALSE)</f>
        <v>13</v>
      </c>
      <c r="H1007" s="1">
        <f ca="1">VLOOKUP(financials[[#This Row],[ID]],Prices!D:F,3,FALSE)</f>
        <v>25</v>
      </c>
      <c r="I1007" s="1">
        <f ca="1">financials[[#This Row],[Units Sold]]*financials[[#This Row],[Sale Price]]</f>
        <v>20525</v>
      </c>
      <c r="J10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1026.25</v>
      </c>
      <c r="K1007" s="1">
        <f ca="1">financials[[#This Row],[Gross Sales]]-financials[[#This Row],[Discounts]]</f>
        <v>19498.75</v>
      </c>
      <c r="L1007" s="1">
        <f ca="1">financials[[#This Row],[Units Sold]]*financials[[#This Row],[Manufacturing Price]]</f>
        <v>10673</v>
      </c>
      <c r="M1007" s="1">
        <f ca="1">financials[[#This Row],[Sales]]-financials[[#This Row],[COGS]]</f>
        <v>8825.75</v>
      </c>
      <c r="N1007" s="7">
        <f t="shared" ca="1" si="31"/>
        <v>45439</v>
      </c>
      <c r="O1007" s="8">
        <f ca="1">MONTH(financials[[#This Row],[Date]])</f>
        <v>5</v>
      </c>
      <c r="P1007" s="6" t="str">
        <f ca="1">TEXT(financials[[#This Row],[Date]],"MMM")</f>
        <v>May</v>
      </c>
      <c r="Q1007">
        <f ca="1">YEAR(financials[[#This Row],[Date]])</f>
        <v>2024</v>
      </c>
    </row>
    <row r="1008" spans="1:17" x14ac:dyDescent="0.3">
      <c r="A1008" t="s">
        <v>21</v>
      </c>
      <c r="B1008" t="s">
        <v>20</v>
      </c>
      <c r="C1008" s="6" t="s">
        <v>28</v>
      </c>
      <c r="D1008" s="6" t="str">
        <f>CONCATENATE(financials[[#This Row],[Segment]],",",financials[[#This Row],[Country]],",",financials[[#This Row],[Product]])</f>
        <v>Midmarket,Germany,Paseo</v>
      </c>
      <c r="E1008" s="6" t="s">
        <v>33</v>
      </c>
      <c r="F1008">
        <f t="shared" ca="1" si="30"/>
        <v>235</v>
      </c>
      <c r="G1008" s="1">
        <f ca="1">VLOOKUP(financials[[#This Row],[ID]],Prices!D:F,2,FALSE)</f>
        <v>19</v>
      </c>
      <c r="H1008" s="1">
        <f ca="1">VLOOKUP(financials[[#This Row],[ID]],Prices!D:F,3,FALSE)</f>
        <v>25</v>
      </c>
      <c r="I1008" s="1">
        <f ca="1">financials[[#This Row],[Units Sold]]*financials[[#This Row],[Sale Price]]</f>
        <v>5875</v>
      </c>
      <c r="J10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293.75</v>
      </c>
      <c r="K1008" s="1">
        <f ca="1">financials[[#This Row],[Gross Sales]]-financials[[#This Row],[Discounts]]</f>
        <v>5581.25</v>
      </c>
      <c r="L1008" s="1">
        <f ca="1">financials[[#This Row],[Units Sold]]*financials[[#This Row],[Manufacturing Price]]</f>
        <v>4465</v>
      </c>
      <c r="M1008" s="1">
        <f ca="1">financials[[#This Row],[Sales]]-financials[[#This Row],[COGS]]</f>
        <v>1116.25</v>
      </c>
      <c r="N1008" s="7">
        <f t="shared" ca="1" si="31"/>
        <v>45164</v>
      </c>
      <c r="O1008" s="8">
        <f ca="1">MONTH(financials[[#This Row],[Date]])</f>
        <v>8</v>
      </c>
      <c r="P1008" s="6" t="str">
        <f ca="1">TEXT(financials[[#This Row],[Date]],"MMM")</f>
        <v>Aug</v>
      </c>
      <c r="Q1008">
        <f ca="1">YEAR(financials[[#This Row],[Date]])</f>
        <v>2023</v>
      </c>
    </row>
    <row r="1009" spans="1:17" x14ac:dyDescent="0.3">
      <c r="A1009" t="s">
        <v>21</v>
      </c>
      <c r="B1009" t="s">
        <v>36</v>
      </c>
      <c r="C1009" s="6" t="s">
        <v>28</v>
      </c>
      <c r="D1009" s="6" t="str">
        <f>CONCATENATE(financials[[#This Row],[Segment]],",",financials[[#This Row],[Country]],",",financials[[#This Row],[Product]])</f>
        <v>Midmarket,USA,Paseo</v>
      </c>
      <c r="E1009" s="6" t="s">
        <v>33</v>
      </c>
      <c r="F1009">
        <f t="shared" ca="1" si="30"/>
        <v>941</v>
      </c>
      <c r="G1009" s="1">
        <f ca="1">VLOOKUP(financials[[#This Row],[ID]],Prices!D:F,2,FALSE)</f>
        <v>13</v>
      </c>
      <c r="H1009" s="1">
        <f ca="1">VLOOKUP(financials[[#This Row],[ID]],Prices!D:F,3,FALSE)</f>
        <v>25</v>
      </c>
      <c r="I1009" s="1">
        <f ca="1">financials[[#This Row],[Units Sold]]*financials[[#This Row],[Sale Price]]</f>
        <v>23525</v>
      </c>
      <c r="J10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1176.25</v>
      </c>
      <c r="K1009" s="1">
        <f ca="1">financials[[#This Row],[Gross Sales]]-financials[[#This Row],[Discounts]]</f>
        <v>22348.75</v>
      </c>
      <c r="L1009" s="1">
        <f ca="1">financials[[#This Row],[Units Sold]]*financials[[#This Row],[Manufacturing Price]]</f>
        <v>12233</v>
      </c>
      <c r="M1009" s="1">
        <f ca="1">financials[[#This Row],[Sales]]-financials[[#This Row],[COGS]]</f>
        <v>10115.75</v>
      </c>
      <c r="N1009" s="7">
        <f t="shared" ca="1" si="31"/>
        <v>45636</v>
      </c>
      <c r="O1009" s="8">
        <f ca="1">MONTH(financials[[#This Row],[Date]])</f>
        <v>12</v>
      </c>
      <c r="P1009" s="6" t="str">
        <f ca="1">TEXT(financials[[#This Row],[Date]],"MMM")</f>
        <v>Dec</v>
      </c>
      <c r="Q1009">
        <f ca="1">YEAR(financials[[#This Row],[Date]])</f>
        <v>2024</v>
      </c>
    </row>
    <row r="1010" spans="1:17" x14ac:dyDescent="0.3">
      <c r="A1010" t="s">
        <v>16</v>
      </c>
      <c r="B1010" t="s">
        <v>22</v>
      </c>
      <c r="C1010" s="6" t="s">
        <v>28</v>
      </c>
      <c r="D1010" s="6" t="str">
        <f>CONCATENATE(financials[[#This Row],[Segment]],",",financials[[#This Row],[Country]],",",financials[[#This Row],[Product]])</f>
        <v>Government,France,Paseo</v>
      </c>
      <c r="E1010" s="6" t="s">
        <v>33</v>
      </c>
      <c r="F1010">
        <f t="shared" ca="1" si="30"/>
        <v>895</v>
      </c>
      <c r="G1010" s="1">
        <f ca="1">VLOOKUP(financials[[#This Row],[ID]],Prices!D:F,2,FALSE)</f>
        <v>14</v>
      </c>
      <c r="H1010" s="1">
        <f ca="1">VLOOKUP(financials[[#This Row],[ID]],Prices!D:F,3,FALSE)</f>
        <v>18</v>
      </c>
      <c r="I1010" s="1">
        <f ca="1">financials[[#This Row],[Units Sold]]*financials[[#This Row],[Sale Price]]</f>
        <v>16110</v>
      </c>
      <c r="J10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805.5</v>
      </c>
      <c r="K1010" s="1">
        <f ca="1">financials[[#This Row],[Gross Sales]]-financials[[#This Row],[Discounts]]</f>
        <v>15304.5</v>
      </c>
      <c r="L1010" s="1">
        <f ca="1">financials[[#This Row],[Units Sold]]*financials[[#This Row],[Manufacturing Price]]</f>
        <v>12530</v>
      </c>
      <c r="M1010" s="1">
        <f ca="1">financials[[#This Row],[Sales]]-financials[[#This Row],[COGS]]</f>
        <v>2774.5</v>
      </c>
      <c r="N1010" s="7">
        <f t="shared" ca="1" si="31"/>
        <v>45526</v>
      </c>
      <c r="O1010" s="8">
        <f ca="1">MONTH(financials[[#This Row],[Date]])</f>
        <v>8</v>
      </c>
      <c r="P1010" s="6" t="str">
        <f ca="1">TEXT(financials[[#This Row],[Date]],"MMM")</f>
        <v>Aug</v>
      </c>
      <c r="Q1010">
        <f ca="1">YEAR(financials[[#This Row],[Date]])</f>
        <v>2024</v>
      </c>
    </row>
    <row r="1011" spans="1:17" x14ac:dyDescent="0.3">
      <c r="A1011" t="s">
        <v>16</v>
      </c>
      <c r="B1011" t="s">
        <v>20</v>
      </c>
      <c r="C1011" s="6" t="s">
        <v>29</v>
      </c>
      <c r="D1011" s="6" t="str">
        <f>CONCATENATE(financials[[#This Row],[Segment]],",",financials[[#This Row],[Country]],",",financials[[#This Row],[Product]])</f>
        <v>Government,Germany,Velo</v>
      </c>
      <c r="E1011" s="6" t="s">
        <v>33</v>
      </c>
      <c r="F1011">
        <f t="shared" ca="1" si="30"/>
        <v>406</v>
      </c>
      <c r="G1011" s="1">
        <f ca="1">VLOOKUP(financials[[#This Row],[ID]],Prices!D:F,2,FALSE)</f>
        <v>13</v>
      </c>
      <c r="H1011" s="1">
        <f ca="1">VLOOKUP(financials[[#This Row],[ID]],Prices!D:F,3,FALSE)</f>
        <v>19</v>
      </c>
      <c r="I1011" s="1">
        <f ca="1">financials[[#This Row],[Units Sold]]*financials[[#This Row],[Sale Price]]</f>
        <v>7714</v>
      </c>
      <c r="J10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385.70000000000005</v>
      </c>
      <c r="K1011" s="1">
        <f ca="1">financials[[#This Row],[Gross Sales]]-financials[[#This Row],[Discounts]]</f>
        <v>7328.3</v>
      </c>
      <c r="L1011" s="1">
        <f ca="1">financials[[#This Row],[Units Sold]]*financials[[#This Row],[Manufacturing Price]]</f>
        <v>5278</v>
      </c>
      <c r="M1011" s="1">
        <f ca="1">financials[[#This Row],[Sales]]-financials[[#This Row],[COGS]]</f>
        <v>2050.3000000000002</v>
      </c>
      <c r="N1011" s="7">
        <f t="shared" ca="1" si="31"/>
        <v>45378</v>
      </c>
      <c r="O1011" s="8">
        <f ca="1">MONTH(financials[[#This Row],[Date]])</f>
        <v>3</v>
      </c>
      <c r="P1011" s="6" t="str">
        <f ca="1">TEXT(financials[[#This Row],[Date]],"MMM")</f>
        <v>Mar</v>
      </c>
      <c r="Q1011">
        <f ca="1">YEAR(financials[[#This Row],[Date]])</f>
        <v>2024</v>
      </c>
    </row>
    <row r="1012" spans="1:17" x14ac:dyDescent="0.3">
      <c r="A1012" t="s">
        <v>16</v>
      </c>
      <c r="B1012" t="s">
        <v>23</v>
      </c>
      <c r="C1012" s="6" t="s">
        <v>29</v>
      </c>
      <c r="D1012" s="6" t="str">
        <f>CONCATENATE(financials[[#This Row],[Segment]],",",financials[[#This Row],[Country]],",",financials[[#This Row],[Product]])</f>
        <v>Government,Mexico,Velo</v>
      </c>
      <c r="E1012" s="6" t="s">
        <v>33</v>
      </c>
      <c r="F1012">
        <f t="shared" ca="1" si="30"/>
        <v>267</v>
      </c>
      <c r="G1012" s="1">
        <f ca="1">VLOOKUP(financials[[#This Row],[ID]],Prices!D:F,2,FALSE)</f>
        <v>18</v>
      </c>
      <c r="H1012" s="1">
        <f ca="1">VLOOKUP(financials[[#This Row],[ID]],Prices!D:F,3,FALSE)</f>
        <v>36</v>
      </c>
      <c r="I1012" s="1">
        <f ca="1">financials[[#This Row],[Units Sold]]*financials[[#This Row],[Sale Price]]</f>
        <v>9612</v>
      </c>
      <c r="J10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480.6</v>
      </c>
      <c r="K1012" s="1">
        <f ca="1">financials[[#This Row],[Gross Sales]]-financials[[#This Row],[Discounts]]</f>
        <v>9131.4</v>
      </c>
      <c r="L1012" s="1">
        <f ca="1">financials[[#This Row],[Units Sold]]*financials[[#This Row],[Manufacturing Price]]</f>
        <v>4806</v>
      </c>
      <c r="M1012" s="1">
        <f ca="1">financials[[#This Row],[Sales]]-financials[[#This Row],[COGS]]</f>
        <v>4325.3999999999996</v>
      </c>
      <c r="N1012" s="7">
        <f t="shared" ca="1" si="31"/>
        <v>45495</v>
      </c>
      <c r="O1012" s="8">
        <f ca="1">MONTH(financials[[#This Row],[Date]])</f>
        <v>7</v>
      </c>
      <c r="P1012" s="6" t="str">
        <f ca="1">TEXT(financials[[#This Row],[Date]],"MMM")</f>
        <v>Jul</v>
      </c>
      <c r="Q1012">
        <f ca="1">YEAR(financials[[#This Row],[Date]])</f>
        <v>2024</v>
      </c>
    </row>
    <row r="1013" spans="1:17" x14ac:dyDescent="0.3">
      <c r="A1013" t="s">
        <v>21</v>
      </c>
      <c r="B1013" t="s">
        <v>36</v>
      </c>
      <c r="C1013" s="6" t="s">
        <v>30</v>
      </c>
      <c r="D1013" s="6" t="str">
        <f>CONCATENATE(financials[[#This Row],[Segment]],",",financials[[#This Row],[Country]],",",financials[[#This Row],[Product]])</f>
        <v>Midmarket,USA,VTT</v>
      </c>
      <c r="E1013" s="6" t="s">
        <v>33</v>
      </c>
      <c r="F1013">
        <f t="shared" ca="1" si="30"/>
        <v>70</v>
      </c>
      <c r="G1013" s="1">
        <f ca="1">VLOOKUP(financials[[#This Row],[ID]],Prices!D:F,2,FALSE)</f>
        <v>15</v>
      </c>
      <c r="H1013" s="1">
        <f ca="1">VLOOKUP(financials[[#This Row],[ID]],Prices!D:F,3,FALSE)</f>
        <v>27</v>
      </c>
      <c r="I1013" s="1">
        <f ca="1">financials[[#This Row],[Units Sold]]*financials[[#This Row],[Sale Price]]</f>
        <v>1890</v>
      </c>
      <c r="J10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94.5</v>
      </c>
      <c r="K1013" s="1">
        <f ca="1">financials[[#This Row],[Gross Sales]]-financials[[#This Row],[Discounts]]</f>
        <v>1795.5</v>
      </c>
      <c r="L1013" s="1">
        <f ca="1">financials[[#This Row],[Units Sold]]*financials[[#This Row],[Manufacturing Price]]</f>
        <v>1050</v>
      </c>
      <c r="M1013" s="1">
        <f ca="1">financials[[#This Row],[Sales]]-financials[[#This Row],[COGS]]</f>
        <v>745.5</v>
      </c>
      <c r="N1013" s="7">
        <f t="shared" ca="1" si="31"/>
        <v>45115</v>
      </c>
      <c r="O1013" s="8">
        <f ca="1">MONTH(financials[[#This Row],[Date]])</f>
        <v>7</v>
      </c>
      <c r="P1013" s="6" t="str">
        <f ca="1">TEXT(financials[[#This Row],[Date]],"MMM")</f>
        <v>Jul</v>
      </c>
      <c r="Q1013">
        <f ca="1">YEAR(financials[[#This Row],[Date]])</f>
        <v>2023</v>
      </c>
    </row>
    <row r="1014" spans="1:17" x14ac:dyDescent="0.3">
      <c r="A1014" t="s">
        <v>25</v>
      </c>
      <c r="B1014" t="s">
        <v>23</v>
      </c>
      <c r="C1014" s="6" t="s">
        <v>18</v>
      </c>
      <c r="D1014" s="6" t="str">
        <f>CONCATENATE(financials[[#This Row],[Segment]],",",financials[[#This Row],[Country]],",",financials[[#This Row],[Product]])</f>
        <v>Channel Partners,Mexico,Carretera</v>
      </c>
      <c r="E1014" s="6" t="s">
        <v>33</v>
      </c>
      <c r="F1014">
        <f t="shared" ca="1" si="30"/>
        <v>138</v>
      </c>
      <c r="G1014" s="1">
        <f ca="1">VLOOKUP(financials[[#This Row],[ID]],Prices!D:F,2,FALSE)</f>
        <v>14</v>
      </c>
      <c r="H1014" s="1">
        <f ca="1">VLOOKUP(financials[[#This Row],[ID]],Prices!D:F,3,FALSE)</f>
        <v>18</v>
      </c>
      <c r="I1014" s="1">
        <f ca="1">financials[[#This Row],[Units Sold]]*financials[[#This Row],[Sale Price]]</f>
        <v>2484</v>
      </c>
      <c r="J10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124.2</v>
      </c>
      <c r="K1014" s="1">
        <f ca="1">financials[[#This Row],[Gross Sales]]-financials[[#This Row],[Discounts]]</f>
        <v>2359.8000000000002</v>
      </c>
      <c r="L1014" s="1">
        <f ca="1">financials[[#This Row],[Units Sold]]*financials[[#This Row],[Manufacturing Price]]</f>
        <v>1932</v>
      </c>
      <c r="M1014" s="1">
        <f ca="1">financials[[#This Row],[Sales]]-financials[[#This Row],[COGS]]</f>
        <v>427.80000000000018</v>
      </c>
      <c r="N1014" s="7">
        <f t="shared" ca="1" si="31"/>
        <v>45648</v>
      </c>
      <c r="O1014" s="8">
        <f ca="1">MONTH(financials[[#This Row],[Date]])</f>
        <v>12</v>
      </c>
      <c r="P1014" s="6" t="str">
        <f ca="1">TEXT(financials[[#This Row],[Date]],"MMM")</f>
        <v>Dec</v>
      </c>
      <c r="Q1014">
        <f ca="1">YEAR(financials[[#This Row],[Date]])</f>
        <v>2024</v>
      </c>
    </row>
    <row r="1015" spans="1:17" x14ac:dyDescent="0.3">
      <c r="A1015" t="s">
        <v>25</v>
      </c>
      <c r="B1015" t="s">
        <v>17</v>
      </c>
      <c r="C1015" s="6" t="s">
        <v>18</v>
      </c>
      <c r="D1015" s="6" t="str">
        <f>CONCATENATE(financials[[#This Row],[Segment]],",",financials[[#This Row],[Country]],",",financials[[#This Row],[Product]])</f>
        <v>Channel Partners,Canada,Carretera</v>
      </c>
      <c r="E1015" s="6" t="s">
        <v>33</v>
      </c>
      <c r="F1015">
        <f t="shared" ca="1" si="30"/>
        <v>116</v>
      </c>
      <c r="G1015" s="1">
        <f ca="1">VLOOKUP(financials[[#This Row],[ID]],Prices!D:F,2,FALSE)</f>
        <v>17</v>
      </c>
      <c r="H1015" s="1">
        <f ca="1">VLOOKUP(financials[[#This Row],[ID]],Prices!D:F,3,FALSE)</f>
        <v>24</v>
      </c>
      <c r="I1015" s="1">
        <f ca="1">financials[[#This Row],[Units Sold]]*financials[[#This Row],[Sale Price]]</f>
        <v>2784</v>
      </c>
      <c r="J10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139.20000000000002</v>
      </c>
      <c r="K1015" s="1">
        <f ca="1">financials[[#This Row],[Gross Sales]]-financials[[#This Row],[Discounts]]</f>
        <v>2644.8</v>
      </c>
      <c r="L1015" s="1">
        <f ca="1">financials[[#This Row],[Units Sold]]*financials[[#This Row],[Manufacturing Price]]</f>
        <v>1972</v>
      </c>
      <c r="M1015" s="1">
        <f ca="1">financials[[#This Row],[Sales]]-financials[[#This Row],[COGS]]</f>
        <v>672.80000000000018</v>
      </c>
      <c r="N1015" s="7">
        <f t="shared" ca="1" si="31"/>
        <v>45305</v>
      </c>
      <c r="O1015" s="8">
        <f ca="1">MONTH(financials[[#This Row],[Date]])</f>
        <v>1</v>
      </c>
      <c r="P1015" s="6" t="str">
        <f ca="1">TEXT(financials[[#This Row],[Date]],"MMM")</f>
        <v>Jan</v>
      </c>
      <c r="Q1015">
        <f ca="1">YEAR(financials[[#This Row],[Date]])</f>
        <v>2024</v>
      </c>
    </row>
    <row r="1016" spans="1:17" x14ac:dyDescent="0.3">
      <c r="A1016" t="s">
        <v>16</v>
      </c>
      <c r="B1016" t="s">
        <v>23</v>
      </c>
      <c r="C1016" s="6" t="s">
        <v>18</v>
      </c>
      <c r="D1016" s="6" t="str">
        <f>CONCATENATE(financials[[#This Row],[Segment]],",",financials[[#This Row],[Country]],",",financials[[#This Row],[Product]])</f>
        <v>Government,Mexico,Carretera</v>
      </c>
      <c r="E1016" s="6" t="s">
        <v>33</v>
      </c>
      <c r="F1016">
        <f t="shared" ca="1" si="30"/>
        <v>982</v>
      </c>
      <c r="G1016" s="1">
        <f ca="1">VLOOKUP(financials[[#This Row],[ID]],Prices!D:F,2,FALSE)</f>
        <v>16</v>
      </c>
      <c r="H1016" s="1">
        <f ca="1">VLOOKUP(financials[[#This Row],[ID]],Prices!D:F,3,FALSE)</f>
        <v>31</v>
      </c>
      <c r="I1016" s="1">
        <f ca="1">financials[[#This Row],[Units Sold]]*financials[[#This Row],[Sale Price]]</f>
        <v>30442</v>
      </c>
      <c r="J10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1522.1000000000001</v>
      </c>
      <c r="K1016" s="1">
        <f ca="1">financials[[#This Row],[Gross Sales]]-financials[[#This Row],[Discounts]]</f>
        <v>28919.9</v>
      </c>
      <c r="L1016" s="1">
        <f ca="1">financials[[#This Row],[Units Sold]]*financials[[#This Row],[Manufacturing Price]]</f>
        <v>15712</v>
      </c>
      <c r="M1016" s="1">
        <f ca="1">financials[[#This Row],[Sales]]-financials[[#This Row],[COGS]]</f>
        <v>13207.900000000001</v>
      </c>
      <c r="N1016" s="7">
        <f t="shared" ca="1" si="31"/>
        <v>45274</v>
      </c>
      <c r="O1016" s="8">
        <f ca="1">MONTH(financials[[#This Row],[Date]])</f>
        <v>12</v>
      </c>
      <c r="P1016" s="6" t="str">
        <f ca="1">TEXT(financials[[#This Row],[Date]],"MMM")</f>
        <v>Dec</v>
      </c>
      <c r="Q1016">
        <f ca="1">YEAR(financials[[#This Row],[Date]])</f>
        <v>2023</v>
      </c>
    </row>
    <row r="1017" spans="1:17" x14ac:dyDescent="0.3">
      <c r="A1017" t="s">
        <v>25</v>
      </c>
      <c r="B1017" t="s">
        <v>23</v>
      </c>
      <c r="C1017" s="6" t="s">
        <v>24</v>
      </c>
      <c r="D1017" s="6" t="str">
        <f>CONCATENATE(financials[[#This Row],[Segment]],",",financials[[#This Row],[Country]],",",financials[[#This Row],[Product]])</f>
        <v>Channel Partners,Mexico,Montana</v>
      </c>
      <c r="E1017" s="6" t="s">
        <v>33</v>
      </c>
      <c r="F1017">
        <f t="shared" ca="1" si="30"/>
        <v>23</v>
      </c>
      <c r="G1017" s="1">
        <f ca="1">VLOOKUP(financials[[#This Row],[ID]],Prices!D:F,2,FALSE)</f>
        <v>15</v>
      </c>
      <c r="H1017" s="1">
        <f ca="1">VLOOKUP(financials[[#This Row],[ID]],Prices!D:F,3,FALSE)</f>
        <v>17</v>
      </c>
      <c r="I1017" s="1">
        <f ca="1">financials[[#This Row],[Units Sold]]*financials[[#This Row],[Sale Price]]</f>
        <v>391</v>
      </c>
      <c r="J10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3.91</v>
      </c>
      <c r="K1017" s="1">
        <f ca="1">financials[[#This Row],[Gross Sales]]-financials[[#This Row],[Discounts]]</f>
        <v>387.09</v>
      </c>
      <c r="L1017" s="1">
        <f ca="1">financials[[#This Row],[Units Sold]]*financials[[#This Row],[Manufacturing Price]]</f>
        <v>345</v>
      </c>
      <c r="M1017" s="1">
        <f ca="1">financials[[#This Row],[Sales]]-financials[[#This Row],[COGS]]</f>
        <v>42.089999999999975</v>
      </c>
      <c r="N1017" s="7">
        <f t="shared" ca="1" si="31"/>
        <v>45127</v>
      </c>
      <c r="O1017" s="8">
        <f ca="1">MONTH(financials[[#This Row],[Date]])</f>
        <v>7</v>
      </c>
      <c r="P1017" s="6" t="str">
        <f ca="1">TEXT(financials[[#This Row],[Date]],"MMM")</f>
        <v>Jul</v>
      </c>
      <c r="Q1017">
        <f ca="1">YEAR(financials[[#This Row],[Date]])</f>
        <v>2023</v>
      </c>
    </row>
    <row r="1018" spans="1:17" x14ac:dyDescent="0.3">
      <c r="A1018" t="s">
        <v>25</v>
      </c>
      <c r="B1018" t="s">
        <v>22</v>
      </c>
      <c r="C1018" s="6" t="s">
        <v>24</v>
      </c>
      <c r="D1018" s="6" t="str">
        <f>CONCATENATE(financials[[#This Row],[Segment]],",",financials[[#This Row],[Country]],",",financials[[#This Row],[Product]])</f>
        <v>Channel Partners,France,Montana</v>
      </c>
      <c r="E1018" s="6" t="s">
        <v>33</v>
      </c>
      <c r="F1018">
        <f t="shared" ca="1" si="30"/>
        <v>568</v>
      </c>
      <c r="G1018" s="1">
        <f ca="1">VLOOKUP(financials[[#This Row],[ID]],Prices!D:F,2,FALSE)</f>
        <v>19</v>
      </c>
      <c r="H1018" s="1">
        <f ca="1">VLOOKUP(financials[[#This Row],[ID]],Prices!D:F,3,FALSE)</f>
        <v>30</v>
      </c>
      <c r="I1018" s="1">
        <f ca="1">financials[[#This Row],[Units Sold]]*financials[[#This Row],[Sale Price]]</f>
        <v>17040</v>
      </c>
      <c r="J10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852</v>
      </c>
      <c r="K1018" s="1">
        <f ca="1">financials[[#This Row],[Gross Sales]]-financials[[#This Row],[Discounts]]</f>
        <v>16188</v>
      </c>
      <c r="L1018" s="1">
        <f ca="1">financials[[#This Row],[Units Sold]]*financials[[#This Row],[Manufacturing Price]]</f>
        <v>10792</v>
      </c>
      <c r="M1018" s="1">
        <f ca="1">financials[[#This Row],[Sales]]-financials[[#This Row],[COGS]]</f>
        <v>5396</v>
      </c>
      <c r="N1018" s="7">
        <f t="shared" ca="1" si="31"/>
        <v>45753</v>
      </c>
      <c r="O1018" s="8">
        <f ca="1">MONTH(financials[[#This Row],[Date]])</f>
        <v>4</v>
      </c>
      <c r="P1018" s="6" t="str">
        <f ca="1">TEXT(financials[[#This Row],[Date]],"MMM")</f>
        <v>Apr</v>
      </c>
      <c r="Q1018">
        <f ca="1">YEAR(financials[[#This Row],[Date]])</f>
        <v>2025</v>
      </c>
    </row>
    <row r="1019" spans="1:17" x14ac:dyDescent="0.3">
      <c r="A1019" t="s">
        <v>16</v>
      </c>
      <c r="B1019" t="s">
        <v>22</v>
      </c>
      <c r="C1019" s="6" t="s">
        <v>28</v>
      </c>
      <c r="D1019" s="6" t="str">
        <f>CONCATENATE(financials[[#This Row],[Segment]],",",financials[[#This Row],[Country]],",",financials[[#This Row],[Product]])</f>
        <v>Government,France,Paseo</v>
      </c>
      <c r="E1019" s="6" t="s">
        <v>33</v>
      </c>
      <c r="F1019">
        <f t="shared" ca="1" si="30"/>
        <v>468</v>
      </c>
      <c r="G1019" s="1">
        <f ca="1">VLOOKUP(financials[[#This Row],[ID]],Prices!D:F,2,FALSE)</f>
        <v>14</v>
      </c>
      <c r="H1019" s="1">
        <f ca="1">VLOOKUP(financials[[#This Row],[ID]],Prices!D:F,3,FALSE)</f>
        <v>18</v>
      </c>
      <c r="I1019" s="1">
        <f ca="1">financials[[#This Row],[Units Sold]]*financials[[#This Row],[Sale Price]]</f>
        <v>8424</v>
      </c>
      <c r="J10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421.20000000000005</v>
      </c>
      <c r="K1019" s="1">
        <f ca="1">financials[[#This Row],[Gross Sales]]-financials[[#This Row],[Discounts]]</f>
        <v>8002.8</v>
      </c>
      <c r="L1019" s="1">
        <f ca="1">financials[[#This Row],[Units Sold]]*financials[[#This Row],[Manufacturing Price]]</f>
        <v>6552</v>
      </c>
      <c r="M1019" s="1">
        <f ca="1">financials[[#This Row],[Sales]]-financials[[#This Row],[COGS]]</f>
        <v>1450.8000000000002</v>
      </c>
      <c r="N1019" s="7">
        <f t="shared" ca="1" si="31"/>
        <v>45521</v>
      </c>
      <c r="O1019" s="8">
        <f ca="1">MONTH(financials[[#This Row],[Date]])</f>
        <v>8</v>
      </c>
      <c r="P1019" s="6" t="str">
        <f ca="1">TEXT(financials[[#This Row],[Date]],"MMM")</f>
        <v>Aug</v>
      </c>
      <c r="Q1019">
        <f ca="1">YEAR(financials[[#This Row],[Date]])</f>
        <v>2024</v>
      </c>
    </row>
    <row r="1020" spans="1:17" x14ac:dyDescent="0.3">
      <c r="A1020" t="s">
        <v>21</v>
      </c>
      <c r="B1020" t="s">
        <v>17</v>
      </c>
      <c r="C1020" s="6" t="s">
        <v>29</v>
      </c>
      <c r="D1020" s="6" t="str">
        <f>CONCATENATE(financials[[#This Row],[Segment]],",",financials[[#This Row],[Country]],",",financials[[#This Row],[Product]])</f>
        <v>Midmarket,Canada,Velo</v>
      </c>
      <c r="E1020" s="6" t="s">
        <v>33</v>
      </c>
      <c r="F1020">
        <f t="shared" ca="1" si="30"/>
        <v>376</v>
      </c>
      <c r="G1020" s="1">
        <f ca="1">VLOOKUP(financials[[#This Row],[ID]],Prices!D:F,2,FALSE)</f>
        <v>20</v>
      </c>
      <c r="H1020" s="1">
        <f ca="1">VLOOKUP(financials[[#This Row],[ID]],Prices!D:F,3,FALSE)</f>
        <v>23</v>
      </c>
      <c r="I1020" s="1">
        <f ca="1">financials[[#This Row],[Units Sold]]*financials[[#This Row],[Sale Price]]</f>
        <v>8648</v>
      </c>
      <c r="J10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432.40000000000003</v>
      </c>
      <c r="K1020" s="1">
        <f ca="1">financials[[#This Row],[Gross Sales]]-financials[[#This Row],[Discounts]]</f>
        <v>8215.6</v>
      </c>
      <c r="L1020" s="1">
        <f ca="1">financials[[#This Row],[Units Sold]]*financials[[#This Row],[Manufacturing Price]]</f>
        <v>7520</v>
      </c>
      <c r="M1020" s="1">
        <f ca="1">financials[[#This Row],[Sales]]-financials[[#This Row],[COGS]]</f>
        <v>695.60000000000036</v>
      </c>
      <c r="N1020" s="7">
        <f t="shared" ca="1" si="31"/>
        <v>45646</v>
      </c>
      <c r="O1020" s="8">
        <f ca="1">MONTH(financials[[#This Row],[Date]])</f>
        <v>12</v>
      </c>
      <c r="P1020" s="6" t="str">
        <f ca="1">TEXT(financials[[#This Row],[Date]],"MMM")</f>
        <v>Dec</v>
      </c>
      <c r="Q1020">
        <f ca="1">YEAR(financials[[#This Row],[Date]])</f>
        <v>2024</v>
      </c>
    </row>
    <row r="1021" spans="1:17" x14ac:dyDescent="0.3">
      <c r="A1021" t="s">
        <v>16</v>
      </c>
      <c r="B1021" t="s">
        <v>17</v>
      </c>
      <c r="C1021" s="6" t="s">
        <v>29</v>
      </c>
      <c r="D1021" s="6" t="str">
        <f>CONCATENATE(financials[[#This Row],[Segment]],",",financials[[#This Row],[Country]],",",financials[[#This Row],[Product]])</f>
        <v>Government,Canada,Velo</v>
      </c>
      <c r="E1021" s="6" t="s">
        <v>33</v>
      </c>
      <c r="F1021">
        <f t="shared" ca="1" si="30"/>
        <v>13</v>
      </c>
      <c r="G1021" s="1">
        <f ca="1">VLOOKUP(financials[[#This Row],[ID]],Prices!D:F,2,FALSE)</f>
        <v>19</v>
      </c>
      <c r="H1021" s="1">
        <f ca="1">VLOOKUP(financials[[#This Row],[ID]],Prices!D:F,3,FALSE)</f>
        <v>37</v>
      </c>
      <c r="I1021" s="1">
        <f ca="1">financials[[#This Row],[Units Sold]]*financials[[#This Row],[Sale Price]]</f>
        <v>481</v>
      </c>
      <c r="J10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4.8100000000000005</v>
      </c>
      <c r="K1021" s="1">
        <f ca="1">financials[[#This Row],[Gross Sales]]-financials[[#This Row],[Discounts]]</f>
        <v>476.19</v>
      </c>
      <c r="L1021" s="1">
        <f ca="1">financials[[#This Row],[Units Sold]]*financials[[#This Row],[Manufacturing Price]]</f>
        <v>247</v>
      </c>
      <c r="M1021" s="1">
        <f ca="1">financials[[#This Row],[Sales]]-financials[[#This Row],[COGS]]</f>
        <v>229.19</v>
      </c>
      <c r="N1021" s="7">
        <f t="shared" ca="1" si="31"/>
        <v>45126</v>
      </c>
      <c r="O1021" s="8">
        <f ca="1">MONTH(financials[[#This Row],[Date]])</f>
        <v>7</v>
      </c>
      <c r="P1021" s="6" t="str">
        <f ca="1">TEXT(financials[[#This Row],[Date]],"MMM")</f>
        <v>Jul</v>
      </c>
      <c r="Q1021">
        <f ca="1">YEAR(financials[[#This Row],[Date]])</f>
        <v>2023</v>
      </c>
    </row>
    <row r="1022" spans="1:17" x14ac:dyDescent="0.3">
      <c r="A1022" t="s">
        <v>16</v>
      </c>
      <c r="B1022" t="s">
        <v>36</v>
      </c>
      <c r="C1022" s="6" t="s">
        <v>29</v>
      </c>
      <c r="D1022" s="6" t="str">
        <f>CONCATENATE(financials[[#This Row],[Segment]],",",financials[[#This Row],[Country]],",",financials[[#This Row],[Product]])</f>
        <v>Government,USA,Velo</v>
      </c>
      <c r="E1022" s="6" t="s">
        <v>33</v>
      </c>
      <c r="F1022">
        <f t="shared" ca="1" si="30"/>
        <v>868</v>
      </c>
      <c r="G1022" s="1">
        <f ca="1">VLOOKUP(financials[[#This Row],[ID]],Prices!D:F,2,FALSE)</f>
        <v>18</v>
      </c>
      <c r="H1022" s="1">
        <f ca="1">VLOOKUP(financials[[#This Row],[ID]],Prices!D:F,3,FALSE)</f>
        <v>38</v>
      </c>
      <c r="I1022" s="1">
        <f ca="1">financials[[#This Row],[Units Sold]]*financials[[#This Row],[Sale Price]]</f>
        <v>32984</v>
      </c>
      <c r="J10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1649.2</v>
      </c>
      <c r="K1022" s="1">
        <f ca="1">financials[[#This Row],[Gross Sales]]-financials[[#This Row],[Discounts]]</f>
        <v>31334.799999999999</v>
      </c>
      <c r="L1022" s="1">
        <f ca="1">financials[[#This Row],[Units Sold]]*financials[[#This Row],[Manufacturing Price]]</f>
        <v>15624</v>
      </c>
      <c r="M1022" s="1">
        <f ca="1">financials[[#This Row],[Sales]]-financials[[#This Row],[COGS]]</f>
        <v>15710.8</v>
      </c>
      <c r="N1022" s="7">
        <f t="shared" ca="1" si="31"/>
        <v>45209</v>
      </c>
      <c r="O1022" s="8">
        <f ca="1">MONTH(financials[[#This Row],[Date]])</f>
        <v>10</v>
      </c>
      <c r="P1022" s="6" t="str">
        <f ca="1">TEXT(financials[[#This Row],[Date]],"MMM")</f>
        <v>Oct</v>
      </c>
      <c r="Q1022">
        <f ca="1">YEAR(financials[[#This Row],[Date]])</f>
        <v>2023</v>
      </c>
    </row>
    <row r="1023" spans="1:17" x14ac:dyDescent="0.3">
      <c r="A1023" t="s">
        <v>16</v>
      </c>
      <c r="B1023" t="s">
        <v>17</v>
      </c>
      <c r="C1023" s="6" t="s">
        <v>29</v>
      </c>
      <c r="D1023" s="6" t="str">
        <f>CONCATENATE(financials[[#This Row],[Segment]],",",financials[[#This Row],[Country]],",",financials[[#This Row],[Product]])</f>
        <v>Government,Canada,Velo</v>
      </c>
      <c r="E1023" s="6" t="s">
        <v>33</v>
      </c>
      <c r="F1023">
        <f t="shared" ca="1" si="30"/>
        <v>856</v>
      </c>
      <c r="G1023" s="1">
        <f ca="1">VLOOKUP(financials[[#This Row],[ID]],Prices!D:F,2,FALSE)</f>
        <v>19</v>
      </c>
      <c r="H1023" s="1">
        <f ca="1">VLOOKUP(financials[[#This Row],[ID]],Prices!D:F,3,FALSE)</f>
        <v>37</v>
      </c>
      <c r="I1023" s="1">
        <f ca="1">financials[[#This Row],[Units Sold]]*financials[[#This Row],[Sale Price]]</f>
        <v>31672</v>
      </c>
      <c r="J10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1583.6000000000001</v>
      </c>
      <c r="K1023" s="1">
        <f ca="1">financials[[#This Row],[Gross Sales]]-financials[[#This Row],[Discounts]]</f>
        <v>30088.400000000001</v>
      </c>
      <c r="L1023" s="1">
        <f ca="1">financials[[#This Row],[Units Sold]]*financials[[#This Row],[Manufacturing Price]]</f>
        <v>16264</v>
      </c>
      <c r="M1023" s="1">
        <f ca="1">financials[[#This Row],[Sales]]-financials[[#This Row],[COGS]]</f>
        <v>13824.400000000001</v>
      </c>
      <c r="N1023" s="7">
        <f t="shared" ca="1" si="31"/>
        <v>45147</v>
      </c>
      <c r="O1023" s="8">
        <f ca="1">MONTH(financials[[#This Row],[Date]])</f>
        <v>8</v>
      </c>
      <c r="P1023" s="6" t="str">
        <f ca="1">TEXT(financials[[#This Row],[Date]],"MMM")</f>
        <v>Aug</v>
      </c>
      <c r="Q1023">
        <f ca="1">YEAR(financials[[#This Row],[Date]])</f>
        <v>2023</v>
      </c>
    </row>
    <row r="1024" spans="1:17" x14ac:dyDescent="0.3">
      <c r="A1024" t="s">
        <v>25</v>
      </c>
      <c r="B1024" t="s">
        <v>22</v>
      </c>
      <c r="C1024" s="6" t="s">
        <v>30</v>
      </c>
      <c r="D1024" s="6" t="str">
        <f>CONCATENATE(financials[[#This Row],[Segment]],",",financials[[#This Row],[Country]],",",financials[[#This Row],[Product]])</f>
        <v>Channel Partners,France,VTT</v>
      </c>
      <c r="E1024" s="6" t="s">
        <v>33</v>
      </c>
      <c r="F1024">
        <f t="shared" ca="1" si="30"/>
        <v>26</v>
      </c>
      <c r="G1024" s="1">
        <f ca="1">VLOOKUP(financials[[#This Row],[ID]],Prices!D:F,2,FALSE)</f>
        <v>11</v>
      </c>
      <c r="H1024" s="1">
        <f ca="1">VLOOKUP(financials[[#This Row],[ID]],Prices!D:F,3,FALSE)</f>
        <v>38</v>
      </c>
      <c r="I1024" s="1">
        <f ca="1">financials[[#This Row],[Units Sold]]*financials[[#This Row],[Sale Price]]</f>
        <v>988</v>
      </c>
      <c r="J10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9.8800000000000008</v>
      </c>
      <c r="K1024" s="1">
        <f ca="1">financials[[#This Row],[Gross Sales]]-financials[[#This Row],[Discounts]]</f>
        <v>978.12</v>
      </c>
      <c r="L1024" s="1">
        <f ca="1">financials[[#This Row],[Units Sold]]*financials[[#This Row],[Manufacturing Price]]</f>
        <v>286</v>
      </c>
      <c r="M1024" s="1">
        <f ca="1">financials[[#This Row],[Sales]]-financials[[#This Row],[COGS]]</f>
        <v>692.12</v>
      </c>
      <c r="N1024" s="7">
        <f t="shared" ca="1" si="31"/>
        <v>45606</v>
      </c>
      <c r="O1024" s="8">
        <f ca="1">MONTH(financials[[#This Row],[Date]])</f>
        <v>11</v>
      </c>
      <c r="P1024" s="6" t="str">
        <f ca="1">TEXT(financials[[#This Row],[Date]],"MMM")</f>
        <v>Nov</v>
      </c>
      <c r="Q1024">
        <f ca="1">YEAR(financials[[#This Row],[Date]])</f>
        <v>2024</v>
      </c>
    </row>
    <row r="1025" spans="1:17" x14ac:dyDescent="0.3">
      <c r="A1025" t="s">
        <v>25</v>
      </c>
      <c r="B1025" t="s">
        <v>20</v>
      </c>
      <c r="C1025" s="6" t="s">
        <v>30</v>
      </c>
      <c r="D1025" s="6" t="str">
        <f>CONCATENATE(financials[[#This Row],[Segment]],",",financials[[#This Row],[Country]],",",financials[[#This Row],[Product]])</f>
        <v>Channel Partners,Germany,VTT</v>
      </c>
      <c r="E1025" s="6" t="s">
        <v>33</v>
      </c>
      <c r="F1025">
        <f t="shared" ca="1" si="30"/>
        <v>57</v>
      </c>
      <c r="G1025" s="1">
        <f ca="1">VLOOKUP(financials[[#This Row],[ID]],Prices!D:F,2,FALSE)</f>
        <v>20</v>
      </c>
      <c r="H1025" s="1">
        <f ca="1">VLOOKUP(financials[[#This Row],[ID]],Prices!D:F,3,FALSE)</f>
        <v>32</v>
      </c>
      <c r="I1025" s="1">
        <f ca="1">financials[[#This Row],[Units Sold]]*financials[[#This Row],[Sale Price]]</f>
        <v>1824</v>
      </c>
      <c r="J10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91.2</v>
      </c>
      <c r="K1025" s="1">
        <f ca="1">financials[[#This Row],[Gross Sales]]-financials[[#This Row],[Discounts]]</f>
        <v>1732.8</v>
      </c>
      <c r="L1025" s="1">
        <f ca="1">financials[[#This Row],[Units Sold]]*financials[[#This Row],[Manufacturing Price]]</f>
        <v>1140</v>
      </c>
      <c r="M1025" s="1">
        <f ca="1">financials[[#This Row],[Sales]]-financials[[#This Row],[COGS]]</f>
        <v>592.79999999999995</v>
      </c>
      <c r="N1025" s="7">
        <f t="shared" ca="1" si="31"/>
        <v>45037</v>
      </c>
      <c r="O1025" s="8">
        <f ca="1">MONTH(financials[[#This Row],[Date]])</f>
        <v>4</v>
      </c>
      <c r="P1025" s="6" t="str">
        <f ca="1">TEXT(financials[[#This Row],[Date]],"MMM")</f>
        <v>Apr</v>
      </c>
      <c r="Q1025">
        <f ca="1">YEAR(financials[[#This Row],[Date]])</f>
        <v>2023</v>
      </c>
    </row>
    <row r="1026" spans="1:17" x14ac:dyDescent="0.3">
      <c r="A1026" t="s">
        <v>16</v>
      </c>
      <c r="B1026" t="s">
        <v>17</v>
      </c>
      <c r="C1026" s="6" t="s">
        <v>30</v>
      </c>
      <c r="D1026" s="6" t="str">
        <f>CONCATENATE(financials[[#This Row],[Segment]],",",financials[[#This Row],[Country]],",",financials[[#This Row],[Product]])</f>
        <v>Government,Canada,VTT</v>
      </c>
      <c r="E1026" s="6" t="s">
        <v>33</v>
      </c>
      <c r="F1026">
        <f t="shared" ca="1" si="30"/>
        <v>505</v>
      </c>
      <c r="G1026" s="1">
        <f ca="1">VLOOKUP(financials[[#This Row],[ID]],Prices!D:F,2,FALSE)</f>
        <v>17</v>
      </c>
      <c r="H1026" s="1">
        <f ca="1">VLOOKUP(financials[[#This Row],[ID]],Prices!D:F,3,FALSE)</f>
        <v>38</v>
      </c>
      <c r="I1026" s="1">
        <f ca="1">financials[[#This Row],[Units Sold]]*financials[[#This Row],[Sale Price]]</f>
        <v>19190</v>
      </c>
      <c r="J10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959.5</v>
      </c>
      <c r="K1026" s="1">
        <f ca="1">financials[[#This Row],[Gross Sales]]-financials[[#This Row],[Discounts]]</f>
        <v>18230.5</v>
      </c>
      <c r="L1026" s="1">
        <f ca="1">financials[[#This Row],[Units Sold]]*financials[[#This Row],[Manufacturing Price]]</f>
        <v>8585</v>
      </c>
      <c r="M1026" s="1">
        <f ca="1">financials[[#This Row],[Sales]]-financials[[#This Row],[COGS]]</f>
        <v>9645.5</v>
      </c>
      <c r="N1026" s="7">
        <f t="shared" ca="1" si="31"/>
        <v>45587</v>
      </c>
      <c r="O1026" s="8">
        <f ca="1">MONTH(financials[[#This Row],[Date]])</f>
        <v>10</v>
      </c>
      <c r="P1026" s="6" t="str">
        <f ca="1">TEXT(financials[[#This Row],[Date]],"MMM")</f>
        <v>Oct</v>
      </c>
      <c r="Q1026">
        <f ca="1">YEAR(financials[[#This Row],[Date]])</f>
        <v>2024</v>
      </c>
    </row>
    <row r="1027" spans="1:17" x14ac:dyDescent="0.3">
      <c r="A1027" t="s">
        <v>16</v>
      </c>
      <c r="B1027" t="s">
        <v>17</v>
      </c>
      <c r="C1027" s="6" t="s">
        <v>31</v>
      </c>
      <c r="D1027" s="6" t="str">
        <f>CONCATENATE(financials[[#This Row],[Segment]],",",financials[[#This Row],[Country]],",",financials[[#This Row],[Product]])</f>
        <v>Government,Canada,Amarilla</v>
      </c>
      <c r="E1027" s="6" t="s">
        <v>33</v>
      </c>
      <c r="F1027">
        <f t="shared" ref="F1027:F1090" ca="1" si="32">RANDBETWEEN(10,1000)</f>
        <v>505</v>
      </c>
      <c r="G1027" s="1">
        <f ca="1">VLOOKUP(financials[[#This Row],[ID]],Prices!D:F,2,FALSE)</f>
        <v>11</v>
      </c>
      <c r="H1027" s="1">
        <f ca="1">VLOOKUP(financials[[#This Row],[ID]],Prices!D:F,3,FALSE)</f>
        <v>29</v>
      </c>
      <c r="I1027" s="1">
        <f ca="1">financials[[#This Row],[Units Sold]]*financials[[#This Row],[Sale Price]]</f>
        <v>14645</v>
      </c>
      <c r="J10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732.25</v>
      </c>
      <c r="K1027" s="1">
        <f ca="1">financials[[#This Row],[Gross Sales]]-financials[[#This Row],[Discounts]]</f>
        <v>13912.75</v>
      </c>
      <c r="L1027" s="1">
        <f ca="1">financials[[#This Row],[Units Sold]]*financials[[#This Row],[Manufacturing Price]]</f>
        <v>5555</v>
      </c>
      <c r="M1027" s="1">
        <f ca="1">financials[[#This Row],[Sales]]-financials[[#This Row],[COGS]]</f>
        <v>8357.75</v>
      </c>
      <c r="N1027" s="7">
        <f t="shared" ref="N1027:N1090" ca="1" si="33">TODAY()-RANDBETWEEN(1,732)</f>
        <v>45470</v>
      </c>
      <c r="O1027" s="8">
        <f ca="1">MONTH(financials[[#This Row],[Date]])</f>
        <v>6</v>
      </c>
      <c r="P1027" s="6" t="str">
        <f ca="1">TEXT(financials[[#This Row],[Date]],"MMM")</f>
        <v>Jun</v>
      </c>
      <c r="Q1027">
        <f ca="1">YEAR(financials[[#This Row],[Date]])</f>
        <v>2024</v>
      </c>
    </row>
    <row r="1028" spans="1:17" x14ac:dyDescent="0.3">
      <c r="A1028" t="s">
        <v>16</v>
      </c>
      <c r="B1028" t="s">
        <v>36</v>
      </c>
      <c r="C1028" s="6" t="s">
        <v>18</v>
      </c>
      <c r="D1028" s="6" t="str">
        <f>CONCATENATE(financials[[#This Row],[Segment]],",",financials[[#This Row],[Country]],",",financials[[#This Row],[Product]])</f>
        <v>Government,USA,Carretera</v>
      </c>
      <c r="E1028" s="6" t="s">
        <v>33</v>
      </c>
      <c r="F1028">
        <f t="shared" ca="1" si="32"/>
        <v>923</v>
      </c>
      <c r="G1028" s="1">
        <f ca="1">VLOOKUP(financials[[#This Row],[ID]],Prices!D:F,2,FALSE)</f>
        <v>11</v>
      </c>
      <c r="H1028" s="1">
        <f ca="1">VLOOKUP(financials[[#This Row],[ID]],Prices!D:F,3,FALSE)</f>
        <v>21</v>
      </c>
      <c r="I1028" s="1">
        <f ca="1">financials[[#This Row],[Units Sold]]*financials[[#This Row],[Sale Price]]</f>
        <v>19383</v>
      </c>
      <c r="J10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969.15000000000009</v>
      </c>
      <c r="K1028" s="1">
        <f ca="1">financials[[#This Row],[Gross Sales]]-financials[[#This Row],[Discounts]]</f>
        <v>18413.849999999999</v>
      </c>
      <c r="L1028" s="1">
        <f ca="1">financials[[#This Row],[Units Sold]]*financials[[#This Row],[Manufacturing Price]]</f>
        <v>10153</v>
      </c>
      <c r="M1028" s="1">
        <f ca="1">financials[[#This Row],[Sales]]-financials[[#This Row],[COGS]]</f>
        <v>8260.8499999999985</v>
      </c>
      <c r="N1028" s="7">
        <f t="shared" ca="1" si="33"/>
        <v>45100</v>
      </c>
      <c r="O1028" s="8">
        <f ca="1">MONTH(financials[[#This Row],[Date]])</f>
        <v>6</v>
      </c>
      <c r="P1028" s="6" t="str">
        <f ca="1">TEXT(financials[[#This Row],[Date]],"MMM")</f>
        <v>Jun</v>
      </c>
      <c r="Q1028">
        <f ca="1">YEAR(financials[[#This Row],[Date]])</f>
        <v>2023</v>
      </c>
    </row>
    <row r="1029" spans="1:17" x14ac:dyDescent="0.3">
      <c r="A1029" t="s">
        <v>27</v>
      </c>
      <c r="B1029" t="s">
        <v>22</v>
      </c>
      <c r="C1029" s="6" t="s">
        <v>18</v>
      </c>
      <c r="D1029" s="6" t="str">
        <f>CONCATENATE(financials[[#This Row],[Segment]],",",financials[[#This Row],[Country]],",",financials[[#This Row],[Product]])</f>
        <v>Small Business,France,Carretera</v>
      </c>
      <c r="E1029" s="6" t="s">
        <v>33</v>
      </c>
      <c r="F1029">
        <f t="shared" ca="1" si="32"/>
        <v>679</v>
      </c>
      <c r="G1029" s="1">
        <f ca="1">VLOOKUP(financials[[#This Row],[ID]],Prices!D:F,2,FALSE)</f>
        <v>12</v>
      </c>
      <c r="H1029" s="1">
        <f ca="1">VLOOKUP(financials[[#This Row],[ID]],Prices!D:F,3,FALSE)</f>
        <v>31</v>
      </c>
      <c r="I1029" s="1">
        <f ca="1">financials[[#This Row],[Units Sold]]*financials[[#This Row],[Sale Price]]</f>
        <v>21049</v>
      </c>
      <c r="J10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1052.45</v>
      </c>
      <c r="K1029" s="1">
        <f ca="1">financials[[#This Row],[Gross Sales]]-financials[[#This Row],[Discounts]]</f>
        <v>19996.55</v>
      </c>
      <c r="L1029" s="1">
        <f ca="1">financials[[#This Row],[Units Sold]]*financials[[#This Row],[Manufacturing Price]]</f>
        <v>8148</v>
      </c>
      <c r="M1029" s="1">
        <f ca="1">financials[[#This Row],[Sales]]-financials[[#This Row],[COGS]]</f>
        <v>11848.55</v>
      </c>
      <c r="N1029" s="7">
        <f t="shared" ca="1" si="33"/>
        <v>45225</v>
      </c>
      <c r="O1029" s="8">
        <f ca="1">MONTH(financials[[#This Row],[Date]])</f>
        <v>10</v>
      </c>
      <c r="P1029" s="6" t="str">
        <f ca="1">TEXT(financials[[#This Row],[Date]],"MMM")</f>
        <v>Oct</v>
      </c>
      <c r="Q1029">
        <f ca="1">YEAR(financials[[#This Row],[Date]])</f>
        <v>2023</v>
      </c>
    </row>
    <row r="1030" spans="1:17" x14ac:dyDescent="0.3">
      <c r="A1030" t="s">
        <v>27</v>
      </c>
      <c r="B1030" t="s">
        <v>22</v>
      </c>
      <c r="C1030" s="6" t="s">
        <v>18</v>
      </c>
      <c r="D1030" s="6" t="str">
        <f>CONCATENATE(financials[[#This Row],[Segment]],",",financials[[#This Row],[Country]],",",financials[[#This Row],[Product]])</f>
        <v>Small Business,France,Carretera</v>
      </c>
      <c r="E1030" s="6" t="s">
        <v>33</v>
      </c>
      <c r="F1030">
        <f t="shared" ca="1" si="32"/>
        <v>606</v>
      </c>
      <c r="G1030" s="1">
        <f ca="1">VLOOKUP(financials[[#This Row],[ID]],Prices!D:F,2,FALSE)</f>
        <v>12</v>
      </c>
      <c r="H1030" s="1">
        <f ca="1">VLOOKUP(financials[[#This Row],[ID]],Prices!D:F,3,FALSE)</f>
        <v>31</v>
      </c>
      <c r="I1030" s="1">
        <f ca="1">financials[[#This Row],[Units Sold]]*financials[[#This Row],[Sale Price]]</f>
        <v>18786</v>
      </c>
      <c r="J10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939.30000000000007</v>
      </c>
      <c r="K1030" s="1">
        <f ca="1">financials[[#This Row],[Gross Sales]]-financials[[#This Row],[Discounts]]</f>
        <v>17846.7</v>
      </c>
      <c r="L1030" s="1">
        <f ca="1">financials[[#This Row],[Units Sold]]*financials[[#This Row],[Manufacturing Price]]</f>
        <v>7272</v>
      </c>
      <c r="M1030" s="1">
        <f ca="1">financials[[#This Row],[Sales]]-financials[[#This Row],[COGS]]</f>
        <v>10574.7</v>
      </c>
      <c r="N1030" s="7">
        <f t="shared" ca="1" si="33"/>
        <v>45471</v>
      </c>
      <c r="O1030" s="8">
        <f ca="1">MONTH(financials[[#This Row],[Date]])</f>
        <v>6</v>
      </c>
      <c r="P1030" s="6" t="str">
        <f ca="1">TEXT(financials[[#This Row],[Date]],"MMM")</f>
        <v>Jun</v>
      </c>
      <c r="Q1030">
        <f ca="1">YEAR(financials[[#This Row],[Date]])</f>
        <v>2024</v>
      </c>
    </row>
    <row r="1031" spans="1:17" x14ac:dyDescent="0.3">
      <c r="A1031" t="s">
        <v>16</v>
      </c>
      <c r="B1031" t="s">
        <v>22</v>
      </c>
      <c r="C1031" s="6" t="s">
        <v>24</v>
      </c>
      <c r="D1031" s="6" t="str">
        <f>CONCATENATE(financials[[#This Row],[Segment]],",",financials[[#This Row],[Country]],",",financials[[#This Row],[Product]])</f>
        <v>Government,France,Montana</v>
      </c>
      <c r="E1031" s="6" t="s">
        <v>33</v>
      </c>
      <c r="F1031">
        <f t="shared" ca="1" si="32"/>
        <v>756</v>
      </c>
      <c r="G1031" s="1">
        <f ca="1">VLOOKUP(financials[[#This Row],[ID]],Prices!D:F,2,FALSE)</f>
        <v>19</v>
      </c>
      <c r="H1031" s="1">
        <f ca="1">VLOOKUP(financials[[#This Row],[ID]],Prices!D:F,3,FALSE)</f>
        <v>22</v>
      </c>
      <c r="I1031" s="1">
        <f ca="1">financials[[#This Row],[Units Sold]]*financials[[#This Row],[Sale Price]]</f>
        <v>16632</v>
      </c>
      <c r="J10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831.6</v>
      </c>
      <c r="K1031" s="1">
        <f ca="1">financials[[#This Row],[Gross Sales]]-financials[[#This Row],[Discounts]]</f>
        <v>15800.4</v>
      </c>
      <c r="L1031" s="1">
        <f ca="1">financials[[#This Row],[Units Sold]]*financials[[#This Row],[Manufacturing Price]]</f>
        <v>14364</v>
      </c>
      <c r="M1031" s="1">
        <f ca="1">financials[[#This Row],[Sales]]-financials[[#This Row],[COGS]]</f>
        <v>1436.3999999999996</v>
      </c>
      <c r="N1031" s="7">
        <f t="shared" ca="1" si="33"/>
        <v>45276</v>
      </c>
      <c r="O1031" s="8">
        <f ca="1">MONTH(financials[[#This Row],[Date]])</f>
        <v>12</v>
      </c>
      <c r="P1031" s="6" t="str">
        <f ca="1">TEXT(financials[[#This Row],[Date]],"MMM")</f>
        <v>Dec</v>
      </c>
      <c r="Q1031">
        <f ca="1">YEAR(financials[[#This Row],[Date]])</f>
        <v>2023</v>
      </c>
    </row>
    <row r="1032" spans="1:17" x14ac:dyDescent="0.3">
      <c r="A1032" t="s">
        <v>27</v>
      </c>
      <c r="B1032" t="s">
        <v>22</v>
      </c>
      <c r="C1032" s="6" t="s">
        <v>24</v>
      </c>
      <c r="D1032" s="6" t="str">
        <f>CONCATENATE(financials[[#This Row],[Segment]],",",financials[[#This Row],[Country]],",",financials[[#This Row],[Product]])</f>
        <v>Small Business,France,Montana</v>
      </c>
      <c r="E1032" s="6" t="s">
        <v>33</v>
      </c>
      <c r="F1032">
        <f t="shared" ca="1" si="32"/>
        <v>18</v>
      </c>
      <c r="G1032" s="1">
        <f ca="1">VLOOKUP(financials[[#This Row],[ID]],Prices!D:F,2,FALSE)</f>
        <v>14</v>
      </c>
      <c r="H1032" s="1">
        <f ca="1">VLOOKUP(financials[[#This Row],[ID]],Prices!D:F,3,FALSE)</f>
        <v>35</v>
      </c>
      <c r="I1032" s="1">
        <f ca="1">financials[[#This Row],[Units Sold]]*financials[[#This Row],[Sale Price]]</f>
        <v>630</v>
      </c>
      <c r="J10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6.3</v>
      </c>
      <c r="K1032" s="1">
        <f ca="1">financials[[#This Row],[Gross Sales]]-financials[[#This Row],[Discounts]]</f>
        <v>623.70000000000005</v>
      </c>
      <c r="L1032" s="1">
        <f ca="1">financials[[#This Row],[Units Sold]]*financials[[#This Row],[Manufacturing Price]]</f>
        <v>252</v>
      </c>
      <c r="M1032" s="1">
        <f ca="1">financials[[#This Row],[Sales]]-financials[[#This Row],[COGS]]</f>
        <v>371.70000000000005</v>
      </c>
      <c r="N1032" s="7">
        <f t="shared" ca="1" si="33"/>
        <v>45446</v>
      </c>
      <c r="O1032" s="8">
        <f ca="1">MONTH(financials[[#This Row],[Date]])</f>
        <v>6</v>
      </c>
      <c r="P1032" s="6" t="str">
        <f ca="1">TEXT(financials[[#This Row],[Date]],"MMM")</f>
        <v>Jun</v>
      </c>
      <c r="Q1032">
        <f ca="1">YEAR(financials[[#This Row],[Date]])</f>
        <v>2024</v>
      </c>
    </row>
    <row r="1033" spans="1:17" x14ac:dyDescent="0.3">
      <c r="A1033" t="s">
        <v>26</v>
      </c>
      <c r="B1033" t="s">
        <v>20</v>
      </c>
      <c r="C1033" s="6" t="s">
        <v>24</v>
      </c>
      <c r="D1033" s="6" t="str">
        <f>CONCATENATE(financials[[#This Row],[Segment]],",",financials[[#This Row],[Country]],",",financials[[#This Row],[Product]])</f>
        <v>Enterprise,Germany,Montana</v>
      </c>
      <c r="E1033" s="6" t="s">
        <v>33</v>
      </c>
      <c r="F1033">
        <f t="shared" ca="1" si="32"/>
        <v>547</v>
      </c>
      <c r="G1033" s="1">
        <f ca="1">VLOOKUP(financials[[#This Row],[ID]],Prices!D:F,2,FALSE)</f>
        <v>17</v>
      </c>
      <c r="H1033" s="1">
        <f ca="1">VLOOKUP(financials[[#This Row],[ID]],Prices!D:F,3,FALSE)</f>
        <v>22</v>
      </c>
      <c r="I1033" s="1">
        <f ca="1">financials[[#This Row],[Units Sold]]*financials[[#This Row],[Sale Price]]</f>
        <v>12034</v>
      </c>
      <c r="J10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601.70000000000005</v>
      </c>
      <c r="K1033" s="1">
        <f ca="1">financials[[#This Row],[Gross Sales]]-financials[[#This Row],[Discounts]]</f>
        <v>11432.3</v>
      </c>
      <c r="L1033" s="1">
        <f ca="1">financials[[#This Row],[Units Sold]]*financials[[#This Row],[Manufacturing Price]]</f>
        <v>9299</v>
      </c>
      <c r="M1033" s="1">
        <f ca="1">financials[[#This Row],[Sales]]-financials[[#This Row],[COGS]]</f>
        <v>2133.2999999999993</v>
      </c>
      <c r="N1033" s="7">
        <f t="shared" ca="1" si="33"/>
        <v>45451</v>
      </c>
      <c r="O1033" s="8">
        <f ca="1">MONTH(financials[[#This Row],[Date]])</f>
        <v>6</v>
      </c>
      <c r="P1033" s="6" t="str">
        <f ca="1">TEXT(financials[[#This Row],[Date]],"MMM")</f>
        <v>Jun</v>
      </c>
      <c r="Q1033">
        <f ca="1">YEAR(financials[[#This Row],[Date]])</f>
        <v>2024</v>
      </c>
    </row>
    <row r="1034" spans="1:17" x14ac:dyDescent="0.3">
      <c r="A1034" t="s">
        <v>27</v>
      </c>
      <c r="B1034" t="s">
        <v>17</v>
      </c>
      <c r="C1034" s="6" t="s">
        <v>28</v>
      </c>
      <c r="D1034" s="6" t="str">
        <f>CONCATENATE(financials[[#This Row],[Segment]],",",financials[[#This Row],[Country]],",",financials[[#This Row],[Product]])</f>
        <v>Small Business,Canada,Paseo</v>
      </c>
      <c r="E1034" s="6" t="s">
        <v>33</v>
      </c>
      <c r="F1034">
        <f t="shared" ca="1" si="32"/>
        <v>130</v>
      </c>
      <c r="G1034" s="1">
        <f ca="1">VLOOKUP(financials[[#This Row],[ID]],Prices!D:F,2,FALSE)</f>
        <v>20</v>
      </c>
      <c r="H1034" s="1">
        <f ca="1">VLOOKUP(financials[[#This Row],[ID]],Prices!D:F,3,FALSE)</f>
        <v>31</v>
      </c>
      <c r="I1034" s="1">
        <f ca="1">financials[[#This Row],[Units Sold]]*financials[[#This Row],[Sale Price]]</f>
        <v>4030</v>
      </c>
      <c r="J10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201.5</v>
      </c>
      <c r="K1034" s="1">
        <f ca="1">financials[[#This Row],[Gross Sales]]-financials[[#This Row],[Discounts]]</f>
        <v>3828.5</v>
      </c>
      <c r="L1034" s="1">
        <f ca="1">financials[[#This Row],[Units Sold]]*financials[[#This Row],[Manufacturing Price]]</f>
        <v>2600</v>
      </c>
      <c r="M1034" s="1">
        <f ca="1">financials[[#This Row],[Sales]]-financials[[#This Row],[COGS]]</f>
        <v>1228.5</v>
      </c>
      <c r="N1034" s="7">
        <f t="shared" ca="1" si="33"/>
        <v>45075</v>
      </c>
      <c r="O1034" s="8">
        <f ca="1">MONTH(financials[[#This Row],[Date]])</f>
        <v>5</v>
      </c>
      <c r="P1034" s="6" t="str">
        <f ca="1">TEXT(financials[[#This Row],[Date]],"MMM")</f>
        <v>May</v>
      </c>
      <c r="Q1034">
        <f ca="1">YEAR(financials[[#This Row],[Date]])</f>
        <v>2023</v>
      </c>
    </row>
    <row r="1035" spans="1:17" x14ac:dyDescent="0.3">
      <c r="A1035" t="s">
        <v>27</v>
      </c>
      <c r="B1035" t="s">
        <v>22</v>
      </c>
      <c r="C1035" s="6" t="s">
        <v>28</v>
      </c>
      <c r="D1035" s="6" t="str">
        <f>CONCATENATE(financials[[#This Row],[Segment]],",",financials[[#This Row],[Country]],",",financials[[#This Row],[Product]])</f>
        <v>Small Business,France,Paseo</v>
      </c>
      <c r="E1035" s="6" t="s">
        <v>33</v>
      </c>
      <c r="F1035">
        <f t="shared" ca="1" si="32"/>
        <v>523</v>
      </c>
      <c r="G1035" s="1">
        <f ca="1">VLOOKUP(financials[[#This Row],[ID]],Prices!D:F,2,FALSE)</f>
        <v>16</v>
      </c>
      <c r="H1035" s="1">
        <f ca="1">VLOOKUP(financials[[#This Row],[ID]],Prices!D:F,3,FALSE)</f>
        <v>29</v>
      </c>
      <c r="I1035" s="1">
        <f ca="1">financials[[#This Row],[Units Sold]]*financials[[#This Row],[Sale Price]]</f>
        <v>15167</v>
      </c>
      <c r="J10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758.35</v>
      </c>
      <c r="K1035" s="1">
        <f ca="1">financials[[#This Row],[Gross Sales]]-financials[[#This Row],[Discounts]]</f>
        <v>14408.65</v>
      </c>
      <c r="L1035" s="1">
        <f ca="1">financials[[#This Row],[Units Sold]]*financials[[#This Row],[Manufacturing Price]]</f>
        <v>8368</v>
      </c>
      <c r="M1035" s="1">
        <f ca="1">financials[[#This Row],[Sales]]-financials[[#This Row],[COGS]]</f>
        <v>6040.65</v>
      </c>
      <c r="N1035" s="7">
        <f t="shared" ca="1" si="33"/>
        <v>45611</v>
      </c>
      <c r="O1035" s="8">
        <f ca="1">MONTH(financials[[#This Row],[Date]])</f>
        <v>11</v>
      </c>
      <c r="P1035" s="6" t="str">
        <f ca="1">TEXT(financials[[#This Row],[Date]],"MMM")</f>
        <v>Nov</v>
      </c>
      <c r="Q1035">
        <f ca="1">YEAR(financials[[#This Row],[Date]])</f>
        <v>2024</v>
      </c>
    </row>
    <row r="1036" spans="1:17" x14ac:dyDescent="0.3">
      <c r="A1036" t="s">
        <v>26</v>
      </c>
      <c r="B1036" t="s">
        <v>20</v>
      </c>
      <c r="C1036" s="6" t="s">
        <v>28</v>
      </c>
      <c r="D1036" s="6" t="str">
        <f>CONCATENATE(financials[[#This Row],[Segment]],",",financials[[#This Row],[Country]],",",financials[[#This Row],[Product]])</f>
        <v>Enterprise,Germany,Paseo</v>
      </c>
      <c r="E1036" s="6" t="s">
        <v>33</v>
      </c>
      <c r="F1036">
        <f t="shared" ca="1" si="32"/>
        <v>846</v>
      </c>
      <c r="G1036" s="1">
        <f ca="1">VLOOKUP(financials[[#This Row],[ID]],Prices!D:F,2,FALSE)</f>
        <v>14</v>
      </c>
      <c r="H1036" s="1">
        <f ca="1">VLOOKUP(financials[[#This Row],[ID]],Prices!D:F,3,FALSE)</f>
        <v>18</v>
      </c>
      <c r="I1036" s="1">
        <f ca="1">financials[[#This Row],[Units Sold]]*financials[[#This Row],[Sale Price]]</f>
        <v>15228</v>
      </c>
      <c r="J10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761.40000000000009</v>
      </c>
      <c r="K1036" s="1">
        <f ca="1">financials[[#This Row],[Gross Sales]]-financials[[#This Row],[Discounts]]</f>
        <v>14466.6</v>
      </c>
      <c r="L1036" s="1">
        <f ca="1">financials[[#This Row],[Units Sold]]*financials[[#This Row],[Manufacturing Price]]</f>
        <v>11844</v>
      </c>
      <c r="M1036" s="1">
        <f ca="1">financials[[#This Row],[Sales]]-financials[[#This Row],[COGS]]</f>
        <v>2622.6000000000004</v>
      </c>
      <c r="N1036" s="7">
        <f t="shared" ca="1" si="33"/>
        <v>45032</v>
      </c>
      <c r="O1036" s="8">
        <f ca="1">MONTH(financials[[#This Row],[Date]])</f>
        <v>4</v>
      </c>
      <c r="P1036" s="6" t="str">
        <f ca="1">TEXT(financials[[#This Row],[Date]],"MMM")</f>
        <v>Apr</v>
      </c>
      <c r="Q1036">
        <f ca="1">YEAR(financials[[#This Row],[Date]])</f>
        <v>2023</v>
      </c>
    </row>
    <row r="1037" spans="1:17" x14ac:dyDescent="0.3">
      <c r="A1037" t="s">
        <v>21</v>
      </c>
      <c r="B1037" t="s">
        <v>22</v>
      </c>
      <c r="C1037" s="6" t="s">
        <v>28</v>
      </c>
      <c r="D1037" s="6" t="str">
        <f>CONCATENATE(financials[[#This Row],[Segment]],",",financials[[#This Row],[Country]],",",financials[[#This Row],[Product]])</f>
        <v>Midmarket,France,Paseo</v>
      </c>
      <c r="E1037" s="6" t="s">
        <v>33</v>
      </c>
      <c r="F1037">
        <f t="shared" ca="1" si="32"/>
        <v>551</v>
      </c>
      <c r="G1037" s="1">
        <f ca="1">VLOOKUP(financials[[#This Row],[ID]],Prices!D:F,2,FALSE)</f>
        <v>20</v>
      </c>
      <c r="H1037" s="1">
        <f ca="1">VLOOKUP(financials[[#This Row],[ID]],Prices!D:F,3,FALSE)</f>
        <v>38</v>
      </c>
      <c r="I1037" s="1">
        <f ca="1">financials[[#This Row],[Units Sold]]*financials[[#This Row],[Sale Price]]</f>
        <v>20938</v>
      </c>
      <c r="J10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1046.9000000000001</v>
      </c>
      <c r="K1037" s="1">
        <f ca="1">financials[[#This Row],[Gross Sales]]-financials[[#This Row],[Discounts]]</f>
        <v>19891.099999999999</v>
      </c>
      <c r="L1037" s="1">
        <f ca="1">financials[[#This Row],[Units Sold]]*financials[[#This Row],[Manufacturing Price]]</f>
        <v>11020</v>
      </c>
      <c r="M1037" s="1">
        <f ca="1">financials[[#This Row],[Sales]]-financials[[#This Row],[COGS]]</f>
        <v>8871.0999999999985</v>
      </c>
      <c r="N1037" s="7">
        <f t="shared" ca="1" si="33"/>
        <v>45711</v>
      </c>
      <c r="O1037" s="8">
        <f ca="1">MONTH(financials[[#This Row],[Date]])</f>
        <v>2</v>
      </c>
      <c r="P1037" s="6" t="str">
        <f ca="1">TEXT(financials[[#This Row],[Date]],"MMM")</f>
        <v>Feb</v>
      </c>
      <c r="Q1037">
        <f ca="1">YEAR(financials[[#This Row],[Date]])</f>
        <v>2025</v>
      </c>
    </row>
    <row r="1038" spans="1:17" x14ac:dyDescent="0.3">
      <c r="A1038" t="s">
        <v>21</v>
      </c>
      <c r="B1038" t="s">
        <v>36</v>
      </c>
      <c r="C1038" s="6" t="s">
        <v>28</v>
      </c>
      <c r="D1038" s="6" t="str">
        <f>CONCATENATE(financials[[#This Row],[Segment]],",",financials[[#This Row],[Country]],",",financials[[#This Row],[Product]])</f>
        <v>Midmarket,USA,Paseo</v>
      </c>
      <c r="E1038" s="6" t="s">
        <v>33</v>
      </c>
      <c r="F1038">
        <f t="shared" ca="1" si="32"/>
        <v>789</v>
      </c>
      <c r="G1038" s="1">
        <f ca="1">VLOOKUP(financials[[#This Row],[ID]],Prices!D:F,2,FALSE)</f>
        <v>13</v>
      </c>
      <c r="H1038" s="1">
        <f ca="1">VLOOKUP(financials[[#This Row],[ID]],Prices!D:F,3,FALSE)</f>
        <v>25</v>
      </c>
      <c r="I1038" s="1">
        <f ca="1">financials[[#This Row],[Units Sold]]*financials[[#This Row],[Sale Price]]</f>
        <v>19725</v>
      </c>
      <c r="J10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986.25</v>
      </c>
      <c r="K1038" s="1">
        <f ca="1">financials[[#This Row],[Gross Sales]]-financials[[#This Row],[Discounts]]</f>
        <v>18738.75</v>
      </c>
      <c r="L1038" s="1">
        <f ca="1">financials[[#This Row],[Units Sold]]*financials[[#This Row],[Manufacturing Price]]</f>
        <v>10257</v>
      </c>
      <c r="M1038" s="1">
        <f ca="1">financials[[#This Row],[Sales]]-financials[[#This Row],[COGS]]</f>
        <v>8481.75</v>
      </c>
      <c r="N1038" s="7">
        <f t="shared" ca="1" si="33"/>
        <v>45309</v>
      </c>
      <c r="O1038" s="8">
        <f ca="1">MONTH(financials[[#This Row],[Date]])</f>
        <v>1</v>
      </c>
      <c r="P1038" s="6" t="str">
        <f ca="1">TEXT(financials[[#This Row],[Date]],"MMM")</f>
        <v>Jan</v>
      </c>
      <c r="Q1038">
        <f ca="1">YEAR(financials[[#This Row],[Date]])</f>
        <v>2024</v>
      </c>
    </row>
    <row r="1039" spans="1:17" x14ac:dyDescent="0.3">
      <c r="A1039" t="s">
        <v>16</v>
      </c>
      <c r="B1039" t="s">
        <v>22</v>
      </c>
      <c r="C1039" s="6" t="s">
        <v>28</v>
      </c>
      <c r="D1039" s="6" t="str">
        <f>CONCATENATE(financials[[#This Row],[Segment]],",",financials[[#This Row],[Country]],",",financials[[#This Row],[Product]])</f>
        <v>Government,France,Paseo</v>
      </c>
      <c r="E1039" s="6" t="s">
        <v>33</v>
      </c>
      <c r="F1039">
        <f t="shared" ca="1" si="32"/>
        <v>775</v>
      </c>
      <c r="G1039" s="1">
        <f ca="1">VLOOKUP(financials[[#This Row],[ID]],Prices!D:F,2,FALSE)</f>
        <v>14</v>
      </c>
      <c r="H1039" s="1">
        <f ca="1">VLOOKUP(financials[[#This Row],[ID]],Prices!D:F,3,FALSE)</f>
        <v>18</v>
      </c>
      <c r="I1039" s="1">
        <f ca="1">financials[[#This Row],[Units Sold]]*financials[[#This Row],[Sale Price]]</f>
        <v>13950</v>
      </c>
      <c r="J10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697.5</v>
      </c>
      <c r="K1039" s="1">
        <f ca="1">financials[[#This Row],[Gross Sales]]-financials[[#This Row],[Discounts]]</f>
        <v>13252.5</v>
      </c>
      <c r="L1039" s="1">
        <f ca="1">financials[[#This Row],[Units Sold]]*financials[[#This Row],[Manufacturing Price]]</f>
        <v>10850</v>
      </c>
      <c r="M1039" s="1">
        <f ca="1">financials[[#This Row],[Sales]]-financials[[#This Row],[COGS]]</f>
        <v>2402.5</v>
      </c>
      <c r="N1039" s="7">
        <f t="shared" ca="1" si="33"/>
        <v>45584</v>
      </c>
      <c r="O1039" s="8">
        <f ca="1">MONTH(financials[[#This Row],[Date]])</f>
        <v>10</v>
      </c>
      <c r="P1039" s="6" t="str">
        <f ca="1">TEXT(financials[[#This Row],[Date]],"MMM")</f>
        <v>Oct</v>
      </c>
      <c r="Q1039">
        <f ca="1">YEAR(financials[[#This Row],[Date]])</f>
        <v>2024</v>
      </c>
    </row>
    <row r="1040" spans="1:17" x14ac:dyDescent="0.3">
      <c r="A1040" t="s">
        <v>27</v>
      </c>
      <c r="B1040" t="s">
        <v>20</v>
      </c>
      <c r="C1040" s="6" t="s">
        <v>28</v>
      </c>
      <c r="D1040" s="6" t="str">
        <f>CONCATENATE(financials[[#This Row],[Segment]],",",financials[[#This Row],[Country]],",",financials[[#This Row],[Product]])</f>
        <v>Small Business,Germany,Paseo</v>
      </c>
      <c r="E1040" s="6" t="s">
        <v>33</v>
      </c>
      <c r="F1040">
        <f t="shared" ca="1" si="32"/>
        <v>856</v>
      </c>
      <c r="G1040" s="1">
        <f ca="1">VLOOKUP(financials[[#This Row],[ID]],Prices!D:F,2,FALSE)</f>
        <v>19</v>
      </c>
      <c r="H1040" s="1">
        <f ca="1">VLOOKUP(financials[[#This Row],[ID]],Prices!D:F,3,FALSE)</f>
        <v>25</v>
      </c>
      <c r="I1040" s="1">
        <f ca="1">financials[[#This Row],[Units Sold]]*financials[[#This Row],[Sale Price]]</f>
        <v>21400</v>
      </c>
      <c r="J10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1070</v>
      </c>
      <c r="K1040" s="1">
        <f ca="1">financials[[#This Row],[Gross Sales]]-financials[[#This Row],[Discounts]]</f>
        <v>20330</v>
      </c>
      <c r="L1040" s="1">
        <f ca="1">financials[[#This Row],[Units Sold]]*financials[[#This Row],[Manufacturing Price]]</f>
        <v>16264</v>
      </c>
      <c r="M1040" s="1">
        <f ca="1">financials[[#This Row],[Sales]]-financials[[#This Row],[COGS]]</f>
        <v>4066</v>
      </c>
      <c r="N1040" s="7">
        <f t="shared" ca="1" si="33"/>
        <v>45428</v>
      </c>
      <c r="O1040" s="8">
        <f ca="1">MONTH(financials[[#This Row],[Date]])</f>
        <v>5</v>
      </c>
      <c r="P1040" s="6" t="str">
        <f ca="1">TEXT(financials[[#This Row],[Date]],"MMM")</f>
        <v>May</v>
      </c>
      <c r="Q1040">
        <f ca="1">YEAR(financials[[#This Row],[Date]])</f>
        <v>2024</v>
      </c>
    </row>
    <row r="1041" spans="1:17" x14ac:dyDescent="0.3">
      <c r="A1041" t="s">
        <v>27</v>
      </c>
      <c r="B1041" t="s">
        <v>17</v>
      </c>
      <c r="C1041" s="6" t="s">
        <v>28</v>
      </c>
      <c r="D1041" s="6" t="str">
        <f>CONCATENATE(financials[[#This Row],[Segment]],",",financials[[#This Row],[Country]],",",financials[[#This Row],[Product]])</f>
        <v>Small Business,Canada,Paseo</v>
      </c>
      <c r="E1041" s="6" t="s">
        <v>33</v>
      </c>
      <c r="F1041">
        <f t="shared" ca="1" si="32"/>
        <v>63</v>
      </c>
      <c r="G1041" s="1">
        <f ca="1">VLOOKUP(financials[[#This Row],[ID]],Prices!D:F,2,FALSE)</f>
        <v>20</v>
      </c>
      <c r="H1041" s="1">
        <f ca="1">VLOOKUP(financials[[#This Row],[ID]],Prices!D:F,3,FALSE)</f>
        <v>31</v>
      </c>
      <c r="I1041" s="1">
        <f ca="1">financials[[#This Row],[Units Sold]]*financials[[#This Row],[Sale Price]]</f>
        <v>1953</v>
      </c>
      <c r="J10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97.65</v>
      </c>
      <c r="K1041" s="1">
        <f ca="1">financials[[#This Row],[Gross Sales]]-financials[[#This Row],[Discounts]]</f>
        <v>1855.35</v>
      </c>
      <c r="L1041" s="1">
        <f ca="1">financials[[#This Row],[Units Sold]]*financials[[#This Row],[Manufacturing Price]]</f>
        <v>1260</v>
      </c>
      <c r="M1041" s="1">
        <f ca="1">financials[[#This Row],[Sales]]-financials[[#This Row],[COGS]]</f>
        <v>595.34999999999991</v>
      </c>
      <c r="N1041" s="7">
        <f t="shared" ca="1" si="33"/>
        <v>45661</v>
      </c>
      <c r="O1041" s="8">
        <f ca="1">MONTH(financials[[#This Row],[Date]])</f>
        <v>1</v>
      </c>
      <c r="P1041" s="6" t="str">
        <f ca="1">TEXT(financials[[#This Row],[Date]],"MMM")</f>
        <v>Jan</v>
      </c>
      <c r="Q1041">
        <f ca="1">YEAR(financials[[#This Row],[Date]])</f>
        <v>2025</v>
      </c>
    </row>
    <row r="1042" spans="1:17" x14ac:dyDescent="0.3">
      <c r="A1042" t="s">
        <v>25</v>
      </c>
      <c r="B1042" t="s">
        <v>23</v>
      </c>
      <c r="C1042" s="6" t="s">
        <v>28</v>
      </c>
      <c r="D1042" s="6" t="str">
        <f>CONCATENATE(financials[[#This Row],[Segment]],",",financials[[#This Row],[Country]],",",financials[[#This Row],[Product]])</f>
        <v>Channel Partners,Mexico,Paseo</v>
      </c>
      <c r="E1042" s="6" t="s">
        <v>33</v>
      </c>
      <c r="F1042">
        <f t="shared" ca="1" si="32"/>
        <v>710</v>
      </c>
      <c r="G1042" s="1">
        <f ca="1">VLOOKUP(financials[[#This Row],[ID]],Prices!D:F,2,FALSE)</f>
        <v>13</v>
      </c>
      <c r="H1042" s="1">
        <f ca="1">VLOOKUP(financials[[#This Row],[ID]],Prices!D:F,3,FALSE)</f>
        <v>21</v>
      </c>
      <c r="I1042" s="1">
        <f ca="1">financials[[#This Row],[Units Sold]]*financials[[#This Row],[Sale Price]]</f>
        <v>14910</v>
      </c>
      <c r="J10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745.5</v>
      </c>
      <c r="K1042" s="1">
        <f ca="1">financials[[#This Row],[Gross Sales]]-financials[[#This Row],[Discounts]]</f>
        <v>14164.5</v>
      </c>
      <c r="L1042" s="1">
        <f ca="1">financials[[#This Row],[Units Sold]]*financials[[#This Row],[Manufacturing Price]]</f>
        <v>9230</v>
      </c>
      <c r="M1042" s="1">
        <f ca="1">financials[[#This Row],[Sales]]-financials[[#This Row],[COGS]]</f>
        <v>4934.5</v>
      </c>
      <c r="N1042" s="7">
        <f t="shared" ca="1" si="33"/>
        <v>45444</v>
      </c>
      <c r="O1042" s="8">
        <f ca="1">MONTH(financials[[#This Row],[Date]])</f>
        <v>6</v>
      </c>
      <c r="P1042" s="6" t="str">
        <f ca="1">TEXT(financials[[#This Row],[Date]],"MMM")</f>
        <v>Jun</v>
      </c>
      <c r="Q1042">
        <f ca="1">YEAR(financials[[#This Row],[Date]])</f>
        <v>2024</v>
      </c>
    </row>
    <row r="1043" spans="1:17" x14ac:dyDescent="0.3">
      <c r="A1043" t="s">
        <v>16</v>
      </c>
      <c r="B1043" t="s">
        <v>20</v>
      </c>
      <c r="C1043" s="6" t="s">
        <v>28</v>
      </c>
      <c r="D1043" s="6" t="str">
        <f>CONCATENATE(financials[[#This Row],[Segment]],",",financials[[#This Row],[Country]],",",financials[[#This Row],[Product]])</f>
        <v>Government,Germany,Paseo</v>
      </c>
      <c r="E1043" s="6" t="s">
        <v>33</v>
      </c>
      <c r="F1043">
        <f t="shared" ca="1" si="32"/>
        <v>701</v>
      </c>
      <c r="G1043" s="1">
        <f ca="1">VLOOKUP(financials[[#This Row],[ID]],Prices!D:F,2,FALSE)</f>
        <v>19</v>
      </c>
      <c r="H1043" s="1">
        <f ca="1">VLOOKUP(financials[[#This Row],[ID]],Prices!D:F,3,FALSE)</f>
        <v>37</v>
      </c>
      <c r="I1043" s="1">
        <f ca="1">financials[[#This Row],[Units Sold]]*financials[[#This Row],[Sale Price]]</f>
        <v>25937</v>
      </c>
      <c r="J10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1296.8500000000001</v>
      </c>
      <c r="K1043" s="1">
        <f ca="1">financials[[#This Row],[Gross Sales]]-financials[[#This Row],[Discounts]]</f>
        <v>24640.15</v>
      </c>
      <c r="L1043" s="1">
        <f ca="1">financials[[#This Row],[Units Sold]]*financials[[#This Row],[Manufacturing Price]]</f>
        <v>13319</v>
      </c>
      <c r="M1043" s="1">
        <f ca="1">financials[[#This Row],[Sales]]-financials[[#This Row],[COGS]]</f>
        <v>11321.150000000001</v>
      </c>
      <c r="N1043" s="7">
        <f t="shared" ca="1" si="33"/>
        <v>45579</v>
      </c>
      <c r="O1043" s="8">
        <f ca="1">MONTH(financials[[#This Row],[Date]])</f>
        <v>10</v>
      </c>
      <c r="P1043" s="6" t="str">
        <f ca="1">TEXT(financials[[#This Row],[Date]],"MMM")</f>
        <v>Oct</v>
      </c>
      <c r="Q1043">
        <f ca="1">YEAR(financials[[#This Row],[Date]])</f>
        <v>2024</v>
      </c>
    </row>
    <row r="1044" spans="1:17" x14ac:dyDescent="0.3">
      <c r="A1044" t="s">
        <v>27</v>
      </c>
      <c r="B1044" t="s">
        <v>22</v>
      </c>
      <c r="C1044" s="6" t="s">
        <v>29</v>
      </c>
      <c r="D1044" s="6" t="str">
        <f>CONCATENATE(financials[[#This Row],[Segment]],",",financials[[#This Row],[Country]],",",financials[[#This Row],[Product]])</f>
        <v>Small Business,France,Velo</v>
      </c>
      <c r="E1044" s="6" t="s">
        <v>33</v>
      </c>
      <c r="F1044">
        <f t="shared" ca="1" si="32"/>
        <v>139</v>
      </c>
      <c r="G1044" s="1">
        <f ca="1">VLOOKUP(financials[[#This Row],[ID]],Prices!D:F,2,FALSE)</f>
        <v>17</v>
      </c>
      <c r="H1044" s="1">
        <f ca="1">VLOOKUP(financials[[#This Row],[ID]],Prices!D:F,3,FALSE)</f>
        <v>22</v>
      </c>
      <c r="I1044" s="1">
        <f ca="1">financials[[#This Row],[Units Sold]]*financials[[#This Row],[Sale Price]]</f>
        <v>3058</v>
      </c>
      <c r="J10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152.9</v>
      </c>
      <c r="K1044" s="1">
        <f ca="1">financials[[#This Row],[Gross Sales]]-financials[[#This Row],[Discounts]]</f>
        <v>2905.1</v>
      </c>
      <c r="L1044" s="1">
        <f ca="1">financials[[#This Row],[Units Sold]]*financials[[#This Row],[Manufacturing Price]]</f>
        <v>2363</v>
      </c>
      <c r="M1044" s="1">
        <f ca="1">financials[[#This Row],[Sales]]-financials[[#This Row],[COGS]]</f>
        <v>542.09999999999991</v>
      </c>
      <c r="N1044" s="7">
        <f t="shared" ca="1" si="33"/>
        <v>45701</v>
      </c>
      <c r="O1044" s="8">
        <f ca="1">MONTH(financials[[#This Row],[Date]])</f>
        <v>2</v>
      </c>
      <c r="P1044" s="6" t="str">
        <f ca="1">TEXT(financials[[#This Row],[Date]],"MMM")</f>
        <v>Feb</v>
      </c>
      <c r="Q1044">
        <f ca="1">YEAR(financials[[#This Row],[Date]])</f>
        <v>2025</v>
      </c>
    </row>
    <row r="1045" spans="1:17" x14ac:dyDescent="0.3">
      <c r="A1045" t="s">
        <v>16</v>
      </c>
      <c r="B1045" t="s">
        <v>23</v>
      </c>
      <c r="C1045" s="6" t="s">
        <v>29</v>
      </c>
      <c r="D1045" s="6" t="str">
        <f>CONCATENATE(financials[[#This Row],[Segment]],",",financials[[#This Row],[Country]],",",financials[[#This Row],[Product]])</f>
        <v>Government,Mexico,Velo</v>
      </c>
      <c r="E1045" s="6" t="s">
        <v>33</v>
      </c>
      <c r="F1045">
        <f t="shared" ca="1" si="32"/>
        <v>270</v>
      </c>
      <c r="G1045" s="1">
        <f ca="1">VLOOKUP(financials[[#This Row],[ID]],Prices!D:F,2,FALSE)</f>
        <v>18</v>
      </c>
      <c r="H1045" s="1">
        <f ca="1">VLOOKUP(financials[[#This Row],[ID]],Prices!D:F,3,FALSE)</f>
        <v>36</v>
      </c>
      <c r="I1045" s="1">
        <f ca="1">financials[[#This Row],[Units Sold]]*financials[[#This Row],[Sale Price]]</f>
        <v>9720</v>
      </c>
      <c r="J10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486</v>
      </c>
      <c r="K1045" s="1">
        <f ca="1">financials[[#This Row],[Gross Sales]]-financials[[#This Row],[Discounts]]</f>
        <v>9234</v>
      </c>
      <c r="L1045" s="1">
        <f ca="1">financials[[#This Row],[Units Sold]]*financials[[#This Row],[Manufacturing Price]]</f>
        <v>4860</v>
      </c>
      <c r="M1045" s="1">
        <f ca="1">financials[[#This Row],[Sales]]-financials[[#This Row],[COGS]]</f>
        <v>4374</v>
      </c>
      <c r="N1045" s="7">
        <f t="shared" ca="1" si="33"/>
        <v>45627</v>
      </c>
      <c r="O1045" s="8">
        <f ca="1">MONTH(financials[[#This Row],[Date]])</f>
        <v>12</v>
      </c>
      <c r="P1045" s="6" t="str">
        <f ca="1">TEXT(financials[[#This Row],[Date]],"MMM")</f>
        <v>Dec</v>
      </c>
      <c r="Q1045">
        <f ca="1">YEAR(financials[[#This Row],[Date]])</f>
        <v>2024</v>
      </c>
    </row>
    <row r="1046" spans="1:17" x14ac:dyDescent="0.3">
      <c r="A1046" t="s">
        <v>26</v>
      </c>
      <c r="B1046" t="s">
        <v>20</v>
      </c>
      <c r="C1046" s="6" t="s">
        <v>29</v>
      </c>
      <c r="D1046" s="6" t="str">
        <f>CONCATENATE(financials[[#This Row],[Segment]],",",financials[[#This Row],[Country]],",",financials[[#This Row],[Product]])</f>
        <v>Enterprise,Germany,Velo</v>
      </c>
      <c r="E1046" s="6" t="s">
        <v>33</v>
      </c>
      <c r="F1046">
        <f t="shared" ca="1" si="32"/>
        <v>638</v>
      </c>
      <c r="G1046" s="1">
        <f ca="1">VLOOKUP(financials[[#This Row],[ID]],Prices!D:F,2,FALSE)</f>
        <v>16</v>
      </c>
      <c r="H1046" s="1">
        <f ca="1">VLOOKUP(financials[[#This Row],[ID]],Prices!D:F,3,FALSE)</f>
        <v>29</v>
      </c>
      <c r="I1046" s="1">
        <f ca="1">financials[[#This Row],[Units Sold]]*financials[[#This Row],[Sale Price]]</f>
        <v>18502</v>
      </c>
      <c r="J10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925.1</v>
      </c>
      <c r="K1046" s="1">
        <f ca="1">financials[[#This Row],[Gross Sales]]-financials[[#This Row],[Discounts]]</f>
        <v>17576.900000000001</v>
      </c>
      <c r="L1046" s="1">
        <f ca="1">financials[[#This Row],[Units Sold]]*financials[[#This Row],[Manufacturing Price]]</f>
        <v>10208</v>
      </c>
      <c r="M1046" s="1">
        <f ca="1">financials[[#This Row],[Sales]]-financials[[#This Row],[COGS]]</f>
        <v>7368.9000000000015</v>
      </c>
      <c r="N1046" s="7">
        <f t="shared" ca="1" si="33"/>
        <v>45675</v>
      </c>
      <c r="O1046" s="8">
        <f ca="1">MONTH(financials[[#This Row],[Date]])</f>
        <v>1</v>
      </c>
      <c r="P1046" s="6" t="str">
        <f ca="1">TEXT(financials[[#This Row],[Date]],"MMM")</f>
        <v>Jan</v>
      </c>
      <c r="Q1046">
        <f ca="1">YEAR(financials[[#This Row],[Date]])</f>
        <v>2025</v>
      </c>
    </row>
    <row r="1047" spans="1:17" x14ac:dyDescent="0.3">
      <c r="A1047" t="s">
        <v>16</v>
      </c>
      <c r="B1047" t="s">
        <v>22</v>
      </c>
      <c r="C1047" s="6" t="s">
        <v>29</v>
      </c>
      <c r="D1047" s="6" t="str">
        <f>CONCATENATE(financials[[#This Row],[Segment]],",",financials[[#This Row],[Country]],",",financials[[#This Row],[Product]])</f>
        <v>Government,France,Velo</v>
      </c>
      <c r="E1047" s="6" t="s">
        <v>33</v>
      </c>
      <c r="F1047">
        <f t="shared" ca="1" si="32"/>
        <v>380</v>
      </c>
      <c r="G1047" s="1">
        <f ca="1">VLOOKUP(financials[[#This Row],[ID]],Prices!D:F,2,FALSE)</f>
        <v>20</v>
      </c>
      <c r="H1047" s="1">
        <f ca="1">VLOOKUP(financials[[#This Row],[ID]],Prices!D:F,3,FALSE)</f>
        <v>36</v>
      </c>
      <c r="I1047" s="1">
        <f ca="1">financials[[#This Row],[Units Sold]]*financials[[#This Row],[Sale Price]]</f>
        <v>13680</v>
      </c>
      <c r="J10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684</v>
      </c>
      <c r="K1047" s="1">
        <f ca="1">financials[[#This Row],[Gross Sales]]-financials[[#This Row],[Discounts]]</f>
        <v>12996</v>
      </c>
      <c r="L1047" s="1">
        <f ca="1">financials[[#This Row],[Units Sold]]*financials[[#This Row],[Manufacturing Price]]</f>
        <v>7600</v>
      </c>
      <c r="M1047" s="1">
        <f ca="1">financials[[#This Row],[Sales]]-financials[[#This Row],[COGS]]</f>
        <v>5396</v>
      </c>
      <c r="N1047" s="7">
        <f t="shared" ca="1" si="33"/>
        <v>45716</v>
      </c>
      <c r="O1047" s="8">
        <f ca="1">MONTH(financials[[#This Row],[Date]])</f>
        <v>2</v>
      </c>
      <c r="P1047" s="6" t="str">
        <f ca="1">TEXT(financials[[#This Row],[Date]],"MMM")</f>
        <v>Feb</v>
      </c>
      <c r="Q1047">
        <f ca="1">YEAR(financials[[#This Row],[Date]])</f>
        <v>2025</v>
      </c>
    </row>
    <row r="1048" spans="1:17" x14ac:dyDescent="0.3">
      <c r="A1048" t="s">
        <v>16</v>
      </c>
      <c r="B1048" t="s">
        <v>36</v>
      </c>
      <c r="C1048" s="6" t="s">
        <v>29</v>
      </c>
      <c r="D1048" s="6" t="str">
        <f>CONCATENATE(financials[[#This Row],[Segment]],",",financials[[#This Row],[Country]],",",financials[[#This Row],[Product]])</f>
        <v>Government,USA,Velo</v>
      </c>
      <c r="E1048" s="6" t="s">
        <v>33</v>
      </c>
      <c r="F1048">
        <f t="shared" ca="1" si="32"/>
        <v>531</v>
      </c>
      <c r="G1048" s="1">
        <f ca="1">VLOOKUP(financials[[#This Row],[ID]],Prices!D:F,2,FALSE)</f>
        <v>18</v>
      </c>
      <c r="H1048" s="1">
        <f ca="1">VLOOKUP(financials[[#This Row],[ID]],Prices!D:F,3,FALSE)</f>
        <v>38</v>
      </c>
      <c r="I1048" s="1">
        <f ca="1">financials[[#This Row],[Units Sold]]*financials[[#This Row],[Sale Price]]</f>
        <v>20178</v>
      </c>
      <c r="J10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1008.9000000000001</v>
      </c>
      <c r="K1048" s="1">
        <f ca="1">financials[[#This Row],[Gross Sales]]-financials[[#This Row],[Discounts]]</f>
        <v>19169.099999999999</v>
      </c>
      <c r="L1048" s="1">
        <f ca="1">financials[[#This Row],[Units Sold]]*financials[[#This Row],[Manufacturing Price]]</f>
        <v>9558</v>
      </c>
      <c r="M1048" s="1">
        <f ca="1">financials[[#This Row],[Sales]]-financials[[#This Row],[COGS]]</f>
        <v>9611.0999999999985</v>
      </c>
      <c r="N1048" s="7">
        <f t="shared" ca="1" si="33"/>
        <v>45177</v>
      </c>
      <c r="O1048" s="8">
        <f ca="1">MONTH(financials[[#This Row],[Date]])</f>
        <v>9</v>
      </c>
      <c r="P1048" s="6" t="str">
        <f ca="1">TEXT(financials[[#This Row],[Date]],"MMM")</f>
        <v>Sep</v>
      </c>
      <c r="Q1048">
        <f ca="1">YEAR(financials[[#This Row],[Date]])</f>
        <v>2023</v>
      </c>
    </row>
    <row r="1049" spans="1:17" x14ac:dyDescent="0.3">
      <c r="A1049" t="s">
        <v>27</v>
      </c>
      <c r="B1049" t="s">
        <v>36</v>
      </c>
      <c r="C1049" s="6" t="s">
        <v>29</v>
      </c>
      <c r="D1049" s="6" t="str">
        <f>CONCATENATE(financials[[#This Row],[Segment]],",",financials[[#This Row],[Country]],",",financials[[#This Row],[Product]])</f>
        <v>Small Business,USA,Velo</v>
      </c>
      <c r="E1049" s="6" t="s">
        <v>33</v>
      </c>
      <c r="F1049">
        <f t="shared" ca="1" si="32"/>
        <v>593</v>
      </c>
      <c r="G1049" s="1">
        <f ca="1">VLOOKUP(financials[[#This Row],[ID]],Prices!D:F,2,FALSE)</f>
        <v>13</v>
      </c>
      <c r="H1049" s="1">
        <f ca="1">VLOOKUP(financials[[#This Row],[ID]],Prices!D:F,3,FALSE)</f>
        <v>22</v>
      </c>
      <c r="I1049" s="1">
        <f ca="1">financials[[#This Row],[Units Sold]]*financials[[#This Row],[Sale Price]]</f>
        <v>13046</v>
      </c>
      <c r="J10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652.30000000000007</v>
      </c>
      <c r="K1049" s="1">
        <f ca="1">financials[[#This Row],[Gross Sales]]-financials[[#This Row],[Discounts]]</f>
        <v>12393.7</v>
      </c>
      <c r="L1049" s="1">
        <f ca="1">financials[[#This Row],[Units Sold]]*financials[[#This Row],[Manufacturing Price]]</f>
        <v>7709</v>
      </c>
      <c r="M1049" s="1">
        <f ca="1">financials[[#This Row],[Sales]]-financials[[#This Row],[COGS]]</f>
        <v>4684.7000000000007</v>
      </c>
      <c r="N1049" s="7">
        <f t="shared" ca="1" si="33"/>
        <v>45227</v>
      </c>
      <c r="O1049" s="8">
        <f ca="1">MONTH(financials[[#This Row],[Date]])</f>
        <v>10</v>
      </c>
      <c r="P1049" s="6" t="str">
        <f ca="1">TEXT(financials[[#This Row],[Date]],"MMM")</f>
        <v>Oct</v>
      </c>
      <c r="Q1049">
        <f ca="1">YEAR(financials[[#This Row],[Date]])</f>
        <v>2023</v>
      </c>
    </row>
    <row r="1050" spans="1:17" x14ac:dyDescent="0.3">
      <c r="A1050" t="s">
        <v>16</v>
      </c>
      <c r="B1050" t="s">
        <v>20</v>
      </c>
      <c r="C1050" s="6" t="s">
        <v>29</v>
      </c>
      <c r="D1050" s="6" t="str">
        <f>CONCATENATE(financials[[#This Row],[Segment]],",",financials[[#This Row],[Country]],",",financials[[#This Row],[Product]])</f>
        <v>Government,Germany,Velo</v>
      </c>
      <c r="E1050" s="6" t="s">
        <v>33</v>
      </c>
      <c r="F1050">
        <f t="shared" ca="1" si="32"/>
        <v>433</v>
      </c>
      <c r="G1050" s="1">
        <f ca="1">VLOOKUP(financials[[#This Row],[ID]],Prices!D:F,2,FALSE)</f>
        <v>13</v>
      </c>
      <c r="H1050" s="1">
        <f ca="1">VLOOKUP(financials[[#This Row],[ID]],Prices!D:F,3,FALSE)</f>
        <v>19</v>
      </c>
      <c r="I1050" s="1">
        <f ca="1">financials[[#This Row],[Units Sold]]*financials[[#This Row],[Sale Price]]</f>
        <v>8227</v>
      </c>
      <c r="J10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411.35</v>
      </c>
      <c r="K1050" s="1">
        <f ca="1">financials[[#This Row],[Gross Sales]]-financials[[#This Row],[Discounts]]</f>
        <v>7815.65</v>
      </c>
      <c r="L1050" s="1">
        <f ca="1">financials[[#This Row],[Units Sold]]*financials[[#This Row],[Manufacturing Price]]</f>
        <v>5629</v>
      </c>
      <c r="M1050" s="1">
        <f ca="1">financials[[#This Row],[Sales]]-financials[[#This Row],[COGS]]</f>
        <v>2186.6499999999996</v>
      </c>
      <c r="N1050" s="7">
        <f t="shared" ca="1" si="33"/>
        <v>45436</v>
      </c>
      <c r="O1050" s="8">
        <f ca="1">MONTH(financials[[#This Row],[Date]])</f>
        <v>5</v>
      </c>
      <c r="P1050" s="6" t="str">
        <f ca="1">TEXT(financials[[#This Row],[Date]],"MMM")</f>
        <v>May</v>
      </c>
      <c r="Q1050">
        <f ca="1">YEAR(financials[[#This Row],[Date]])</f>
        <v>2024</v>
      </c>
    </row>
    <row r="1051" spans="1:17" x14ac:dyDescent="0.3">
      <c r="A1051" t="s">
        <v>25</v>
      </c>
      <c r="B1051" t="s">
        <v>17</v>
      </c>
      <c r="C1051" s="6" t="s">
        <v>30</v>
      </c>
      <c r="D1051" s="6" t="str">
        <f>CONCATENATE(financials[[#This Row],[Segment]],",",financials[[#This Row],[Country]],",",financials[[#This Row],[Product]])</f>
        <v>Channel Partners,Canada,VTT</v>
      </c>
      <c r="E1051" s="6" t="s">
        <v>33</v>
      </c>
      <c r="F1051">
        <f t="shared" ca="1" si="32"/>
        <v>406</v>
      </c>
      <c r="G1051" s="1">
        <f ca="1">VLOOKUP(financials[[#This Row],[ID]],Prices!D:F,2,FALSE)</f>
        <v>12</v>
      </c>
      <c r="H1051" s="1">
        <f ca="1">VLOOKUP(financials[[#This Row],[ID]],Prices!D:F,3,FALSE)</f>
        <v>27</v>
      </c>
      <c r="I1051" s="1">
        <f ca="1">financials[[#This Row],[Units Sold]]*financials[[#This Row],[Sale Price]]</f>
        <v>10962</v>
      </c>
      <c r="J10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548.1</v>
      </c>
      <c r="K1051" s="1">
        <f ca="1">financials[[#This Row],[Gross Sales]]-financials[[#This Row],[Discounts]]</f>
        <v>10413.9</v>
      </c>
      <c r="L1051" s="1">
        <f ca="1">financials[[#This Row],[Units Sold]]*financials[[#This Row],[Manufacturing Price]]</f>
        <v>4872</v>
      </c>
      <c r="M1051" s="1">
        <f ca="1">financials[[#This Row],[Sales]]-financials[[#This Row],[COGS]]</f>
        <v>5541.9</v>
      </c>
      <c r="N1051" s="7">
        <f t="shared" ca="1" si="33"/>
        <v>45440</v>
      </c>
      <c r="O1051" s="8">
        <f ca="1">MONTH(financials[[#This Row],[Date]])</f>
        <v>5</v>
      </c>
      <c r="P1051" s="6" t="str">
        <f ca="1">TEXT(financials[[#This Row],[Date]],"MMM")</f>
        <v>May</v>
      </c>
      <c r="Q1051">
        <f ca="1">YEAR(financials[[#This Row],[Date]])</f>
        <v>2024</v>
      </c>
    </row>
    <row r="1052" spans="1:17" x14ac:dyDescent="0.3">
      <c r="A1052" t="s">
        <v>27</v>
      </c>
      <c r="B1052" t="s">
        <v>22</v>
      </c>
      <c r="C1052" s="6" t="s">
        <v>30</v>
      </c>
      <c r="D1052" s="6" t="str">
        <f>CONCATENATE(financials[[#This Row],[Segment]],",",financials[[#This Row],[Country]],",",financials[[#This Row],[Product]])</f>
        <v>Small Business,France,VTT</v>
      </c>
      <c r="E1052" s="6" t="s">
        <v>33</v>
      </c>
      <c r="F1052">
        <f t="shared" ca="1" si="32"/>
        <v>85</v>
      </c>
      <c r="G1052" s="1">
        <f ca="1">VLOOKUP(financials[[#This Row],[ID]],Prices!D:F,2,FALSE)</f>
        <v>20</v>
      </c>
      <c r="H1052" s="1">
        <f ca="1">VLOOKUP(financials[[#This Row],[ID]],Prices!D:F,3,FALSE)</f>
        <v>24</v>
      </c>
      <c r="I1052" s="1">
        <f ca="1">financials[[#This Row],[Units Sold]]*financials[[#This Row],[Sale Price]]</f>
        <v>2040</v>
      </c>
      <c r="J10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102</v>
      </c>
      <c r="K1052" s="1">
        <f ca="1">financials[[#This Row],[Gross Sales]]-financials[[#This Row],[Discounts]]</f>
        <v>1938</v>
      </c>
      <c r="L1052" s="1">
        <f ca="1">financials[[#This Row],[Units Sold]]*financials[[#This Row],[Manufacturing Price]]</f>
        <v>1700</v>
      </c>
      <c r="M1052" s="1">
        <f ca="1">financials[[#This Row],[Sales]]-financials[[#This Row],[COGS]]</f>
        <v>238</v>
      </c>
      <c r="N1052" s="7">
        <f t="shared" ca="1" si="33"/>
        <v>45196</v>
      </c>
      <c r="O1052" s="8">
        <f ca="1">MONTH(financials[[#This Row],[Date]])</f>
        <v>9</v>
      </c>
      <c r="P1052" s="6" t="str">
        <f ca="1">TEXT(financials[[#This Row],[Date]],"MMM")</f>
        <v>Sep</v>
      </c>
      <c r="Q1052">
        <f ca="1">YEAR(financials[[#This Row],[Date]])</f>
        <v>2023</v>
      </c>
    </row>
    <row r="1053" spans="1:17" x14ac:dyDescent="0.3">
      <c r="A1053" t="s">
        <v>27</v>
      </c>
      <c r="B1053" t="s">
        <v>23</v>
      </c>
      <c r="C1053" s="6" t="s">
        <v>30</v>
      </c>
      <c r="D1053" s="6" t="str">
        <f>CONCATENATE(financials[[#This Row],[Segment]],",",financials[[#This Row],[Country]],",",financials[[#This Row],[Product]])</f>
        <v>Small Business,Mexico,VTT</v>
      </c>
      <c r="E1053" s="6" t="s">
        <v>33</v>
      </c>
      <c r="F1053">
        <f t="shared" ca="1" si="32"/>
        <v>154</v>
      </c>
      <c r="G1053" s="1">
        <f ca="1">VLOOKUP(financials[[#This Row],[ID]],Prices!D:F,2,FALSE)</f>
        <v>17</v>
      </c>
      <c r="H1053" s="1">
        <f ca="1">VLOOKUP(financials[[#This Row],[ID]],Prices!D:F,3,FALSE)</f>
        <v>36</v>
      </c>
      <c r="I1053" s="1">
        <f ca="1">financials[[#This Row],[Units Sold]]*financials[[#This Row],[Sale Price]]</f>
        <v>5544</v>
      </c>
      <c r="J10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277.2</v>
      </c>
      <c r="K1053" s="1">
        <f ca="1">financials[[#This Row],[Gross Sales]]-financials[[#This Row],[Discounts]]</f>
        <v>5266.8</v>
      </c>
      <c r="L1053" s="1">
        <f ca="1">financials[[#This Row],[Units Sold]]*financials[[#This Row],[Manufacturing Price]]</f>
        <v>2618</v>
      </c>
      <c r="M1053" s="1">
        <f ca="1">financials[[#This Row],[Sales]]-financials[[#This Row],[COGS]]</f>
        <v>2648.8</v>
      </c>
      <c r="N1053" s="7">
        <f t="shared" ca="1" si="33"/>
        <v>45439</v>
      </c>
      <c r="O1053" s="8">
        <f ca="1">MONTH(financials[[#This Row],[Date]])</f>
        <v>5</v>
      </c>
      <c r="P1053" s="6" t="str">
        <f ca="1">TEXT(financials[[#This Row],[Date]],"MMM")</f>
        <v>May</v>
      </c>
      <c r="Q1053">
        <f ca="1">YEAR(financials[[#This Row],[Date]])</f>
        <v>2024</v>
      </c>
    </row>
    <row r="1054" spans="1:17" x14ac:dyDescent="0.3">
      <c r="A1054" t="s">
        <v>26</v>
      </c>
      <c r="B1054" t="s">
        <v>17</v>
      </c>
      <c r="C1054" s="6" t="s">
        <v>31</v>
      </c>
      <c r="D1054" s="6" t="str">
        <f>CONCATENATE(financials[[#This Row],[Segment]],",",financials[[#This Row],[Country]],",",financials[[#This Row],[Product]])</f>
        <v>Enterprise,Canada,Amarilla</v>
      </c>
      <c r="E1054" s="6" t="s">
        <v>33</v>
      </c>
      <c r="F1054">
        <f t="shared" ca="1" si="32"/>
        <v>936</v>
      </c>
      <c r="G1054" s="1">
        <f ca="1">VLOOKUP(financials[[#This Row],[ID]],Prices!D:F,2,FALSE)</f>
        <v>18</v>
      </c>
      <c r="H1054" s="1">
        <f ca="1">VLOOKUP(financials[[#This Row],[ID]],Prices!D:F,3,FALSE)</f>
        <v>27</v>
      </c>
      <c r="I1054" s="1">
        <f ca="1">financials[[#This Row],[Units Sold]]*financials[[#This Row],[Sale Price]]</f>
        <v>25272</v>
      </c>
      <c r="J10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1263.6000000000001</v>
      </c>
      <c r="K1054" s="1">
        <f ca="1">financials[[#This Row],[Gross Sales]]-financials[[#This Row],[Discounts]]</f>
        <v>24008.400000000001</v>
      </c>
      <c r="L1054" s="1">
        <f ca="1">financials[[#This Row],[Units Sold]]*financials[[#This Row],[Manufacturing Price]]</f>
        <v>16848</v>
      </c>
      <c r="M1054" s="1">
        <f ca="1">financials[[#This Row],[Sales]]-financials[[#This Row],[COGS]]</f>
        <v>7160.4000000000015</v>
      </c>
      <c r="N1054" s="7">
        <f t="shared" ca="1" si="33"/>
        <v>45109</v>
      </c>
      <c r="O1054" s="8">
        <f ca="1">MONTH(financials[[#This Row],[Date]])</f>
        <v>7</v>
      </c>
      <c r="P1054" s="6" t="str">
        <f ca="1">TEXT(financials[[#This Row],[Date]],"MMM")</f>
        <v>Jul</v>
      </c>
      <c r="Q1054">
        <f ca="1">YEAR(financials[[#This Row],[Date]])</f>
        <v>2023</v>
      </c>
    </row>
    <row r="1055" spans="1:17" x14ac:dyDescent="0.3">
      <c r="A1055" t="s">
        <v>16</v>
      </c>
      <c r="B1055" t="s">
        <v>22</v>
      </c>
      <c r="C1055" s="6" t="s">
        <v>31</v>
      </c>
      <c r="D1055" s="6" t="str">
        <f>CONCATENATE(financials[[#This Row],[Segment]],",",financials[[#This Row],[Country]],",",financials[[#This Row],[Product]])</f>
        <v>Government,France,Amarilla</v>
      </c>
      <c r="E1055" s="6" t="s">
        <v>33</v>
      </c>
      <c r="F1055">
        <f t="shared" ca="1" si="32"/>
        <v>461</v>
      </c>
      <c r="G1055" s="1">
        <f ca="1">VLOOKUP(financials[[#This Row],[ID]],Prices!D:F,2,FALSE)</f>
        <v>10</v>
      </c>
      <c r="H1055" s="1">
        <f ca="1">VLOOKUP(financials[[#This Row],[ID]],Prices!D:F,3,FALSE)</f>
        <v>25</v>
      </c>
      <c r="I1055" s="1">
        <f ca="1">financials[[#This Row],[Units Sold]]*financials[[#This Row],[Sale Price]]</f>
        <v>11525</v>
      </c>
      <c r="J10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576.25</v>
      </c>
      <c r="K1055" s="1">
        <f ca="1">financials[[#This Row],[Gross Sales]]-financials[[#This Row],[Discounts]]</f>
        <v>10948.75</v>
      </c>
      <c r="L1055" s="1">
        <f ca="1">financials[[#This Row],[Units Sold]]*financials[[#This Row],[Manufacturing Price]]</f>
        <v>4610</v>
      </c>
      <c r="M1055" s="1">
        <f ca="1">financials[[#This Row],[Sales]]-financials[[#This Row],[COGS]]</f>
        <v>6338.75</v>
      </c>
      <c r="N1055" s="7">
        <f t="shared" ca="1" si="33"/>
        <v>45171</v>
      </c>
      <c r="O1055" s="8">
        <f ca="1">MONTH(financials[[#This Row],[Date]])</f>
        <v>9</v>
      </c>
      <c r="P1055" s="6" t="str">
        <f ca="1">TEXT(financials[[#This Row],[Date]],"MMM")</f>
        <v>Sep</v>
      </c>
      <c r="Q1055">
        <f ca="1">YEAR(financials[[#This Row],[Date]])</f>
        <v>2023</v>
      </c>
    </row>
    <row r="1056" spans="1:17" x14ac:dyDescent="0.3">
      <c r="A1056" t="s">
        <v>26</v>
      </c>
      <c r="B1056" t="s">
        <v>20</v>
      </c>
      <c r="C1056" s="6" t="s">
        <v>31</v>
      </c>
      <c r="D1056" s="6" t="str">
        <f>CONCATENATE(financials[[#This Row],[Segment]],",",financials[[#This Row],[Country]],",",financials[[#This Row],[Product]])</f>
        <v>Enterprise,Germany,Amarilla</v>
      </c>
      <c r="E1056" s="6" t="s">
        <v>33</v>
      </c>
      <c r="F1056">
        <f t="shared" ca="1" si="32"/>
        <v>383</v>
      </c>
      <c r="G1056" s="1">
        <f ca="1">VLOOKUP(financials[[#This Row],[ID]],Prices!D:F,2,FALSE)</f>
        <v>13</v>
      </c>
      <c r="H1056" s="1">
        <f ca="1">VLOOKUP(financials[[#This Row],[ID]],Prices!D:F,3,FALSE)</f>
        <v>21</v>
      </c>
      <c r="I1056" s="1">
        <f ca="1">financials[[#This Row],[Units Sold]]*financials[[#This Row],[Sale Price]]</f>
        <v>8043</v>
      </c>
      <c r="J10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402.15000000000003</v>
      </c>
      <c r="K1056" s="1">
        <f ca="1">financials[[#This Row],[Gross Sales]]-financials[[#This Row],[Discounts]]</f>
        <v>7640.85</v>
      </c>
      <c r="L1056" s="1">
        <f ca="1">financials[[#This Row],[Units Sold]]*financials[[#This Row],[Manufacturing Price]]</f>
        <v>4979</v>
      </c>
      <c r="M1056" s="1">
        <f ca="1">financials[[#This Row],[Sales]]-financials[[#This Row],[COGS]]</f>
        <v>2661.8500000000004</v>
      </c>
      <c r="N1056" s="7">
        <f t="shared" ca="1" si="33"/>
        <v>45424</v>
      </c>
      <c r="O1056" s="8">
        <f ca="1">MONTH(financials[[#This Row],[Date]])</f>
        <v>5</v>
      </c>
      <c r="P1056" s="6" t="str">
        <f ca="1">TEXT(financials[[#This Row],[Date]],"MMM")</f>
        <v>May</v>
      </c>
      <c r="Q1056">
        <f ca="1">YEAR(financials[[#This Row],[Date]])</f>
        <v>2024</v>
      </c>
    </row>
    <row r="1057" spans="1:17" x14ac:dyDescent="0.3">
      <c r="A1057" t="s">
        <v>16</v>
      </c>
      <c r="B1057" t="s">
        <v>17</v>
      </c>
      <c r="C1057" s="6" t="s">
        <v>31</v>
      </c>
      <c r="D1057" s="6" t="str">
        <f>CONCATENATE(financials[[#This Row],[Segment]],",",financials[[#This Row],[Country]],",",financials[[#This Row],[Product]])</f>
        <v>Government,Canada,Amarilla</v>
      </c>
      <c r="E1057" s="6" t="s">
        <v>33</v>
      </c>
      <c r="F1057">
        <f t="shared" ca="1" si="32"/>
        <v>631</v>
      </c>
      <c r="G1057" s="1">
        <f ca="1">VLOOKUP(financials[[#This Row],[ID]],Prices!D:F,2,FALSE)</f>
        <v>11</v>
      </c>
      <c r="H1057" s="1">
        <f ca="1">VLOOKUP(financials[[#This Row],[ID]],Prices!D:F,3,FALSE)</f>
        <v>29</v>
      </c>
      <c r="I1057" s="1">
        <f ca="1">financials[[#This Row],[Units Sold]]*financials[[#This Row],[Sale Price]]</f>
        <v>18299</v>
      </c>
      <c r="J10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914.95</v>
      </c>
      <c r="K1057" s="1">
        <f ca="1">financials[[#This Row],[Gross Sales]]-financials[[#This Row],[Discounts]]</f>
        <v>17384.05</v>
      </c>
      <c r="L1057" s="1">
        <f ca="1">financials[[#This Row],[Units Sold]]*financials[[#This Row],[Manufacturing Price]]</f>
        <v>6941</v>
      </c>
      <c r="M1057" s="1">
        <f ca="1">financials[[#This Row],[Sales]]-financials[[#This Row],[COGS]]</f>
        <v>10443.049999999999</v>
      </c>
      <c r="N1057" s="7">
        <f t="shared" ca="1" si="33"/>
        <v>45322</v>
      </c>
      <c r="O1057" s="8">
        <f ca="1">MONTH(financials[[#This Row],[Date]])</f>
        <v>1</v>
      </c>
      <c r="P1057" s="6" t="str">
        <f ca="1">TEXT(financials[[#This Row],[Date]],"MMM")</f>
        <v>Jan</v>
      </c>
      <c r="Q1057">
        <f ca="1">YEAR(financials[[#This Row],[Date]])</f>
        <v>2024</v>
      </c>
    </row>
    <row r="1058" spans="1:17" x14ac:dyDescent="0.3">
      <c r="A1058" t="s">
        <v>27</v>
      </c>
      <c r="B1058" t="s">
        <v>36</v>
      </c>
      <c r="C1058" s="6" t="s">
        <v>31</v>
      </c>
      <c r="D1058" s="6" t="str">
        <f>CONCATENATE(financials[[#This Row],[Segment]],",",financials[[#This Row],[Country]],",",financials[[#This Row],[Product]])</f>
        <v>Small Business,USA,Amarilla</v>
      </c>
      <c r="E1058" s="6" t="s">
        <v>33</v>
      </c>
      <c r="F1058">
        <f t="shared" ca="1" si="32"/>
        <v>525</v>
      </c>
      <c r="G1058" s="1">
        <f ca="1">VLOOKUP(financials[[#This Row],[ID]],Prices!D:F,2,FALSE)</f>
        <v>13</v>
      </c>
      <c r="H1058" s="1">
        <f ca="1">VLOOKUP(financials[[#This Row],[ID]],Prices!D:F,3,FALSE)</f>
        <v>33</v>
      </c>
      <c r="I1058" s="1">
        <f ca="1">financials[[#This Row],[Units Sold]]*financials[[#This Row],[Sale Price]]</f>
        <v>17325</v>
      </c>
      <c r="J10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866.25</v>
      </c>
      <c r="K1058" s="1">
        <f ca="1">financials[[#This Row],[Gross Sales]]-financials[[#This Row],[Discounts]]</f>
        <v>16458.75</v>
      </c>
      <c r="L1058" s="1">
        <f ca="1">financials[[#This Row],[Units Sold]]*financials[[#This Row],[Manufacturing Price]]</f>
        <v>6825</v>
      </c>
      <c r="M1058" s="1">
        <f ca="1">financials[[#This Row],[Sales]]-financials[[#This Row],[COGS]]</f>
        <v>9633.75</v>
      </c>
      <c r="N1058" s="7">
        <f t="shared" ca="1" si="33"/>
        <v>45608</v>
      </c>
      <c r="O1058" s="8">
        <f ca="1">MONTH(financials[[#This Row],[Date]])</f>
        <v>11</v>
      </c>
      <c r="P1058" s="6" t="str">
        <f ca="1">TEXT(financials[[#This Row],[Date]],"MMM")</f>
        <v>Nov</v>
      </c>
      <c r="Q1058">
        <f ca="1">YEAR(financials[[#This Row],[Date]])</f>
        <v>2024</v>
      </c>
    </row>
    <row r="1059" spans="1:17" x14ac:dyDescent="0.3">
      <c r="A1059" t="s">
        <v>16</v>
      </c>
      <c r="B1059" t="s">
        <v>17</v>
      </c>
      <c r="C1059" s="6" t="s">
        <v>24</v>
      </c>
      <c r="D1059" s="6" t="str">
        <f>CONCATENATE(financials[[#This Row],[Segment]],",",financials[[#This Row],[Country]],",",financials[[#This Row],[Product]])</f>
        <v>Government,Canada,Montana</v>
      </c>
      <c r="E1059" s="6" t="s">
        <v>33</v>
      </c>
      <c r="F1059">
        <f t="shared" ca="1" si="32"/>
        <v>679</v>
      </c>
      <c r="G1059" s="1">
        <f ca="1">VLOOKUP(financials[[#This Row],[ID]],Prices!D:F,2,FALSE)</f>
        <v>12</v>
      </c>
      <c r="H1059" s="1">
        <f ca="1">VLOOKUP(financials[[#This Row],[ID]],Prices!D:F,3,FALSE)</f>
        <v>30</v>
      </c>
      <c r="I1059" s="1">
        <f ca="1">financials[[#This Row],[Units Sold]]*financials[[#This Row],[Sale Price]]</f>
        <v>20370</v>
      </c>
      <c r="J10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1018.5</v>
      </c>
      <c r="K1059" s="1">
        <f ca="1">financials[[#This Row],[Gross Sales]]-financials[[#This Row],[Discounts]]</f>
        <v>19351.5</v>
      </c>
      <c r="L1059" s="1">
        <f ca="1">financials[[#This Row],[Units Sold]]*financials[[#This Row],[Manufacturing Price]]</f>
        <v>8148</v>
      </c>
      <c r="M1059" s="1">
        <f ca="1">financials[[#This Row],[Sales]]-financials[[#This Row],[COGS]]</f>
        <v>11203.5</v>
      </c>
      <c r="N1059" s="7">
        <f t="shared" ca="1" si="33"/>
        <v>45118</v>
      </c>
      <c r="O1059" s="8">
        <f ca="1">MONTH(financials[[#This Row],[Date]])</f>
        <v>7</v>
      </c>
      <c r="P1059" s="6" t="str">
        <f ca="1">TEXT(financials[[#This Row],[Date]],"MMM")</f>
        <v>Jul</v>
      </c>
      <c r="Q1059">
        <f ca="1">YEAR(financials[[#This Row],[Date]])</f>
        <v>2023</v>
      </c>
    </row>
    <row r="1060" spans="1:17" x14ac:dyDescent="0.3">
      <c r="A1060" t="s">
        <v>16</v>
      </c>
      <c r="B1060" t="s">
        <v>36</v>
      </c>
      <c r="C1060" s="6" t="s">
        <v>24</v>
      </c>
      <c r="D1060" s="6" t="str">
        <f>CONCATENATE(financials[[#This Row],[Segment]],",",financials[[#This Row],[Country]],",",financials[[#This Row],[Product]])</f>
        <v>Government,USA,Montana</v>
      </c>
      <c r="E1060" s="6" t="s">
        <v>33</v>
      </c>
      <c r="F1060">
        <f t="shared" ca="1" si="32"/>
        <v>581</v>
      </c>
      <c r="G1060" s="1">
        <f ca="1">VLOOKUP(financials[[#This Row],[ID]],Prices!D:F,2,FALSE)</f>
        <v>10</v>
      </c>
      <c r="H1060" s="1">
        <f ca="1">VLOOKUP(financials[[#This Row],[ID]],Prices!D:F,3,FALSE)</f>
        <v>34</v>
      </c>
      <c r="I1060" s="1">
        <f ca="1">financials[[#This Row],[Units Sold]]*financials[[#This Row],[Sale Price]]</f>
        <v>19754</v>
      </c>
      <c r="J10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987.7</v>
      </c>
      <c r="K1060" s="1">
        <f ca="1">financials[[#This Row],[Gross Sales]]-financials[[#This Row],[Discounts]]</f>
        <v>18766.3</v>
      </c>
      <c r="L1060" s="1">
        <f ca="1">financials[[#This Row],[Units Sold]]*financials[[#This Row],[Manufacturing Price]]</f>
        <v>5810</v>
      </c>
      <c r="M1060" s="1">
        <f ca="1">financials[[#This Row],[Sales]]-financials[[#This Row],[COGS]]</f>
        <v>12956.3</v>
      </c>
      <c r="N1060" s="7">
        <f t="shared" ca="1" si="33"/>
        <v>45238</v>
      </c>
      <c r="O1060" s="8">
        <f ca="1">MONTH(financials[[#This Row],[Date]])</f>
        <v>11</v>
      </c>
      <c r="P1060" s="6" t="str">
        <f ca="1">TEXT(financials[[#This Row],[Date]],"MMM")</f>
        <v>Nov</v>
      </c>
      <c r="Q1060">
        <f ca="1">YEAR(financials[[#This Row],[Date]])</f>
        <v>2023</v>
      </c>
    </row>
    <row r="1061" spans="1:17" x14ac:dyDescent="0.3">
      <c r="A1061" t="s">
        <v>16</v>
      </c>
      <c r="B1061" t="s">
        <v>17</v>
      </c>
      <c r="C1061" s="6" t="s">
        <v>28</v>
      </c>
      <c r="D1061" s="6" t="str">
        <f>CONCATENATE(financials[[#This Row],[Segment]],",",financials[[#This Row],[Country]],",",financials[[#This Row],[Product]])</f>
        <v>Government,Canada,Paseo</v>
      </c>
      <c r="E1061" s="6" t="s">
        <v>33</v>
      </c>
      <c r="F1061">
        <f t="shared" ca="1" si="32"/>
        <v>646</v>
      </c>
      <c r="G1061" s="1">
        <f ca="1">VLOOKUP(financials[[#This Row],[ID]],Prices!D:F,2,FALSE)</f>
        <v>10</v>
      </c>
      <c r="H1061" s="1">
        <f ca="1">VLOOKUP(financials[[#This Row],[ID]],Prices!D:F,3,FALSE)</f>
        <v>23</v>
      </c>
      <c r="I1061" s="1">
        <f ca="1">financials[[#This Row],[Units Sold]]*financials[[#This Row],[Sale Price]]</f>
        <v>14858</v>
      </c>
      <c r="J10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742.90000000000009</v>
      </c>
      <c r="K1061" s="1">
        <f ca="1">financials[[#This Row],[Gross Sales]]-financials[[#This Row],[Discounts]]</f>
        <v>14115.1</v>
      </c>
      <c r="L1061" s="1">
        <f ca="1">financials[[#This Row],[Units Sold]]*financials[[#This Row],[Manufacturing Price]]</f>
        <v>6460</v>
      </c>
      <c r="M1061" s="1">
        <f ca="1">financials[[#This Row],[Sales]]-financials[[#This Row],[COGS]]</f>
        <v>7655.1</v>
      </c>
      <c r="N1061" s="7">
        <f t="shared" ca="1" si="33"/>
        <v>45511</v>
      </c>
      <c r="O1061" s="8">
        <f ca="1">MONTH(financials[[#This Row],[Date]])</f>
        <v>8</v>
      </c>
      <c r="P1061" s="6" t="str">
        <f ca="1">TEXT(financials[[#This Row],[Date]],"MMM")</f>
        <v>Aug</v>
      </c>
      <c r="Q1061">
        <f ca="1">YEAR(financials[[#This Row],[Date]])</f>
        <v>2024</v>
      </c>
    </row>
    <row r="1062" spans="1:17" x14ac:dyDescent="0.3">
      <c r="A1062" t="s">
        <v>16</v>
      </c>
      <c r="B1062" t="s">
        <v>36</v>
      </c>
      <c r="C1062" s="6" t="s">
        <v>31</v>
      </c>
      <c r="D1062" s="6" t="str">
        <f>CONCATENATE(financials[[#This Row],[Segment]],",",financials[[#This Row],[Country]],",",financials[[#This Row],[Product]])</f>
        <v>Government,USA,Amarilla</v>
      </c>
      <c r="E1062" s="6" t="s">
        <v>33</v>
      </c>
      <c r="F1062">
        <f t="shared" ca="1" si="32"/>
        <v>391</v>
      </c>
      <c r="G1062" s="1">
        <f ca="1">VLOOKUP(financials[[#This Row],[ID]],Prices!D:F,2,FALSE)</f>
        <v>20</v>
      </c>
      <c r="H1062" s="1">
        <f ca="1">VLOOKUP(financials[[#This Row],[ID]],Prices!D:F,3,FALSE)</f>
        <v>37</v>
      </c>
      <c r="I1062" s="1">
        <f ca="1">financials[[#This Row],[Units Sold]]*financials[[#This Row],[Sale Price]]</f>
        <v>14467</v>
      </c>
      <c r="J10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723.35</v>
      </c>
      <c r="K1062" s="1">
        <f ca="1">financials[[#This Row],[Gross Sales]]-financials[[#This Row],[Discounts]]</f>
        <v>13743.65</v>
      </c>
      <c r="L1062" s="1">
        <f ca="1">financials[[#This Row],[Units Sold]]*financials[[#This Row],[Manufacturing Price]]</f>
        <v>7820</v>
      </c>
      <c r="M1062" s="1">
        <f ca="1">financials[[#This Row],[Sales]]-financials[[#This Row],[COGS]]</f>
        <v>5923.65</v>
      </c>
      <c r="N1062" s="7">
        <f t="shared" ca="1" si="33"/>
        <v>45058</v>
      </c>
      <c r="O1062" s="8">
        <f ca="1">MONTH(financials[[#This Row],[Date]])</f>
        <v>5</v>
      </c>
      <c r="P1062" s="6" t="str">
        <f ca="1">TEXT(financials[[#This Row],[Date]],"MMM")</f>
        <v>May</v>
      </c>
      <c r="Q1062">
        <f ca="1">YEAR(financials[[#This Row],[Date]])</f>
        <v>2023</v>
      </c>
    </row>
    <row r="1063" spans="1:17" x14ac:dyDescent="0.3">
      <c r="A1063" t="s">
        <v>26</v>
      </c>
      <c r="B1063" t="s">
        <v>23</v>
      </c>
      <c r="C1063" s="6" t="s">
        <v>18</v>
      </c>
      <c r="D1063" s="6" t="str">
        <f>CONCATENATE(financials[[#This Row],[Segment]],",",financials[[#This Row],[Country]],",",financials[[#This Row],[Product]])</f>
        <v>Enterprise,Mexico,Carretera</v>
      </c>
      <c r="E1063" s="6" t="s">
        <v>33</v>
      </c>
      <c r="F1063">
        <f t="shared" ca="1" si="32"/>
        <v>650</v>
      </c>
      <c r="G1063" s="1">
        <f ca="1">VLOOKUP(financials[[#This Row],[ID]],Prices!D:F,2,FALSE)</f>
        <v>17</v>
      </c>
      <c r="H1063" s="1">
        <f ca="1">VLOOKUP(financials[[#This Row],[ID]],Prices!D:F,3,FALSE)</f>
        <v>23</v>
      </c>
      <c r="I1063" s="1">
        <f ca="1">financials[[#This Row],[Units Sold]]*financials[[#This Row],[Sale Price]]</f>
        <v>14950</v>
      </c>
      <c r="J10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747.5</v>
      </c>
      <c r="K1063" s="1">
        <f ca="1">financials[[#This Row],[Gross Sales]]-financials[[#This Row],[Discounts]]</f>
        <v>14202.5</v>
      </c>
      <c r="L1063" s="1">
        <f ca="1">financials[[#This Row],[Units Sold]]*financials[[#This Row],[Manufacturing Price]]</f>
        <v>11050</v>
      </c>
      <c r="M1063" s="1">
        <f ca="1">financials[[#This Row],[Sales]]-financials[[#This Row],[COGS]]</f>
        <v>3152.5</v>
      </c>
      <c r="N1063" s="7">
        <f t="shared" ca="1" si="33"/>
        <v>45490</v>
      </c>
      <c r="O1063" s="8">
        <f ca="1">MONTH(financials[[#This Row],[Date]])</f>
        <v>7</v>
      </c>
      <c r="P1063" s="6" t="str">
        <f ca="1">TEXT(financials[[#This Row],[Date]],"MMM")</f>
        <v>Jul</v>
      </c>
      <c r="Q1063">
        <f ca="1">YEAR(financials[[#This Row],[Date]])</f>
        <v>2024</v>
      </c>
    </row>
    <row r="1064" spans="1:17" x14ac:dyDescent="0.3">
      <c r="A1064" t="s">
        <v>21</v>
      </c>
      <c r="B1064" t="s">
        <v>22</v>
      </c>
      <c r="C1064" s="6" t="s">
        <v>18</v>
      </c>
      <c r="D1064" s="6" t="str">
        <f>CONCATENATE(financials[[#This Row],[Segment]],",",financials[[#This Row],[Country]],",",financials[[#This Row],[Product]])</f>
        <v>Midmarket,France,Carretera</v>
      </c>
      <c r="E1064" s="6" t="s">
        <v>33</v>
      </c>
      <c r="F1064">
        <f t="shared" ca="1" si="32"/>
        <v>778</v>
      </c>
      <c r="G1064" s="1">
        <f ca="1">VLOOKUP(financials[[#This Row],[ID]],Prices!D:F,2,FALSE)</f>
        <v>19</v>
      </c>
      <c r="H1064" s="1">
        <f ca="1">VLOOKUP(financials[[#This Row],[ID]],Prices!D:F,3,FALSE)</f>
        <v>32</v>
      </c>
      <c r="I1064" s="1">
        <f ca="1">financials[[#This Row],[Units Sold]]*financials[[#This Row],[Sale Price]]</f>
        <v>24896</v>
      </c>
      <c r="J10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1244.8000000000002</v>
      </c>
      <c r="K1064" s="1">
        <f ca="1">financials[[#This Row],[Gross Sales]]-financials[[#This Row],[Discounts]]</f>
        <v>23651.200000000001</v>
      </c>
      <c r="L1064" s="1">
        <f ca="1">financials[[#This Row],[Units Sold]]*financials[[#This Row],[Manufacturing Price]]</f>
        <v>14782</v>
      </c>
      <c r="M1064" s="1">
        <f ca="1">financials[[#This Row],[Sales]]-financials[[#This Row],[COGS]]</f>
        <v>8869.2000000000007</v>
      </c>
      <c r="N1064" s="7">
        <f t="shared" ca="1" si="33"/>
        <v>45346</v>
      </c>
      <c r="O1064" s="8">
        <f ca="1">MONTH(financials[[#This Row],[Date]])</f>
        <v>2</v>
      </c>
      <c r="P1064" s="6" t="str">
        <f ca="1">TEXT(financials[[#This Row],[Date]],"MMM")</f>
        <v>Feb</v>
      </c>
      <c r="Q1064">
        <f ca="1">YEAR(financials[[#This Row],[Date]])</f>
        <v>2024</v>
      </c>
    </row>
    <row r="1065" spans="1:17" x14ac:dyDescent="0.3">
      <c r="A1065" t="s">
        <v>16</v>
      </c>
      <c r="B1065" t="s">
        <v>23</v>
      </c>
      <c r="C1065" s="6" t="s">
        <v>18</v>
      </c>
      <c r="D1065" s="6" t="str">
        <f>CONCATENATE(financials[[#This Row],[Segment]],",",financials[[#This Row],[Country]],",",financials[[#This Row],[Product]])</f>
        <v>Government,Mexico,Carretera</v>
      </c>
      <c r="E1065" s="6" t="s">
        <v>33</v>
      </c>
      <c r="F1065">
        <f t="shared" ca="1" si="32"/>
        <v>202</v>
      </c>
      <c r="G1065" s="1">
        <f ca="1">VLOOKUP(financials[[#This Row],[ID]],Prices!D:F,2,FALSE)</f>
        <v>16</v>
      </c>
      <c r="H1065" s="1">
        <f ca="1">VLOOKUP(financials[[#This Row],[ID]],Prices!D:F,3,FALSE)</f>
        <v>31</v>
      </c>
      <c r="I1065" s="1">
        <f ca="1">financials[[#This Row],[Units Sold]]*financials[[#This Row],[Sale Price]]</f>
        <v>6262</v>
      </c>
      <c r="J10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313.10000000000002</v>
      </c>
      <c r="K1065" s="1">
        <f ca="1">financials[[#This Row],[Gross Sales]]-financials[[#This Row],[Discounts]]</f>
        <v>5948.9</v>
      </c>
      <c r="L1065" s="1">
        <f ca="1">financials[[#This Row],[Units Sold]]*financials[[#This Row],[Manufacturing Price]]</f>
        <v>3232</v>
      </c>
      <c r="M1065" s="1">
        <f ca="1">financials[[#This Row],[Sales]]-financials[[#This Row],[COGS]]</f>
        <v>2716.8999999999996</v>
      </c>
      <c r="N1065" s="7">
        <f t="shared" ca="1" si="33"/>
        <v>45728</v>
      </c>
      <c r="O1065" s="8">
        <f ca="1">MONTH(financials[[#This Row],[Date]])</f>
        <v>3</v>
      </c>
      <c r="P1065" s="6" t="str">
        <f ca="1">TEXT(financials[[#This Row],[Date]],"MMM")</f>
        <v>Mar</v>
      </c>
      <c r="Q1065">
        <f ca="1">YEAR(financials[[#This Row],[Date]])</f>
        <v>2025</v>
      </c>
    </row>
    <row r="1066" spans="1:17" x14ac:dyDescent="0.3">
      <c r="A1066" t="s">
        <v>21</v>
      </c>
      <c r="B1066" t="s">
        <v>22</v>
      </c>
      <c r="C1066" s="6" t="s">
        <v>24</v>
      </c>
      <c r="D1066" s="6" t="str">
        <f>CONCATENATE(financials[[#This Row],[Segment]],",",financials[[#This Row],[Country]],",",financials[[#This Row],[Product]])</f>
        <v>Midmarket,France,Montana</v>
      </c>
      <c r="E1066" s="6" t="s">
        <v>33</v>
      </c>
      <c r="F1066">
        <f t="shared" ca="1" si="32"/>
        <v>737</v>
      </c>
      <c r="G1066" s="1">
        <f ca="1">VLOOKUP(financials[[#This Row],[ID]],Prices!D:F,2,FALSE)</f>
        <v>13</v>
      </c>
      <c r="H1066" s="1">
        <f ca="1">VLOOKUP(financials[[#This Row],[ID]],Prices!D:F,3,FALSE)</f>
        <v>37</v>
      </c>
      <c r="I1066" s="1">
        <f ca="1">financials[[#This Row],[Units Sold]]*financials[[#This Row],[Sale Price]]</f>
        <v>27269</v>
      </c>
      <c r="J10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1363.45</v>
      </c>
      <c r="K1066" s="1">
        <f ca="1">financials[[#This Row],[Gross Sales]]-financials[[#This Row],[Discounts]]</f>
        <v>25905.55</v>
      </c>
      <c r="L1066" s="1">
        <f ca="1">financials[[#This Row],[Units Sold]]*financials[[#This Row],[Manufacturing Price]]</f>
        <v>9581</v>
      </c>
      <c r="M1066" s="1">
        <f ca="1">financials[[#This Row],[Sales]]-financials[[#This Row],[COGS]]</f>
        <v>16324.55</v>
      </c>
      <c r="N1066" s="7">
        <f t="shared" ca="1" si="33"/>
        <v>45476</v>
      </c>
      <c r="O1066" s="8">
        <f ca="1">MONTH(financials[[#This Row],[Date]])</f>
        <v>7</v>
      </c>
      <c r="P1066" s="6" t="str">
        <f ca="1">TEXT(financials[[#This Row],[Date]],"MMM")</f>
        <v>Jul</v>
      </c>
      <c r="Q1066">
        <f ca="1">YEAR(financials[[#This Row],[Date]])</f>
        <v>2024</v>
      </c>
    </row>
    <row r="1067" spans="1:17" x14ac:dyDescent="0.3">
      <c r="A1067" t="s">
        <v>16</v>
      </c>
      <c r="B1067" t="s">
        <v>17</v>
      </c>
      <c r="C1067" s="6" t="s">
        <v>24</v>
      </c>
      <c r="D1067" s="6" t="str">
        <f>CONCATENATE(financials[[#This Row],[Segment]],",",financials[[#This Row],[Country]],",",financials[[#This Row],[Product]])</f>
        <v>Government,Canada,Montana</v>
      </c>
      <c r="E1067" s="6" t="s">
        <v>33</v>
      </c>
      <c r="F1067">
        <f t="shared" ca="1" si="32"/>
        <v>711</v>
      </c>
      <c r="G1067" s="1">
        <f ca="1">VLOOKUP(financials[[#This Row],[ID]],Prices!D:F,2,FALSE)</f>
        <v>12</v>
      </c>
      <c r="H1067" s="1">
        <f ca="1">VLOOKUP(financials[[#This Row],[ID]],Prices!D:F,3,FALSE)</f>
        <v>30</v>
      </c>
      <c r="I1067" s="1">
        <f ca="1">financials[[#This Row],[Units Sold]]*financials[[#This Row],[Sale Price]]</f>
        <v>21330</v>
      </c>
      <c r="J10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1066.5</v>
      </c>
      <c r="K1067" s="1">
        <f ca="1">financials[[#This Row],[Gross Sales]]-financials[[#This Row],[Discounts]]</f>
        <v>20263.5</v>
      </c>
      <c r="L1067" s="1">
        <f ca="1">financials[[#This Row],[Units Sold]]*financials[[#This Row],[Manufacturing Price]]</f>
        <v>8532</v>
      </c>
      <c r="M1067" s="1">
        <f ca="1">financials[[#This Row],[Sales]]-financials[[#This Row],[COGS]]</f>
        <v>11731.5</v>
      </c>
      <c r="N1067" s="7">
        <f t="shared" ca="1" si="33"/>
        <v>45201</v>
      </c>
      <c r="O1067" s="8">
        <f ca="1">MONTH(financials[[#This Row],[Date]])</f>
        <v>10</v>
      </c>
      <c r="P1067" s="6" t="str">
        <f ca="1">TEXT(financials[[#This Row],[Date]],"MMM")</f>
        <v>Oct</v>
      </c>
      <c r="Q1067">
        <f ca="1">YEAR(financials[[#This Row],[Date]])</f>
        <v>2023</v>
      </c>
    </row>
    <row r="1068" spans="1:17" x14ac:dyDescent="0.3">
      <c r="A1068" t="s">
        <v>16</v>
      </c>
      <c r="B1068" t="s">
        <v>20</v>
      </c>
      <c r="C1068" s="6" t="s">
        <v>24</v>
      </c>
      <c r="D1068" s="6" t="str">
        <f>CONCATENATE(financials[[#This Row],[Segment]],",",financials[[#This Row],[Country]],",",financials[[#This Row],[Product]])</f>
        <v>Government,Germany,Montana</v>
      </c>
      <c r="E1068" s="6" t="s">
        <v>33</v>
      </c>
      <c r="F1068">
        <f t="shared" ca="1" si="32"/>
        <v>428</v>
      </c>
      <c r="G1068" s="1">
        <f ca="1">VLOOKUP(financials[[#This Row],[ID]],Prices!D:F,2,FALSE)</f>
        <v>20</v>
      </c>
      <c r="H1068" s="1">
        <f ca="1">VLOOKUP(financials[[#This Row],[ID]],Prices!D:F,3,FALSE)</f>
        <v>27</v>
      </c>
      <c r="I1068" s="1">
        <f ca="1">financials[[#This Row],[Units Sold]]*financials[[#This Row],[Sale Price]]</f>
        <v>11556</v>
      </c>
      <c r="J10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577.80000000000007</v>
      </c>
      <c r="K1068" s="1">
        <f ca="1">financials[[#This Row],[Gross Sales]]-financials[[#This Row],[Discounts]]</f>
        <v>10978.2</v>
      </c>
      <c r="L1068" s="1">
        <f ca="1">financials[[#This Row],[Units Sold]]*financials[[#This Row],[Manufacturing Price]]</f>
        <v>8560</v>
      </c>
      <c r="M1068" s="1">
        <f ca="1">financials[[#This Row],[Sales]]-financials[[#This Row],[COGS]]</f>
        <v>2418.2000000000007</v>
      </c>
      <c r="N1068" s="7">
        <f t="shared" ca="1" si="33"/>
        <v>45508</v>
      </c>
      <c r="O1068" s="8">
        <f ca="1">MONTH(financials[[#This Row],[Date]])</f>
        <v>8</v>
      </c>
      <c r="P1068" s="6" t="str">
        <f ca="1">TEXT(financials[[#This Row],[Date]],"MMM")</f>
        <v>Aug</v>
      </c>
      <c r="Q1068">
        <f ca="1">YEAR(financials[[#This Row],[Date]])</f>
        <v>2024</v>
      </c>
    </row>
    <row r="1069" spans="1:17" x14ac:dyDescent="0.3">
      <c r="A1069" t="s">
        <v>27</v>
      </c>
      <c r="B1069" t="s">
        <v>22</v>
      </c>
      <c r="C1069" s="6" t="s">
        <v>24</v>
      </c>
      <c r="D1069" s="6" t="str">
        <f>CONCATENATE(financials[[#This Row],[Segment]],",",financials[[#This Row],[Country]],",",financials[[#This Row],[Product]])</f>
        <v>Small Business,France,Montana</v>
      </c>
      <c r="E1069" s="6" t="s">
        <v>33</v>
      </c>
      <c r="F1069">
        <f t="shared" ca="1" si="32"/>
        <v>208</v>
      </c>
      <c r="G1069" s="1">
        <f ca="1">VLOOKUP(financials[[#This Row],[ID]],Prices!D:F,2,FALSE)</f>
        <v>14</v>
      </c>
      <c r="H1069" s="1">
        <f ca="1">VLOOKUP(financials[[#This Row],[ID]],Prices!D:F,3,FALSE)</f>
        <v>35</v>
      </c>
      <c r="I1069" s="1">
        <f ca="1">financials[[#This Row],[Units Sold]]*financials[[#This Row],[Sale Price]]</f>
        <v>7280</v>
      </c>
      <c r="J10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364</v>
      </c>
      <c r="K1069" s="1">
        <f ca="1">financials[[#This Row],[Gross Sales]]-financials[[#This Row],[Discounts]]</f>
        <v>6916</v>
      </c>
      <c r="L1069" s="1">
        <f ca="1">financials[[#This Row],[Units Sold]]*financials[[#This Row],[Manufacturing Price]]</f>
        <v>2912</v>
      </c>
      <c r="M1069" s="1">
        <f ca="1">financials[[#This Row],[Sales]]-financials[[#This Row],[COGS]]</f>
        <v>4004</v>
      </c>
      <c r="N1069" s="7">
        <f t="shared" ca="1" si="33"/>
        <v>45447</v>
      </c>
      <c r="O1069" s="8">
        <f ca="1">MONTH(financials[[#This Row],[Date]])</f>
        <v>6</v>
      </c>
      <c r="P1069" s="6" t="str">
        <f ca="1">TEXT(financials[[#This Row],[Date]],"MMM")</f>
        <v>Jun</v>
      </c>
      <c r="Q1069">
        <f ca="1">YEAR(financials[[#This Row],[Date]])</f>
        <v>2024</v>
      </c>
    </row>
    <row r="1070" spans="1:17" x14ac:dyDescent="0.3">
      <c r="A1070" t="s">
        <v>27</v>
      </c>
      <c r="B1070" t="s">
        <v>17</v>
      </c>
      <c r="C1070" s="6" t="s">
        <v>24</v>
      </c>
      <c r="D1070" s="6" t="str">
        <f>CONCATENATE(financials[[#This Row],[Segment]],",",financials[[#This Row],[Country]],",",financials[[#This Row],[Product]])</f>
        <v>Small Business,Canada,Montana</v>
      </c>
      <c r="E1070" s="6" t="s">
        <v>33</v>
      </c>
      <c r="F1070">
        <f t="shared" ca="1" si="32"/>
        <v>621</v>
      </c>
      <c r="G1070" s="1">
        <f ca="1">VLOOKUP(financials[[#This Row],[ID]],Prices!D:F,2,FALSE)</f>
        <v>17</v>
      </c>
      <c r="H1070" s="1">
        <f ca="1">VLOOKUP(financials[[#This Row],[ID]],Prices!D:F,3,FALSE)</f>
        <v>21</v>
      </c>
      <c r="I1070" s="1">
        <f ca="1">financials[[#This Row],[Units Sold]]*financials[[#This Row],[Sale Price]]</f>
        <v>13041</v>
      </c>
      <c r="J10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652.05000000000007</v>
      </c>
      <c r="K1070" s="1">
        <f ca="1">financials[[#This Row],[Gross Sales]]-financials[[#This Row],[Discounts]]</f>
        <v>12388.95</v>
      </c>
      <c r="L1070" s="1">
        <f ca="1">financials[[#This Row],[Units Sold]]*financials[[#This Row],[Manufacturing Price]]</f>
        <v>10557</v>
      </c>
      <c r="M1070" s="1">
        <f ca="1">financials[[#This Row],[Sales]]-financials[[#This Row],[COGS]]</f>
        <v>1831.9500000000007</v>
      </c>
      <c r="N1070" s="7">
        <f t="shared" ca="1" si="33"/>
        <v>45494</v>
      </c>
      <c r="O1070" s="8">
        <f ca="1">MONTH(financials[[#This Row],[Date]])</f>
        <v>7</v>
      </c>
      <c r="P1070" s="6" t="str">
        <f ca="1">TEXT(financials[[#This Row],[Date]],"MMM")</f>
        <v>Jul</v>
      </c>
      <c r="Q1070">
        <f ca="1">YEAR(financials[[#This Row],[Date]])</f>
        <v>2024</v>
      </c>
    </row>
    <row r="1071" spans="1:17" x14ac:dyDescent="0.3">
      <c r="A1071" t="s">
        <v>21</v>
      </c>
      <c r="B1071" t="s">
        <v>20</v>
      </c>
      <c r="C1071" s="6" t="s">
        <v>24</v>
      </c>
      <c r="D1071" s="6" t="str">
        <f>CONCATENATE(financials[[#This Row],[Segment]],",",financials[[#This Row],[Country]],",",financials[[#This Row],[Product]])</f>
        <v>Midmarket,Germany,Montana</v>
      </c>
      <c r="E1071" s="6" t="s">
        <v>33</v>
      </c>
      <c r="F1071">
        <f t="shared" ca="1" si="32"/>
        <v>478</v>
      </c>
      <c r="G1071" s="1">
        <f ca="1">VLOOKUP(financials[[#This Row],[ID]],Prices!D:F,2,FALSE)</f>
        <v>19</v>
      </c>
      <c r="H1071" s="1">
        <f ca="1">VLOOKUP(financials[[#This Row],[ID]],Prices!D:F,3,FALSE)</f>
        <v>34</v>
      </c>
      <c r="I1071" s="1">
        <f ca="1">financials[[#This Row],[Units Sold]]*financials[[#This Row],[Sale Price]]</f>
        <v>16252</v>
      </c>
      <c r="J10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812.6</v>
      </c>
      <c r="K1071" s="1">
        <f ca="1">financials[[#This Row],[Gross Sales]]-financials[[#This Row],[Discounts]]</f>
        <v>15439.4</v>
      </c>
      <c r="L1071" s="1">
        <f ca="1">financials[[#This Row],[Units Sold]]*financials[[#This Row],[Manufacturing Price]]</f>
        <v>9082</v>
      </c>
      <c r="M1071" s="1">
        <f ca="1">financials[[#This Row],[Sales]]-financials[[#This Row],[COGS]]</f>
        <v>6357.4</v>
      </c>
      <c r="N1071" s="7">
        <f t="shared" ca="1" si="33"/>
        <v>45447</v>
      </c>
      <c r="O1071" s="8">
        <f ca="1">MONTH(financials[[#This Row],[Date]])</f>
        <v>6</v>
      </c>
      <c r="P1071" s="6" t="str">
        <f ca="1">TEXT(financials[[#This Row],[Date]],"MMM")</f>
        <v>Jun</v>
      </c>
      <c r="Q1071">
        <f ca="1">YEAR(financials[[#This Row],[Date]])</f>
        <v>2024</v>
      </c>
    </row>
    <row r="1072" spans="1:17" x14ac:dyDescent="0.3">
      <c r="A1072" t="s">
        <v>26</v>
      </c>
      <c r="B1072" t="s">
        <v>23</v>
      </c>
      <c r="C1072" s="6" t="s">
        <v>28</v>
      </c>
      <c r="D1072" s="6" t="str">
        <f>CONCATENATE(financials[[#This Row],[Segment]],",",financials[[#This Row],[Country]],",",financials[[#This Row],[Product]])</f>
        <v>Enterprise,Mexico,Paseo</v>
      </c>
      <c r="E1072" s="6" t="s">
        <v>33</v>
      </c>
      <c r="F1072">
        <f t="shared" ca="1" si="32"/>
        <v>219</v>
      </c>
      <c r="G1072" s="1">
        <f ca="1">VLOOKUP(financials[[#This Row],[ID]],Prices!D:F,2,FALSE)</f>
        <v>17</v>
      </c>
      <c r="H1072" s="1">
        <f ca="1">VLOOKUP(financials[[#This Row],[ID]],Prices!D:F,3,FALSE)</f>
        <v>27</v>
      </c>
      <c r="I1072" s="1">
        <f ca="1">financials[[#This Row],[Units Sold]]*financials[[#This Row],[Sale Price]]</f>
        <v>5913</v>
      </c>
      <c r="J10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295.65000000000003</v>
      </c>
      <c r="K1072" s="1">
        <f ca="1">financials[[#This Row],[Gross Sales]]-financials[[#This Row],[Discounts]]</f>
        <v>5617.35</v>
      </c>
      <c r="L1072" s="1">
        <f ca="1">financials[[#This Row],[Units Sold]]*financials[[#This Row],[Manufacturing Price]]</f>
        <v>3723</v>
      </c>
      <c r="M1072" s="1">
        <f ca="1">financials[[#This Row],[Sales]]-financials[[#This Row],[COGS]]</f>
        <v>1894.3500000000004</v>
      </c>
      <c r="N1072" s="7">
        <f t="shared" ca="1" si="33"/>
        <v>45295</v>
      </c>
      <c r="O1072" s="8">
        <f ca="1">MONTH(financials[[#This Row],[Date]])</f>
        <v>1</v>
      </c>
      <c r="P1072" s="6" t="str">
        <f ca="1">TEXT(financials[[#This Row],[Date]],"MMM")</f>
        <v>Jan</v>
      </c>
      <c r="Q1072">
        <f ca="1">YEAR(financials[[#This Row],[Date]])</f>
        <v>2024</v>
      </c>
    </row>
    <row r="1073" spans="1:17" x14ac:dyDescent="0.3">
      <c r="A1073" t="s">
        <v>16</v>
      </c>
      <c r="B1073" t="s">
        <v>20</v>
      </c>
      <c r="C1073" s="6" t="s">
        <v>28</v>
      </c>
      <c r="D1073" s="6" t="str">
        <f>CONCATENATE(financials[[#This Row],[Segment]],",",financials[[#This Row],[Country]],",",financials[[#This Row],[Product]])</f>
        <v>Government,Germany,Paseo</v>
      </c>
      <c r="E1073" s="6" t="s">
        <v>33</v>
      </c>
      <c r="F1073">
        <f t="shared" ca="1" si="32"/>
        <v>247</v>
      </c>
      <c r="G1073" s="1">
        <f ca="1">VLOOKUP(financials[[#This Row],[ID]],Prices!D:F,2,FALSE)</f>
        <v>19</v>
      </c>
      <c r="H1073" s="1">
        <f ca="1">VLOOKUP(financials[[#This Row],[ID]],Prices!D:F,3,FALSE)</f>
        <v>37</v>
      </c>
      <c r="I1073" s="1">
        <f ca="1">financials[[#This Row],[Units Sold]]*financials[[#This Row],[Sale Price]]</f>
        <v>9139</v>
      </c>
      <c r="J10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456.95000000000005</v>
      </c>
      <c r="K1073" s="1">
        <f ca="1">financials[[#This Row],[Gross Sales]]-financials[[#This Row],[Discounts]]</f>
        <v>8682.0499999999993</v>
      </c>
      <c r="L1073" s="1">
        <f ca="1">financials[[#This Row],[Units Sold]]*financials[[#This Row],[Manufacturing Price]]</f>
        <v>4693</v>
      </c>
      <c r="M1073" s="1">
        <f ca="1">financials[[#This Row],[Sales]]-financials[[#This Row],[COGS]]</f>
        <v>3989.0499999999993</v>
      </c>
      <c r="N1073" s="7">
        <f t="shared" ca="1" si="33"/>
        <v>45740</v>
      </c>
      <c r="O1073" s="8">
        <f ca="1">MONTH(financials[[#This Row],[Date]])</f>
        <v>3</v>
      </c>
      <c r="P1073" s="6" t="str">
        <f ca="1">TEXT(financials[[#This Row],[Date]],"MMM")</f>
        <v>Mar</v>
      </c>
      <c r="Q1073">
        <f ca="1">YEAR(financials[[#This Row],[Date]])</f>
        <v>2025</v>
      </c>
    </row>
    <row r="1074" spans="1:17" x14ac:dyDescent="0.3">
      <c r="A1074" t="s">
        <v>16</v>
      </c>
      <c r="B1074" t="s">
        <v>20</v>
      </c>
      <c r="C1074" s="6" t="s">
        <v>28</v>
      </c>
      <c r="D1074" s="6" t="str">
        <f>CONCATENATE(financials[[#This Row],[Segment]],",",financials[[#This Row],[Country]],",",financials[[#This Row],[Product]])</f>
        <v>Government,Germany,Paseo</v>
      </c>
      <c r="E1074" s="6" t="s">
        <v>33</v>
      </c>
      <c r="F1074">
        <f t="shared" ca="1" si="32"/>
        <v>30</v>
      </c>
      <c r="G1074" s="1">
        <f ca="1">VLOOKUP(financials[[#This Row],[ID]],Prices!D:F,2,FALSE)</f>
        <v>19</v>
      </c>
      <c r="H1074" s="1">
        <f ca="1">VLOOKUP(financials[[#This Row],[ID]],Prices!D:F,3,FALSE)</f>
        <v>37</v>
      </c>
      <c r="I1074" s="1">
        <f ca="1">financials[[#This Row],[Units Sold]]*financials[[#This Row],[Sale Price]]</f>
        <v>1110</v>
      </c>
      <c r="J10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55.5</v>
      </c>
      <c r="K1074" s="1">
        <f ca="1">financials[[#This Row],[Gross Sales]]-financials[[#This Row],[Discounts]]</f>
        <v>1054.5</v>
      </c>
      <c r="L1074" s="1">
        <f ca="1">financials[[#This Row],[Units Sold]]*financials[[#This Row],[Manufacturing Price]]</f>
        <v>570</v>
      </c>
      <c r="M1074" s="1">
        <f ca="1">financials[[#This Row],[Sales]]-financials[[#This Row],[COGS]]</f>
        <v>484.5</v>
      </c>
      <c r="N1074" s="7">
        <f t="shared" ca="1" si="33"/>
        <v>45101</v>
      </c>
      <c r="O1074" s="8">
        <f ca="1">MONTH(financials[[#This Row],[Date]])</f>
        <v>6</v>
      </c>
      <c r="P1074" s="6" t="str">
        <f ca="1">TEXT(financials[[#This Row],[Date]],"MMM")</f>
        <v>Jun</v>
      </c>
      <c r="Q1074">
        <f ca="1">YEAR(financials[[#This Row],[Date]])</f>
        <v>2023</v>
      </c>
    </row>
    <row r="1075" spans="1:17" x14ac:dyDescent="0.3">
      <c r="A1075" t="s">
        <v>16</v>
      </c>
      <c r="B1075" t="s">
        <v>20</v>
      </c>
      <c r="C1075" s="6" t="s">
        <v>28</v>
      </c>
      <c r="D1075" s="6" t="str">
        <f>CONCATENATE(financials[[#This Row],[Segment]],",",financials[[#This Row],[Country]],",",financials[[#This Row],[Product]])</f>
        <v>Government,Germany,Paseo</v>
      </c>
      <c r="E1075" s="6" t="s">
        <v>33</v>
      </c>
      <c r="F1075">
        <f t="shared" ca="1" si="32"/>
        <v>91</v>
      </c>
      <c r="G1075" s="1">
        <f ca="1">VLOOKUP(financials[[#This Row],[ID]],Prices!D:F,2,FALSE)</f>
        <v>19</v>
      </c>
      <c r="H1075" s="1">
        <f ca="1">VLOOKUP(financials[[#This Row],[ID]],Prices!D:F,3,FALSE)</f>
        <v>37</v>
      </c>
      <c r="I1075" s="1">
        <f ca="1">financials[[#This Row],[Units Sold]]*financials[[#This Row],[Sale Price]]</f>
        <v>3367</v>
      </c>
      <c r="J10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168.35000000000002</v>
      </c>
      <c r="K1075" s="1">
        <f ca="1">financials[[#This Row],[Gross Sales]]-financials[[#This Row],[Discounts]]</f>
        <v>3198.65</v>
      </c>
      <c r="L1075" s="1">
        <f ca="1">financials[[#This Row],[Units Sold]]*financials[[#This Row],[Manufacturing Price]]</f>
        <v>1729</v>
      </c>
      <c r="M1075" s="1">
        <f ca="1">financials[[#This Row],[Sales]]-financials[[#This Row],[COGS]]</f>
        <v>1469.65</v>
      </c>
      <c r="N1075" s="7">
        <f t="shared" ca="1" si="33"/>
        <v>45318</v>
      </c>
      <c r="O1075" s="8">
        <f ca="1">MONTH(financials[[#This Row],[Date]])</f>
        <v>1</v>
      </c>
      <c r="P1075" s="6" t="str">
        <f ca="1">TEXT(financials[[#This Row],[Date]],"MMM")</f>
        <v>Jan</v>
      </c>
      <c r="Q1075">
        <f ca="1">YEAR(financials[[#This Row],[Date]])</f>
        <v>2024</v>
      </c>
    </row>
    <row r="1076" spans="1:17" x14ac:dyDescent="0.3">
      <c r="A1076" t="s">
        <v>27</v>
      </c>
      <c r="B1076" t="s">
        <v>23</v>
      </c>
      <c r="C1076" s="6" t="s">
        <v>28</v>
      </c>
      <c r="D1076" s="6" t="str">
        <f>CONCATENATE(financials[[#This Row],[Segment]],",",financials[[#This Row],[Country]],",",financials[[#This Row],[Product]])</f>
        <v>Small Business,Mexico,Paseo</v>
      </c>
      <c r="E1076" s="6" t="s">
        <v>33</v>
      </c>
      <c r="F1076">
        <f t="shared" ca="1" si="32"/>
        <v>693</v>
      </c>
      <c r="G1076" s="1">
        <f ca="1">VLOOKUP(financials[[#This Row],[ID]],Prices!D:F,2,FALSE)</f>
        <v>20</v>
      </c>
      <c r="H1076" s="1">
        <f ca="1">VLOOKUP(financials[[#This Row],[ID]],Prices!D:F,3,FALSE)</f>
        <v>20</v>
      </c>
      <c r="I1076" s="1">
        <f ca="1">financials[[#This Row],[Units Sold]]*financials[[#This Row],[Sale Price]]</f>
        <v>13860</v>
      </c>
      <c r="J10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693</v>
      </c>
      <c r="K1076" s="1">
        <f ca="1">financials[[#This Row],[Gross Sales]]-financials[[#This Row],[Discounts]]</f>
        <v>13167</v>
      </c>
      <c r="L1076" s="1">
        <f ca="1">financials[[#This Row],[Units Sold]]*financials[[#This Row],[Manufacturing Price]]</f>
        <v>13860</v>
      </c>
      <c r="M1076" s="1">
        <f ca="1">financials[[#This Row],[Sales]]-financials[[#This Row],[COGS]]</f>
        <v>-693</v>
      </c>
      <c r="N1076" s="7">
        <f t="shared" ca="1" si="33"/>
        <v>45087</v>
      </c>
      <c r="O1076" s="8">
        <f ca="1">MONTH(financials[[#This Row],[Date]])</f>
        <v>6</v>
      </c>
      <c r="P1076" s="6" t="str">
        <f ca="1">TEXT(financials[[#This Row],[Date]],"MMM")</f>
        <v>Jun</v>
      </c>
      <c r="Q1076">
        <f ca="1">YEAR(financials[[#This Row],[Date]])</f>
        <v>2023</v>
      </c>
    </row>
    <row r="1077" spans="1:17" x14ac:dyDescent="0.3">
      <c r="A1077" t="s">
        <v>16</v>
      </c>
      <c r="B1077" t="s">
        <v>36</v>
      </c>
      <c r="C1077" s="6" t="s">
        <v>28</v>
      </c>
      <c r="D1077" s="6" t="str">
        <f>CONCATENATE(financials[[#This Row],[Segment]],",",financials[[#This Row],[Country]],",",financials[[#This Row],[Product]])</f>
        <v>Government,USA,Paseo</v>
      </c>
      <c r="E1077" s="6" t="s">
        <v>33</v>
      </c>
      <c r="F1077">
        <f t="shared" ca="1" si="32"/>
        <v>437</v>
      </c>
      <c r="G1077" s="1">
        <f ca="1">VLOOKUP(financials[[#This Row],[ID]],Prices!D:F,2,FALSE)</f>
        <v>17</v>
      </c>
      <c r="H1077" s="1">
        <f ca="1">VLOOKUP(financials[[#This Row],[ID]],Prices!D:F,3,FALSE)</f>
        <v>36</v>
      </c>
      <c r="I1077" s="1">
        <f ca="1">financials[[#This Row],[Units Sold]]*financials[[#This Row],[Sale Price]]</f>
        <v>15732</v>
      </c>
      <c r="J10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786.6</v>
      </c>
      <c r="K1077" s="1">
        <f ca="1">financials[[#This Row],[Gross Sales]]-financials[[#This Row],[Discounts]]</f>
        <v>14945.4</v>
      </c>
      <c r="L1077" s="1">
        <f ca="1">financials[[#This Row],[Units Sold]]*financials[[#This Row],[Manufacturing Price]]</f>
        <v>7429</v>
      </c>
      <c r="M1077" s="1">
        <f ca="1">financials[[#This Row],[Sales]]-financials[[#This Row],[COGS]]</f>
        <v>7516.4</v>
      </c>
      <c r="N1077" s="7">
        <f t="shared" ca="1" si="33"/>
        <v>45713</v>
      </c>
      <c r="O1077" s="8">
        <f ca="1">MONTH(financials[[#This Row],[Date]])</f>
        <v>2</v>
      </c>
      <c r="P1077" s="6" t="str">
        <f ca="1">TEXT(financials[[#This Row],[Date]],"MMM")</f>
        <v>Feb</v>
      </c>
      <c r="Q1077">
        <f ca="1">YEAR(financials[[#This Row],[Date]])</f>
        <v>2025</v>
      </c>
    </row>
    <row r="1078" spans="1:17" x14ac:dyDescent="0.3">
      <c r="A1078" t="s">
        <v>16</v>
      </c>
      <c r="B1078" t="s">
        <v>20</v>
      </c>
      <c r="C1078" s="6" t="s">
        <v>28</v>
      </c>
      <c r="D1078" s="6" t="str">
        <f>CONCATENATE(financials[[#This Row],[Segment]],",",financials[[#This Row],[Country]],",",financials[[#This Row],[Product]])</f>
        <v>Government,Germany,Paseo</v>
      </c>
      <c r="E1078" s="6" t="s">
        <v>33</v>
      </c>
      <c r="F1078">
        <f t="shared" ca="1" si="32"/>
        <v>53</v>
      </c>
      <c r="G1078" s="1">
        <f ca="1">VLOOKUP(financials[[#This Row],[ID]],Prices!D:F,2,FALSE)</f>
        <v>19</v>
      </c>
      <c r="H1078" s="1">
        <f ca="1">VLOOKUP(financials[[#This Row],[ID]],Prices!D:F,3,FALSE)</f>
        <v>37</v>
      </c>
      <c r="I1078" s="1">
        <f ca="1">financials[[#This Row],[Units Sold]]*financials[[#This Row],[Sale Price]]</f>
        <v>1961</v>
      </c>
      <c r="J10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98.050000000000011</v>
      </c>
      <c r="K1078" s="1">
        <f ca="1">financials[[#This Row],[Gross Sales]]-financials[[#This Row],[Discounts]]</f>
        <v>1862.95</v>
      </c>
      <c r="L1078" s="1">
        <f ca="1">financials[[#This Row],[Units Sold]]*financials[[#This Row],[Manufacturing Price]]</f>
        <v>1007</v>
      </c>
      <c r="M1078" s="1">
        <f ca="1">financials[[#This Row],[Sales]]-financials[[#This Row],[COGS]]</f>
        <v>855.95</v>
      </c>
      <c r="N1078" s="7">
        <f t="shared" ca="1" si="33"/>
        <v>45155</v>
      </c>
      <c r="O1078" s="8">
        <f ca="1">MONTH(financials[[#This Row],[Date]])</f>
        <v>8</v>
      </c>
      <c r="P1078" s="6" t="str">
        <f ca="1">TEXT(financials[[#This Row],[Date]],"MMM")</f>
        <v>Aug</v>
      </c>
      <c r="Q1078">
        <f ca="1">YEAR(financials[[#This Row],[Date]])</f>
        <v>2023</v>
      </c>
    </row>
    <row r="1079" spans="1:17" x14ac:dyDescent="0.3">
      <c r="A1079" t="s">
        <v>16</v>
      </c>
      <c r="B1079" t="s">
        <v>20</v>
      </c>
      <c r="C1079" s="6" t="s">
        <v>28</v>
      </c>
      <c r="D1079" s="6" t="str">
        <f>CONCATENATE(financials[[#This Row],[Segment]],",",financials[[#This Row],[Country]],",",financials[[#This Row],[Product]])</f>
        <v>Government,Germany,Paseo</v>
      </c>
      <c r="E1079" s="6" t="s">
        <v>33</v>
      </c>
      <c r="F1079">
        <f t="shared" ca="1" si="32"/>
        <v>882</v>
      </c>
      <c r="G1079" s="1">
        <f ca="1">VLOOKUP(financials[[#This Row],[ID]],Prices!D:F,2,FALSE)</f>
        <v>19</v>
      </c>
      <c r="H1079" s="1">
        <f ca="1">VLOOKUP(financials[[#This Row],[ID]],Prices!D:F,3,FALSE)</f>
        <v>37</v>
      </c>
      <c r="I1079" s="1">
        <f ca="1">financials[[#This Row],[Units Sold]]*financials[[#This Row],[Sale Price]]</f>
        <v>32634</v>
      </c>
      <c r="J10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1631.7</v>
      </c>
      <c r="K1079" s="1">
        <f ca="1">financials[[#This Row],[Gross Sales]]-financials[[#This Row],[Discounts]]</f>
        <v>31002.3</v>
      </c>
      <c r="L1079" s="1">
        <f ca="1">financials[[#This Row],[Units Sold]]*financials[[#This Row],[Manufacturing Price]]</f>
        <v>16758</v>
      </c>
      <c r="M1079" s="1">
        <f ca="1">financials[[#This Row],[Sales]]-financials[[#This Row],[COGS]]</f>
        <v>14244.3</v>
      </c>
      <c r="N1079" s="7">
        <f t="shared" ca="1" si="33"/>
        <v>45487</v>
      </c>
      <c r="O1079" s="8">
        <f ca="1">MONTH(financials[[#This Row],[Date]])</f>
        <v>7</v>
      </c>
      <c r="P1079" s="6" t="str">
        <f ca="1">TEXT(financials[[#This Row],[Date]],"MMM")</f>
        <v>Jul</v>
      </c>
      <c r="Q1079">
        <f ca="1">YEAR(financials[[#This Row],[Date]])</f>
        <v>2024</v>
      </c>
    </row>
    <row r="1080" spans="1:17" x14ac:dyDescent="0.3">
      <c r="A1080" t="s">
        <v>16</v>
      </c>
      <c r="B1080" t="s">
        <v>20</v>
      </c>
      <c r="C1080" s="6" t="s">
        <v>28</v>
      </c>
      <c r="D1080" s="6" t="str">
        <f>CONCATENATE(financials[[#This Row],[Segment]],",",financials[[#This Row],[Country]],",",financials[[#This Row],[Product]])</f>
        <v>Government,Germany,Paseo</v>
      </c>
      <c r="E1080" s="6" t="s">
        <v>33</v>
      </c>
      <c r="F1080">
        <f t="shared" ca="1" si="32"/>
        <v>579</v>
      </c>
      <c r="G1080" s="1">
        <f ca="1">VLOOKUP(financials[[#This Row],[ID]],Prices!D:F,2,FALSE)</f>
        <v>19</v>
      </c>
      <c r="H1080" s="1">
        <f ca="1">VLOOKUP(financials[[#This Row],[ID]],Prices!D:F,3,FALSE)</f>
        <v>37</v>
      </c>
      <c r="I1080" s="1">
        <f ca="1">financials[[#This Row],[Units Sold]]*financials[[#This Row],[Sale Price]]</f>
        <v>21423</v>
      </c>
      <c r="J10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1071.1500000000001</v>
      </c>
      <c r="K1080" s="1">
        <f ca="1">financials[[#This Row],[Gross Sales]]-financials[[#This Row],[Discounts]]</f>
        <v>20351.849999999999</v>
      </c>
      <c r="L1080" s="1">
        <f ca="1">financials[[#This Row],[Units Sold]]*financials[[#This Row],[Manufacturing Price]]</f>
        <v>11001</v>
      </c>
      <c r="M1080" s="1">
        <f ca="1">financials[[#This Row],[Sales]]-financials[[#This Row],[COGS]]</f>
        <v>9350.8499999999985</v>
      </c>
      <c r="N1080" s="7">
        <f t="shared" ca="1" si="33"/>
        <v>45745</v>
      </c>
      <c r="O1080" s="8">
        <f ca="1">MONTH(financials[[#This Row],[Date]])</f>
        <v>3</v>
      </c>
      <c r="P1080" s="6" t="str">
        <f ca="1">TEXT(financials[[#This Row],[Date]],"MMM")</f>
        <v>Mar</v>
      </c>
      <c r="Q1080">
        <f ca="1">YEAR(financials[[#This Row],[Date]])</f>
        <v>2025</v>
      </c>
    </row>
    <row r="1081" spans="1:17" x14ac:dyDescent="0.3">
      <c r="A1081" t="s">
        <v>16</v>
      </c>
      <c r="B1081" t="s">
        <v>23</v>
      </c>
      <c r="C1081" s="6" t="s">
        <v>28</v>
      </c>
      <c r="D1081" s="6" t="str">
        <f>CONCATENATE(financials[[#This Row],[Segment]],",",financials[[#This Row],[Country]],",",financials[[#This Row],[Product]])</f>
        <v>Government,Mexico,Paseo</v>
      </c>
      <c r="E1081" s="6" t="s">
        <v>33</v>
      </c>
      <c r="F1081">
        <f t="shared" ca="1" si="32"/>
        <v>111</v>
      </c>
      <c r="G1081" s="1">
        <f ca="1">VLOOKUP(financials[[#This Row],[ID]],Prices!D:F,2,FALSE)</f>
        <v>18</v>
      </c>
      <c r="H1081" s="1">
        <f ca="1">VLOOKUP(financials[[#This Row],[ID]],Prices!D:F,3,FALSE)</f>
        <v>19</v>
      </c>
      <c r="I1081" s="1">
        <f ca="1">financials[[#This Row],[Units Sold]]*financials[[#This Row],[Sale Price]]</f>
        <v>2109</v>
      </c>
      <c r="J10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105.45</v>
      </c>
      <c r="K1081" s="1">
        <f ca="1">financials[[#This Row],[Gross Sales]]-financials[[#This Row],[Discounts]]</f>
        <v>2003.55</v>
      </c>
      <c r="L1081" s="1">
        <f ca="1">financials[[#This Row],[Units Sold]]*financials[[#This Row],[Manufacturing Price]]</f>
        <v>1998</v>
      </c>
      <c r="M1081" s="1">
        <f ca="1">financials[[#This Row],[Sales]]-financials[[#This Row],[COGS]]</f>
        <v>5.5499999999999545</v>
      </c>
      <c r="N1081" s="7">
        <f t="shared" ca="1" si="33"/>
        <v>45246</v>
      </c>
      <c r="O1081" s="8">
        <f ca="1">MONTH(financials[[#This Row],[Date]])</f>
        <v>11</v>
      </c>
      <c r="P1081" s="6" t="str">
        <f ca="1">TEXT(financials[[#This Row],[Date]],"MMM")</f>
        <v>Nov</v>
      </c>
      <c r="Q1081">
        <f ca="1">YEAR(financials[[#This Row],[Date]])</f>
        <v>2023</v>
      </c>
    </row>
    <row r="1082" spans="1:17" x14ac:dyDescent="0.3">
      <c r="A1082" t="s">
        <v>16</v>
      </c>
      <c r="B1082" t="s">
        <v>20</v>
      </c>
      <c r="C1082" s="6" t="s">
        <v>28</v>
      </c>
      <c r="D1082" s="6" t="str">
        <f>CONCATENATE(financials[[#This Row],[Segment]],",",financials[[#This Row],[Country]],",",financials[[#This Row],[Product]])</f>
        <v>Government,Germany,Paseo</v>
      </c>
      <c r="E1082" s="6" t="s">
        <v>33</v>
      </c>
      <c r="F1082">
        <f t="shared" ca="1" si="32"/>
        <v>560</v>
      </c>
      <c r="G1082" s="1">
        <f ca="1">VLOOKUP(financials[[#This Row],[ID]],Prices!D:F,2,FALSE)</f>
        <v>19</v>
      </c>
      <c r="H1082" s="1">
        <f ca="1">VLOOKUP(financials[[#This Row],[ID]],Prices!D:F,3,FALSE)</f>
        <v>37</v>
      </c>
      <c r="I1082" s="1">
        <f ca="1">financials[[#This Row],[Units Sold]]*financials[[#This Row],[Sale Price]]</f>
        <v>20720</v>
      </c>
      <c r="J10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1036</v>
      </c>
      <c r="K1082" s="1">
        <f ca="1">financials[[#This Row],[Gross Sales]]-financials[[#This Row],[Discounts]]</f>
        <v>19684</v>
      </c>
      <c r="L1082" s="1">
        <f ca="1">financials[[#This Row],[Units Sold]]*financials[[#This Row],[Manufacturing Price]]</f>
        <v>10640</v>
      </c>
      <c r="M1082" s="1">
        <f ca="1">financials[[#This Row],[Sales]]-financials[[#This Row],[COGS]]</f>
        <v>9044</v>
      </c>
      <c r="N1082" s="7">
        <f t="shared" ca="1" si="33"/>
        <v>45602</v>
      </c>
      <c r="O1082" s="8">
        <f ca="1">MONTH(financials[[#This Row],[Date]])</f>
        <v>11</v>
      </c>
      <c r="P1082" s="6" t="str">
        <f ca="1">TEXT(financials[[#This Row],[Date]],"MMM")</f>
        <v>Nov</v>
      </c>
      <c r="Q1082">
        <f ca="1">YEAR(financials[[#This Row],[Date]])</f>
        <v>2024</v>
      </c>
    </row>
    <row r="1083" spans="1:17" x14ac:dyDescent="0.3">
      <c r="A1083" t="s">
        <v>16</v>
      </c>
      <c r="B1083" t="s">
        <v>23</v>
      </c>
      <c r="C1083" s="6" t="s">
        <v>28</v>
      </c>
      <c r="D1083" s="6" t="str">
        <f>CONCATENATE(financials[[#This Row],[Segment]],",",financials[[#This Row],[Country]],",",financials[[#This Row],[Product]])</f>
        <v>Government,Mexico,Paseo</v>
      </c>
      <c r="E1083" s="6" t="s">
        <v>33</v>
      </c>
      <c r="F1083">
        <f t="shared" ca="1" si="32"/>
        <v>444</v>
      </c>
      <c r="G1083" s="1">
        <f ca="1">VLOOKUP(financials[[#This Row],[ID]],Prices!D:F,2,FALSE)</f>
        <v>18</v>
      </c>
      <c r="H1083" s="1">
        <f ca="1">VLOOKUP(financials[[#This Row],[ID]],Prices!D:F,3,FALSE)</f>
        <v>19</v>
      </c>
      <c r="I1083" s="1">
        <f ca="1">financials[[#This Row],[Units Sold]]*financials[[#This Row],[Sale Price]]</f>
        <v>8436</v>
      </c>
      <c r="J10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421.8</v>
      </c>
      <c r="K1083" s="1">
        <f ca="1">financials[[#This Row],[Gross Sales]]-financials[[#This Row],[Discounts]]</f>
        <v>8014.2</v>
      </c>
      <c r="L1083" s="1">
        <f ca="1">financials[[#This Row],[Units Sold]]*financials[[#This Row],[Manufacturing Price]]</f>
        <v>7992</v>
      </c>
      <c r="M1083" s="1">
        <f ca="1">financials[[#This Row],[Sales]]-financials[[#This Row],[COGS]]</f>
        <v>22.199999999999818</v>
      </c>
      <c r="N1083" s="7">
        <f t="shared" ca="1" si="33"/>
        <v>45703</v>
      </c>
      <c r="O1083" s="8">
        <f ca="1">MONTH(financials[[#This Row],[Date]])</f>
        <v>2</v>
      </c>
      <c r="P1083" s="6" t="str">
        <f ca="1">TEXT(financials[[#This Row],[Date]],"MMM")</f>
        <v>Feb</v>
      </c>
      <c r="Q1083">
        <f ca="1">YEAR(financials[[#This Row],[Date]])</f>
        <v>2025</v>
      </c>
    </row>
    <row r="1084" spans="1:17" x14ac:dyDescent="0.3">
      <c r="A1084" t="s">
        <v>16</v>
      </c>
      <c r="B1084" t="s">
        <v>23</v>
      </c>
      <c r="C1084" s="6" t="s">
        <v>28</v>
      </c>
      <c r="D1084" s="6" t="str">
        <f>CONCATENATE(financials[[#This Row],[Segment]],",",financials[[#This Row],[Country]],",",financials[[#This Row],[Product]])</f>
        <v>Government,Mexico,Paseo</v>
      </c>
      <c r="E1084" s="6" t="s">
        <v>33</v>
      </c>
      <c r="F1084">
        <f t="shared" ca="1" si="32"/>
        <v>193</v>
      </c>
      <c r="G1084" s="1">
        <f ca="1">VLOOKUP(financials[[#This Row],[ID]],Prices!D:F,2,FALSE)</f>
        <v>18</v>
      </c>
      <c r="H1084" s="1">
        <f ca="1">VLOOKUP(financials[[#This Row],[ID]],Prices!D:F,3,FALSE)</f>
        <v>19</v>
      </c>
      <c r="I1084" s="1">
        <f ca="1">financials[[#This Row],[Units Sold]]*financials[[#This Row],[Sale Price]]</f>
        <v>3667</v>
      </c>
      <c r="J10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183.35000000000002</v>
      </c>
      <c r="K1084" s="1">
        <f ca="1">financials[[#This Row],[Gross Sales]]-financials[[#This Row],[Discounts]]</f>
        <v>3483.65</v>
      </c>
      <c r="L1084" s="1">
        <f ca="1">financials[[#This Row],[Units Sold]]*financials[[#This Row],[Manufacturing Price]]</f>
        <v>3474</v>
      </c>
      <c r="M1084" s="1">
        <f ca="1">financials[[#This Row],[Sales]]-financials[[#This Row],[COGS]]</f>
        <v>9.6500000000000909</v>
      </c>
      <c r="N1084" s="7">
        <f t="shared" ca="1" si="33"/>
        <v>45185</v>
      </c>
      <c r="O1084" s="8">
        <f ca="1">MONTH(financials[[#This Row],[Date]])</f>
        <v>9</v>
      </c>
      <c r="P1084" s="6" t="str">
        <f ca="1">TEXT(financials[[#This Row],[Date]],"MMM")</f>
        <v>Sep</v>
      </c>
      <c r="Q1084">
        <f ca="1">YEAR(financials[[#This Row],[Date]])</f>
        <v>2023</v>
      </c>
    </row>
    <row r="1085" spans="1:17" x14ac:dyDescent="0.3">
      <c r="A1085" t="s">
        <v>25</v>
      </c>
      <c r="B1085" t="s">
        <v>17</v>
      </c>
      <c r="C1085" s="6" t="s">
        <v>29</v>
      </c>
      <c r="D1085" s="6" t="str">
        <f>CONCATENATE(financials[[#This Row],[Segment]],",",financials[[#This Row],[Country]],",",financials[[#This Row],[Product]])</f>
        <v>Channel Partners,Canada,Velo</v>
      </c>
      <c r="E1085" s="6" t="s">
        <v>33</v>
      </c>
      <c r="F1085">
        <f t="shared" ca="1" si="32"/>
        <v>283</v>
      </c>
      <c r="G1085" s="1">
        <f ca="1">VLOOKUP(financials[[#This Row],[ID]],Prices!D:F,2,FALSE)</f>
        <v>15</v>
      </c>
      <c r="H1085" s="1">
        <f ca="1">VLOOKUP(financials[[#This Row],[ID]],Prices!D:F,3,FALSE)</f>
        <v>33</v>
      </c>
      <c r="I1085" s="1">
        <f ca="1">financials[[#This Row],[Units Sold]]*financials[[#This Row],[Sale Price]]</f>
        <v>9339</v>
      </c>
      <c r="J10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466.95000000000005</v>
      </c>
      <c r="K1085" s="1">
        <f ca="1">financials[[#This Row],[Gross Sales]]-financials[[#This Row],[Discounts]]</f>
        <v>8872.0499999999993</v>
      </c>
      <c r="L1085" s="1">
        <f ca="1">financials[[#This Row],[Units Sold]]*financials[[#This Row],[Manufacturing Price]]</f>
        <v>4245</v>
      </c>
      <c r="M1085" s="1">
        <f ca="1">financials[[#This Row],[Sales]]-financials[[#This Row],[COGS]]</f>
        <v>4627.0499999999993</v>
      </c>
      <c r="N1085" s="7">
        <f t="shared" ca="1" si="33"/>
        <v>45620</v>
      </c>
      <c r="O1085" s="8">
        <f ca="1">MONTH(financials[[#This Row],[Date]])</f>
        <v>11</v>
      </c>
      <c r="P1085" s="6" t="str">
        <f ca="1">TEXT(financials[[#This Row],[Date]],"MMM")</f>
        <v>Nov</v>
      </c>
      <c r="Q1085">
        <f ca="1">YEAR(financials[[#This Row],[Date]])</f>
        <v>2024</v>
      </c>
    </row>
    <row r="1086" spans="1:17" x14ac:dyDescent="0.3">
      <c r="A1086" t="s">
        <v>16</v>
      </c>
      <c r="B1086" t="s">
        <v>36</v>
      </c>
      <c r="C1086" s="6" t="s">
        <v>29</v>
      </c>
      <c r="D1086" s="6" t="str">
        <f>CONCATENATE(financials[[#This Row],[Segment]],",",financials[[#This Row],[Country]],",",financials[[#This Row],[Product]])</f>
        <v>Government,USA,Velo</v>
      </c>
      <c r="E1086" s="6" t="s">
        <v>33</v>
      </c>
      <c r="F1086">
        <f t="shared" ca="1" si="32"/>
        <v>717</v>
      </c>
      <c r="G1086" s="1">
        <f ca="1">VLOOKUP(financials[[#This Row],[ID]],Prices!D:F,2,FALSE)</f>
        <v>18</v>
      </c>
      <c r="H1086" s="1">
        <f ca="1">VLOOKUP(financials[[#This Row],[ID]],Prices!D:F,3,FALSE)</f>
        <v>38</v>
      </c>
      <c r="I1086" s="1">
        <f ca="1">financials[[#This Row],[Units Sold]]*financials[[#This Row],[Sale Price]]</f>
        <v>27246</v>
      </c>
      <c r="J10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1362.3000000000002</v>
      </c>
      <c r="K1086" s="1">
        <f ca="1">financials[[#This Row],[Gross Sales]]-financials[[#This Row],[Discounts]]</f>
        <v>25883.7</v>
      </c>
      <c r="L1086" s="1">
        <f ca="1">financials[[#This Row],[Units Sold]]*financials[[#This Row],[Manufacturing Price]]</f>
        <v>12906</v>
      </c>
      <c r="M1086" s="1">
        <f ca="1">financials[[#This Row],[Sales]]-financials[[#This Row],[COGS]]</f>
        <v>12977.7</v>
      </c>
      <c r="N1086" s="7">
        <f t="shared" ca="1" si="33"/>
        <v>45235</v>
      </c>
      <c r="O1086" s="8">
        <f ca="1">MONTH(financials[[#This Row],[Date]])</f>
        <v>11</v>
      </c>
      <c r="P1086" s="6" t="str">
        <f ca="1">TEXT(financials[[#This Row],[Date]],"MMM")</f>
        <v>Nov</v>
      </c>
      <c r="Q1086">
        <f ca="1">YEAR(financials[[#This Row],[Date]])</f>
        <v>2023</v>
      </c>
    </row>
    <row r="1087" spans="1:17" x14ac:dyDescent="0.3">
      <c r="A1087" t="s">
        <v>16</v>
      </c>
      <c r="B1087" t="s">
        <v>20</v>
      </c>
      <c r="C1087" s="6" t="s">
        <v>29</v>
      </c>
      <c r="D1087" s="6" t="str">
        <f>CONCATENATE(financials[[#This Row],[Segment]],",",financials[[#This Row],[Country]],",",financials[[#This Row],[Product]])</f>
        <v>Government,Germany,Velo</v>
      </c>
      <c r="E1087" s="6" t="s">
        <v>33</v>
      </c>
      <c r="F1087">
        <f t="shared" ca="1" si="32"/>
        <v>89</v>
      </c>
      <c r="G1087" s="1">
        <f ca="1">VLOOKUP(financials[[#This Row],[ID]],Prices!D:F,2,FALSE)</f>
        <v>13</v>
      </c>
      <c r="H1087" s="1">
        <f ca="1">VLOOKUP(financials[[#This Row],[ID]],Prices!D:F,3,FALSE)</f>
        <v>19</v>
      </c>
      <c r="I1087" s="1">
        <f ca="1">financials[[#This Row],[Units Sold]]*financials[[#This Row],[Sale Price]]</f>
        <v>1691</v>
      </c>
      <c r="J10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84.550000000000011</v>
      </c>
      <c r="K1087" s="1">
        <f ca="1">financials[[#This Row],[Gross Sales]]-financials[[#This Row],[Discounts]]</f>
        <v>1606.45</v>
      </c>
      <c r="L1087" s="1">
        <f ca="1">financials[[#This Row],[Units Sold]]*financials[[#This Row],[Manufacturing Price]]</f>
        <v>1157</v>
      </c>
      <c r="M1087" s="1">
        <f ca="1">financials[[#This Row],[Sales]]-financials[[#This Row],[COGS]]</f>
        <v>449.45000000000005</v>
      </c>
      <c r="N1087" s="7">
        <f t="shared" ca="1" si="33"/>
        <v>45032</v>
      </c>
      <c r="O1087" s="8">
        <f ca="1">MONTH(financials[[#This Row],[Date]])</f>
        <v>4</v>
      </c>
      <c r="P1087" s="6" t="str">
        <f ca="1">TEXT(financials[[#This Row],[Date]],"MMM")</f>
        <v>Apr</v>
      </c>
      <c r="Q1087">
        <f ca="1">YEAR(financials[[#This Row],[Date]])</f>
        <v>2023</v>
      </c>
    </row>
    <row r="1088" spans="1:17" x14ac:dyDescent="0.3">
      <c r="A1088" t="s">
        <v>27</v>
      </c>
      <c r="B1088" t="s">
        <v>22</v>
      </c>
      <c r="C1088" s="6" t="s">
        <v>29</v>
      </c>
      <c r="D1088" s="6" t="str">
        <f>CONCATENATE(financials[[#This Row],[Segment]],",",financials[[#This Row],[Country]],",",financials[[#This Row],[Product]])</f>
        <v>Small Business,France,Velo</v>
      </c>
      <c r="E1088" s="6" t="s">
        <v>33</v>
      </c>
      <c r="F1088">
        <f t="shared" ca="1" si="32"/>
        <v>838</v>
      </c>
      <c r="G1088" s="1">
        <f ca="1">VLOOKUP(financials[[#This Row],[ID]],Prices!D:F,2,FALSE)</f>
        <v>17</v>
      </c>
      <c r="H1088" s="1">
        <f ca="1">VLOOKUP(financials[[#This Row],[ID]],Prices!D:F,3,FALSE)</f>
        <v>22</v>
      </c>
      <c r="I1088" s="1">
        <f ca="1">financials[[#This Row],[Units Sold]]*financials[[#This Row],[Sale Price]]</f>
        <v>18436</v>
      </c>
      <c r="J10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921.80000000000007</v>
      </c>
      <c r="K1088" s="1">
        <f ca="1">financials[[#This Row],[Gross Sales]]-financials[[#This Row],[Discounts]]</f>
        <v>17514.2</v>
      </c>
      <c r="L1088" s="1">
        <f ca="1">financials[[#This Row],[Units Sold]]*financials[[#This Row],[Manufacturing Price]]</f>
        <v>14246</v>
      </c>
      <c r="M1088" s="1">
        <f ca="1">financials[[#This Row],[Sales]]-financials[[#This Row],[COGS]]</f>
        <v>3268.2000000000007</v>
      </c>
      <c r="N1088" s="7">
        <f t="shared" ca="1" si="33"/>
        <v>45245</v>
      </c>
      <c r="O1088" s="8">
        <f ca="1">MONTH(financials[[#This Row],[Date]])</f>
        <v>11</v>
      </c>
      <c r="P1088" s="6" t="str">
        <f ca="1">TEXT(financials[[#This Row],[Date]],"MMM")</f>
        <v>Nov</v>
      </c>
      <c r="Q1088">
        <f ca="1">YEAR(financials[[#This Row],[Date]])</f>
        <v>2023</v>
      </c>
    </row>
    <row r="1089" spans="1:17" x14ac:dyDescent="0.3">
      <c r="A1089" t="s">
        <v>27</v>
      </c>
      <c r="B1089" t="s">
        <v>23</v>
      </c>
      <c r="C1089" s="6" t="s">
        <v>29</v>
      </c>
      <c r="D1089" s="6" t="str">
        <f>CONCATENATE(financials[[#This Row],[Segment]],",",financials[[#This Row],[Country]],",",financials[[#This Row],[Product]])</f>
        <v>Small Business,Mexico,Velo</v>
      </c>
      <c r="E1089" s="6" t="s">
        <v>33</v>
      </c>
      <c r="F1089">
        <f t="shared" ca="1" si="32"/>
        <v>641</v>
      </c>
      <c r="G1089" s="1">
        <f ca="1">VLOOKUP(financials[[#This Row],[ID]],Prices!D:F,2,FALSE)</f>
        <v>19</v>
      </c>
      <c r="H1089" s="1">
        <f ca="1">VLOOKUP(financials[[#This Row],[ID]],Prices!D:F,3,FALSE)</f>
        <v>32</v>
      </c>
      <c r="I1089" s="1">
        <f ca="1">financials[[#This Row],[Units Sold]]*financials[[#This Row],[Sale Price]]</f>
        <v>20512</v>
      </c>
      <c r="J10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1025.6000000000001</v>
      </c>
      <c r="K1089" s="1">
        <f ca="1">financials[[#This Row],[Gross Sales]]-financials[[#This Row],[Discounts]]</f>
        <v>19486.400000000001</v>
      </c>
      <c r="L1089" s="1">
        <f ca="1">financials[[#This Row],[Units Sold]]*financials[[#This Row],[Manufacturing Price]]</f>
        <v>12179</v>
      </c>
      <c r="M1089" s="1">
        <f ca="1">financials[[#This Row],[Sales]]-financials[[#This Row],[COGS]]</f>
        <v>7307.4000000000015</v>
      </c>
      <c r="N1089" s="7">
        <f t="shared" ca="1" si="33"/>
        <v>45648</v>
      </c>
      <c r="O1089" s="8">
        <f ca="1">MONTH(financials[[#This Row],[Date]])</f>
        <v>12</v>
      </c>
      <c r="P1089" s="6" t="str">
        <f ca="1">TEXT(financials[[#This Row],[Date]],"MMM")</f>
        <v>Dec</v>
      </c>
      <c r="Q1089">
        <f ca="1">YEAR(financials[[#This Row],[Date]])</f>
        <v>2024</v>
      </c>
    </row>
    <row r="1090" spans="1:17" x14ac:dyDescent="0.3">
      <c r="A1090" t="s">
        <v>16</v>
      </c>
      <c r="B1090" t="s">
        <v>22</v>
      </c>
      <c r="C1090" s="6" t="s">
        <v>30</v>
      </c>
      <c r="D1090" s="6" t="str">
        <f>CONCATENATE(financials[[#This Row],[Segment]],",",financials[[#This Row],[Country]],",",financials[[#This Row],[Product]])</f>
        <v>Government,France,VTT</v>
      </c>
      <c r="E1090" s="6" t="s">
        <v>33</v>
      </c>
      <c r="F1090">
        <f t="shared" ca="1" si="32"/>
        <v>277</v>
      </c>
      <c r="G1090" s="1">
        <f ca="1">VLOOKUP(financials[[#This Row],[ID]],Prices!D:F,2,FALSE)</f>
        <v>18</v>
      </c>
      <c r="H1090" s="1">
        <f ca="1">VLOOKUP(financials[[#This Row],[ID]],Prices!D:F,3,FALSE)</f>
        <v>32</v>
      </c>
      <c r="I1090" s="1">
        <f ca="1">financials[[#This Row],[Units Sold]]*financials[[#This Row],[Sale Price]]</f>
        <v>8864</v>
      </c>
      <c r="J10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443.20000000000005</v>
      </c>
      <c r="K1090" s="1">
        <f ca="1">financials[[#This Row],[Gross Sales]]-financials[[#This Row],[Discounts]]</f>
        <v>8420.7999999999993</v>
      </c>
      <c r="L1090" s="1">
        <f ca="1">financials[[#This Row],[Units Sold]]*financials[[#This Row],[Manufacturing Price]]</f>
        <v>4986</v>
      </c>
      <c r="M1090" s="1">
        <f ca="1">financials[[#This Row],[Sales]]-financials[[#This Row],[COGS]]</f>
        <v>3434.7999999999993</v>
      </c>
      <c r="N1090" s="7">
        <f t="shared" ca="1" si="33"/>
        <v>45323</v>
      </c>
      <c r="O1090" s="8">
        <f ca="1">MONTH(financials[[#This Row],[Date]])</f>
        <v>2</v>
      </c>
      <c r="P1090" s="6" t="str">
        <f ca="1">TEXT(financials[[#This Row],[Date]],"MMM")</f>
        <v>Feb</v>
      </c>
      <c r="Q1090">
        <f ca="1">YEAR(financials[[#This Row],[Date]])</f>
        <v>2024</v>
      </c>
    </row>
    <row r="1091" spans="1:17" x14ac:dyDescent="0.3">
      <c r="A1091" t="s">
        <v>16</v>
      </c>
      <c r="B1091" t="s">
        <v>20</v>
      </c>
      <c r="C1091" s="6" t="s">
        <v>30</v>
      </c>
      <c r="D1091" s="6" t="str">
        <f>CONCATENATE(financials[[#This Row],[Segment]],",",financials[[#This Row],[Country]],",",financials[[#This Row],[Product]])</f>
        <v>Government,Germany,VTT</v>
      </c>
      <c r="E1091" s="6" t="s">
        <v>33</v>
      </c>
      <c r="F1091">
        <f t="shared" ref="F1091:F1154" ca="1" si="34">RANDBETWEEN(10,1000)</f>
        <v>908</v>
      </c>
      <c r="G1091" s="1">
        <f ca="1">VLOOKUP(financials[[#This Row],[ID]],Prices!D:F,2,FALSE)</f>
        <v>16</v>
      </c>
      <c r="H1091" s="1">
        <f ca="1">VLOOKUP(financials[[#This Row],[ID]],Prices!D:F,3,FALSE)</f>
        <v>20</v>
      </c>
      <c r="I1091" s="1">
        <f ca="1">financials[[#This Row],[Units Sold]]*financials[[#This Row],[Sale Price]]</f>
        <v>18160</v>
      </c>
      <c r="J10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908</v>
      </c>
      <c r="K1091" s="1">
        <f ca="1">financials[[#This Row],[Gross Sales]]-financials[[#This Row],[Discounts]]</f>
        <v>17252</v>
      </c>
      <c r="L1091" s="1">
        <f ca="1">financials[[#This Row],[Units Sold]]*financials[[#This Row],[Manufacturing Price]]</f>
        <v>14528</v>
      </c>
      <c r="M1091" s="1">
        <f ca="1">financials[[#This Row],[Sales]]-financials[[#This Row],[COGS]]</f>
        <v>2724</v>
      </c>
      <c r="N1091" s="7">
        <f t="shared" ref="N1091:N1154" ca="1" si="35">TODAY()-RANDBETWEEN(1,732)</f>
        <v>45342</v>
      </c>
      <c r="O1091" s="8">
        <f ca="1">MONTH(financials[[#This Row],[Date]])</f>
        <v>2</v>
      </c>
      <c r="P1091" s="6" t="str">
        <f ca="1">TEXT(financials[[#This Row],[Date]],"MMM")</f>
        <v>Feb</v>
      </c>
      <c r="Q1091">
        <f ca="1">YEAR(financials[[#This Row],[Date]])</f>
        <v>2024</v>
      </c>
    </row>
    <row r="1092" spans="1:17" x14ac:dyDescent="0.3">
      <c r="A1092" t="s">
        <v>16</v>
      </c>
      <c r="B1092" t="s">
        <v>22</v>
      </c>
      <c r="C1092" s="6" t="s">
        <v>30</v>
      </c>
      <c r="D1092" s="6" t="str">
        <f>CONCATENATE(financials[[#This Row],[Segment]],",",financials[[#This Row],[Country]],",",financials[[#This Row],[Product]])</f>
        <v>Government,France,VTT</v>
      </c>
      <c r="E1092" s="6" t="s">
        <v>33</v>
      </c>
      <c r="F1092">
        <f t="shared" ca="1" si="34"/>
        <v>139</v>
      </c>
      <c r="G1092" s="1">
        <f ca="1">VLOOKUP(financials[[#This Row],[ID]],Prices!D:F,2,FALSE)</f>
        <v>18</v>
      </c>
      <c r="H1092" s="1">
        <f ca="1">VLOOKUP(financials[[#This Row],[ID]],Prices!D:F,3,FALSE)</f>
        <v>32</v>
      </c>
      <c r="I1092" s="1">
        <f ca="1">financials[[#This Row],[Units Sold]]*financials[[#This Row],[Sale Price]]</f>
        <v>4448</v>
      </c>
      <c r="J10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222.4</v>
      </c>
      <c r="K1092" s="1">
        <f ca="1">financials[[#This Row],[Gross Sales]]-financials[[#This Row],[Discounts]]</f>
        <v>4225.6000000000004</v>
      </c>
      <c r="L1092" s="1">
        <f ca="1">financials[[#This Row],[Units Sold]]*financials[[#This Row],[Manufacturing Price]]</f>
        <v>2502</v>
      </c>
      <c r="M1092" s="1">
        <f ca="1">financials[[#This Row],[Sales]]-financials[[#This Row],[COGS]]</f>
        <v>1723.6000000000004</v>
      </c>
      <c r="N1092" s="7">
        <f t="shared" ca="1" si="35"/>
        <v>45353</v>
      </c>
      <c r="O1092" s="8">
        <f ca="1">MONTH(financials[[#This Row],[Date]])</f>
        <v>3</v>
      </c>
      <c r="P1092" s="6" t="str">
        <f ca="1">TEXT(financials[[#This Row],[Date]],"MMM")</f>
        <v>Mar</v>
      </c>
      <c r="Q1092">
        <f ca="1">YEAR(financials[[#This Row],[Date]])</f>
        <v>2024</v>
      </c>
    </row>
    <row r="1093" spans="1:17" x14ac:dyDescent="0.3">
      <c r="A1093" t="s">
        <v>16</v>
      </c>
      <c r="B1093" t="s">
        <v>20</v>
      </c>
      <c r="C1093" s="6" t="s">
        <v>30</v>
      </c>
      <c r="D1093" s="6" t="str">
        <f>CONCATENATE(financials[[#This Row],[Segment]],",",financials[[#This Row],[Country]],",",financials[[#This Row],[Product]])</f>
        <v>Government,Germany,VTT</v>
      </c>
      <c r="E1093" s="6" t="s">
        <v>33</v>
      </c>
      <c r="F1093">
        <f t="shared" ca="1" si="34"/>
        <v>754</v>
      </c>
      <c r="G1093" s="1">
        <f ca="1">VLOOKUP(financials[[#This Row],[ID]],Prices!D:F,2,FALSE)</f>
        <v>16</v>
      </c>
      <c r="H1093" s="1">
        <f ca="1">VLOOKUP(financials[[#This Row],[ID]],Prices!D:F,3,FALSE)</f>
        <v>20</v>
      </c>
      <c r="I1093" s="1">
        <f ca="1">financials[[#This Row],[Units Sold]]*financials[[#This Row],[Sale Price]]</f>
        <v>15080</v>
      </c>
      <c r="J10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754</v>
      </c>
      <c r="K1093" s="1">
        <f ca="1">financials[[#This Row],[Gross Sales]]-financials[[#This Row],[Discounts]]</f>
        <v>14326</v>
      </c>
      <c r="L1093" s="1">
        <f ca="1">financials[[#This Row],[Units Sold]]*financials[[#This Row],[Manufacturing Price]]</f>
        <v>12064</v>
      </c>
      <c r="M1093" s="1">
        <f ca="1">financials[[#This Row],[Sales]]-financials[[#This Row],[COGS]]</f>
        <v>2262</v>
      </c>
      <c r="N1093" s="7">
        <f t="shared" ca="1" si="35"/>
        <v>45434</v>
      </c>
      <c r="O1093" s="8">
        <f ca="1">MONTH(financials[[#This Row],[Date]])</f>
        <v>5</v>
      </c>
      <c r="P1093" s="6" t="str">
        <f ca="1">TEXT(financials[[#This Row],[Date]],"MMM")</f>
        <v>May</v>
      </c>
      <c r="Q1093">
        <f ca="1">YEAR(financials[[#This Row],[Date]])</f>
        <v>2024</v>
      </c>
    </row>
    <row r="1094" spans="1:17" x14ac:dyDescent="0.3">
      <c r="A1094" t="s">
        <v>27</v>
      </c>
      <c r="B1094" t="s">
        <v>17</v>
      </c>
      <c r="C1094" s="6" t="s">
        <v>30</v>
      </c>
      <c r="D1094" s="6" t="str">
        <f>CONCATENATE(financials[[#This Row],[Segment]],",",financials[[#This Row],[Country]],",",financials[[#This Row],[Product]])</f>
        <v>Small Business,Canada,VTT</v>
      </c>
      <c r="E1094" s="6" t="s">
        <v>33</v>
      </c>
      <c r="F1094">
        <f t="shared" ca="1" si="34"/>
        <v>88</v>
      </c>
      <c r="G1094" s="1">
        <f ca="1">VLOOKUP(financials[[#This Row],[ID]],Prices!D:F,2,FALSE)</f>
        <v>10</v>
      </c>
      <c r="H1094" s="1">
        <f ca="1">VLOOKUP(financials[[#This Row],[ID]],Prices!D:F,3,FALSE)</f>
        <v>21</v>
      </c>
      <c r="I1094" s="1">
        <f ca="1">financials[[#This Row],[Units Sold]]*financials[[#This Row],[Sale Price]]</f>
        <v>1848</v>
      </c>
      <c r="J10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92.4</v>
      </c>
      <c r="K1094" s="1">
        <f ca="1">financials[[#This Row],[Gross Sales]]-financials[[#This Row],[Discounts]]</f>
        <v>1755.6</v>
      </c>
      <c r="L1094" s="1">
        <f ca="1">financials[[#This Row],[Units Sold]]*financials[[#This Row],[Manufacturing Price]]</f>
        <v>880</v>
      </c>
      <c r="M1094" s="1">
        <f ca="1">financials[[#This Row],[Sales]]-financials[[#This Row],[COGS]]</f>
        <v>875.59999999999991</v>
      </c>
      <c r="N1094" s="7">
        <f t="shared" ca="1" si="35"/>
        <v>45420</v>
      </c>
      <c r="O1094" s="8">
        <f ca="1">MONTH(financials[[#This Row],[Date]])</f>
        <v>5</v>
      </c>
      <c r="P1094" s="6" t="str">
        <f ca="1">TEXT(financials[[#This Row],[Date]],"MMM")</f>
        <v>May</v>
      </c>
      <c r="Q1094">
        <f ca="1">YEAR(financials[[#This Row],[Date]])</f>
        <v>2024</v>
      </c>
    </row>
    <row r="1095" spans="1:17" x14ac:dyDescent="0.3">
      <c r="A1095" t="s">
        <v>27</v>
      </c>
      <c r="B1095" t="s">
        <v>36</v>
      </c>
      <c r="C1095" s="6" t="s">
        <v>30</v>
      </c>
      <c r="D1095" s="6" t="str">
        <f>CONCATENATE(financials[[#This Row],[Segment]],",",financials[[#This Row],[Country]],",",financials[[#This Row],[Product]])</f>
        <v>Small Business,USA,VTT</v>
      </c>
      <c r="E1095" s="6" t="s">
        <v>33</v>
      </c>
      <c r="F1095">
        <f t="shared" ca="1" si="34"/>
        <v>368</v>
      </c>
      <c r="G1095" s="1">
        <f ca="1">VLOOKUP(financials[[#This Row],[ID]],Prices!D:F,2,FALSE)</f>
        <v>13</v>
      </c>
      <c r="H1095" s="1">
        <f ca="1">VLOOKUP(financials[[#This Row],[ID]],Prices!D:F,3,FALSE)</f>
        <v>19</v>
      </c>
      <c r="I1095" s="1">
        <f ca="1">financials[[#This Row],[Units Sold]]*financials[[#This Row],[Sale Price]]</f>
        <v>6992</v>
      </c>
      <c r="J10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349.6</v>
      </c>
      <c r="K1095" s="1">
        <f ca="1">financials[[#This Row],[Gross Sales]]-financials[[#This Row],[Discounts]]</f>
        <v>6642.4</v>
      </c>
      <c r="L1095" s="1">
        <f ca="1">financials[[#This Row],[Units Sold]]*financials[[#This Row],[Manufacturing Price]]</f>
        <v>4784</v>
      </c>
      <c r="M1095" s="1">
        <f ca="1">financials[[#This Row],[Sales]]-financials[[#This Row],[COGS]]</f>
        <v>1858.3999999999996</v>
      </c>
      <c r="N1095" s="7">
        <f t="shared" ca="1" si="35"/>
        <v>45594</v>
      </c>
      <c r="O1095" s="8">
        <f ca="1">MONTH(financials[[#This Row],[Date]])</f>
        <v>10</v>
      </c>
      <c r="P1095" s="6" t="str">
        <f ca="1">TEXT(financials[[#This Row],[Date]],"MMM")</f>
        <v>Oct</v>
      </c>
      <c r="Q1095">
        <f ca="1">YEAR(financials[[#This Row],[Date]])</f>
        <v>2024</v>
      </c>
    </row>
    <row r="1096" spans="1:17" x14ac:dyDescent="0.3">
      <c r="A1096" t="s">
        <v>16</v>
      </c>
      <c r="B1096" t="s">
        <v>17</v>
      </c>
      <c r="C1096" s="6" t="s">
        <v>31</v>
      </c>
      <c r="D1096" s="6" t="str">
        <f>CONCATENATE(financials[[#This Row],[Segment]],",",financials[[#This Row],[Country]],",",financials[[#This Row],[Product]])</f>
        <v>Government,Canada,Amarilla</v>
      </c>
      <c r="E1096" s="6" t="s">
        <v>33</v>
      </c>
      <c r="F1096">
        <f t="shared" ca="1" si="34"/>
        <v>903</v>
      </c>
      <c r="G1096" s="1">
        <f ca="1">VLOOKUP(financials[[#This Row],[ID]],Prices!D:F,2,FALSE)</f>
        <v>11</v>
      </c>
      <c r="H1096" s="1">
        <f ca="1">VLOOKUP(financials[[#This Row],[ID]],Prices!D:F,3,FALSE)</f>
        <v>29</v>
      </c>
      <c r="I1096" s="1">
        <f ca="1">financials[[#This Row],[Units Sold]]*financials[[#This Row],[Sale Price]]</f>
        <v>26187</v>
      </c>
      <c r="J10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1309.3500000000001</v>
      </c>
      <c r="K1096" s="1">
        <f ca="1">financials[[#This Row],[Gross Sales]]-financials[[#This Row],[Discounts]]</f>
        <v>24877.65</v>
      </c>
      <c r="L1096" s="1">
        <f ca="1">financials[[#This Row],[Units Sold]]*financials[[#This Row],[Manufacturing Price]]</f>
        <v>9933</v>
      </c>
      <c r="M1096" s="1">
        <f ca="1">financials[[#This Row],[Sales]]-financials[[#This Row],[COGS]]</f>
        <v>14944.650000000001</v>
      </c>
      <c r="N1096" s="7">
        <f t="shared" ca="1" si="35"/>
        <v>45464</v>
      </c>
      <c r="O1096" s="8">
        <f ca="1">MONTH(financials[[#This Row],[Date]])</f>
        <v>6</v>
      </c>
      <c r="P1096" s="6" t="str">
        <f ca="1">TEXT(financials[[#This Row],[Date]],"MMM")</f>
        <v>Jun</v>
      </c>
      <c r="Q1096">
        <f ca="1">YEAR(financials[[#This Row],[Date]])</f>
        <v>2024</v>
      </c>
    </row>
    <row r="1097" spans="1:17" x14ac:dyDescent="0.3">
      <c r="A1097" t="s">
        <v>16</v>
      </c>
      <c r="B1097" t="s">
        <v>36</v>
      </c>
      <c r="C1097" s="6" t="s">
        <v>31</v>
      </c>
      <c r="D1097" s="6" t="str">
        <f>CONCATENATE(financials[[#This Row],[Segment]],",",financials[[#This Row],[Country]],",",financials[[#This Row],[Product]])</f>
        <v>Government,USA,Amarilla</v>
      </c>
      <c r="E1097" s="6" t="s">
        <v>33</v>
      </c>
      <c r="F1097">
        <f t="shared" ca="1" si="34"/>
        <v>350</v>
      </c>
      <c r="G1097" s="1">
        <f ca="1">VLOOKUP(financials[[#This Row],[ID]],Prices!D:F,2,FALSE)</f>
        <v>20</v>
      </c>
      <c r="H1097" s="1">
        <f ca="1">VLOOKUP(financials[[#This Row],[ID]],Prices!D:F,3,FALSE)</f>
        <v>37</v>
      </c>
      <c r="I1097" s="1">
        <f ca="1">financials[[#This Row],[Units Sold]]*financials[[#This Row],[Sale Price]]</f>
        <v>12950</v>
      </c>
      <c r="J10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647.5</v>
      </c>
      <c r="K1097" s="1">
        <f ca="1">financials[[#This Row],[Gross Sales]]-financials[[#This Row],[Discounts]]</f>
        <v>12302.5</v>
      </c>
      <c r="L1097" s="1">
        <f ca="1">financials[[#This Row],[Units Sold]]*financials[[#This Row],[Manufacturing Price]]</f>
        <v>7000</v>
      </c>
      <c r="M1097" s="1">
        <f ca="1">financials[[#This Row],[Sales]]-financials[[#This Row],[COGS]]</f>
        <v>5302.5</v>
      </c>
      <c r="N1097" s="7">
        <f t="shared" ca="1" si="35"/>
        <v>45732</v>
      </c>
      <c r="O1097" s="8">
        <f ca="1">MONTH(financials[[#This Row],[Date]])</f>
        <v>3</v>
      </c>
      <c r="P1097" s="6" t="str">
        <f ca="1">TEXT(financials[[#This Row],[Date]],"MMM")</f>
        <v>Mar</v>
      </c>
      <c r="Q1097">
        <f ca="1">YEAR(financials[[#This Row],[Date]])</f>
        <v>2025</v>
      </c>
    </row>
    <row r="1098" spans="1:17" x14ac:dyDescent="0.3">
      <c r="A1098" t="s">
        <v>16</v>
      </c>
      <c r="B1098" t="s">
        <v>20</v>
      </c>
      <c r="C1098" s="6" t="s">
        <v>31</v>
      </c>
      <c r="D1098" s="6" t="str">
        <f>CONCATENATE(financials[[#This Row],[Segment]],",",financials[[#This Row],[Country]],",",financials[[#This Row],[Product]])</f>
        <v>Government,Germany,Amarilla</v>
      </c>
      <c r="E1098" s="6" t="s">
        <v>33</v>
      </c>
      <c r="F1098">
        <f t="shared" ca="1" si="34"/>
        <v>458</v>
      </c>
      <c r="G1098" s="1">
        <f ca="1">VLOOKUP(financials[[#This Row],[ID]],Prices!D:F,2,FALSE)</f>
        <v>10</v>
      </c>
      <c r="H1098" s="1">
        <f ca="1">VLOOKUP(financials[[#This Row],[ID]],Prices!D:F,3,FALSE)</f>
        <v>20</v>
      </c>
      <c r="I1098" s="1">
        <f ca="1">financials[[#This Row],[Units Sold]]*financials[[#This Row],[Sale Price]]</f>
        <v>9160</v>
      </c>
      <c r="J10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458</v>
      </c>
      <c r="K1098" s="1">
        <f ca="1">financials[[#This Row],[Gross Sales]]-financials[[#This Row],[Discounts]]</f>
        <v>8702</v>
      </c>
      <c r="L1098" s="1">
        <f ca="1">financials[[#This Row],[Units Sold]]*financials[[#This Row],[Manufacturing Price]]</f>
        <v>4580</v>
      </c>
      <c r="M1098" s="1">
        <f ca="1">financials[[#This Row],[Sales]]-financials[[#This Row],[COGS]]</f>
        <v>4122</v>
      </c>
      <c r="N1098" s="7">
        <f t="shared" ca="1" si="35"/>
        <v>45323</v>
      </c>
      <c r="O1098" s="8">
        <f ca="1">MONTH(financials[[#This Row],[Date]])</f>
        <v>2</v>
      </c>
      <c r="P1098" s="6" t="str">
        <f ca="1">TEXT(financials[[#This Row],[Date]],"MMM")</f>
        <v>Feb</v>
      </c>
      <c r="Q1098">
        <f ca="1">YEAR(financials[[#This Row],[Date]])</f>
        <v>2024</v>
      </c>
    </row>
    <row r="1099" spans="1:17" x14ac:dyDescent="0.3">
      <c r="A1099" t="s">
        <v>27</v>
      </c>
      <c r="B1099" t="s">
        <v>23</v>
      </c>
      <c r="C1099" s="6" t="s">
        <v>31</v>
      </c>
      <c r="D1099" s="6" t="str">
        <f>CONCATENATE(financials[[#This Row],[Segment]],",",financials[[#This Row],[Country]],",",financials[[#This Row],[Product]])</f>
        <v>Small Business,Mexico,Amarilla</v>
      </c>
      <c r="E1099" s="6" t="s">
        <v>33</v>
      </c>
      <c r="F1099">
        <f t="shared" ca="1" si="34"/>
        <v>79</v>
      </c>
      <c r="G1099" s="1">
        <f ca="1">VLOOKUP(financials[[#This Row],[ID]],Prices!D:F,2,FALSE)</f>
        <v>14</v>
      </c>
      <c r="H1099" s="1">
        <f ca="1">VLOOKUP(financials[[#This Row],[ID]],Prices!D:F,3,FALSE)</f>
        <v>33</v>
      </c>
      <c r="I1099" s="1">
        <f ca="1">financials[[#This Row],[Units Sold]]*financials[[#This Row],[Sale Price]]</f>
        <v>2607</v>
      </c>
      <c r="J10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130.35</v>
      </c>
      <c r="K1099" s="1">
        <f ca="1">financials[[#This Row],[Gross Sales]]-financials[[#This Row],[Discounts]]</f>
        <v>2476.65</v>
      </c>
      <c r="L1099" s="1">
        <f ca="1">financials[[#This Row],[Units Sold]]*financials[[#This Row],[Manufacturing Price]]</f>
        <v>1106</v>
      </c>
      <c r="M1099" s="1">
        <f ca="1">financials[[#This Row],[Sales]]-financials[[#This Row],[COGS]]</f>
        <v>1370.65</v>
      </c>
      <c r="N1099" s="7">
        <f t="shared" ca="1" si="35"/>
        <v>45209</v>
      </c>
      <c r="O1099" s="8">
        <f ca="1">MONTH(financials[[#This Row],[Date]])</f>
        <v>10</v>
      </c>
      <c r="P1099" s="6" t="str">
        <f ca="1">TEXT(financials[[#This Row],[Date]],"MMM")</f>
        <v>Oct</v>
      </c>
      <c r="Q1099">
        <f ca="1">YEAR(financials[[#This Row],[Date]])</f>
        <v>2023</v>
      </c>
    </row>
    <row r="1100" spans="1:17" x14ac:dyDescent="0.3">
      <c r="A1100" t="s">
        <v>16</v>
      </c>
      <c r="B1100" t="s">
        <v>20</v>
      </c>
      <c r="C1100" s="6" t="s">
        <v>31</v>
      </c>
      <c r="D1100" s="6" t="str">
        <f>CONCATENATE(financials[[#This Row],[Segment]],",",financials[[#This Row],[Country]],",",financials[[#This Row],[Product]])</f>
        <v>Government,Germany,Amarilla</v>
      </c>
      <c r="E1100" s="6" t="s">
        <v>33</v>
      </c>
      <c r="F1100">
        <f t="shared" ca="1" si="34"/>
        <v>78</v>
      </c>
      <c r="G1100" s="1">
        <f ca="1">VLOOKUP(financials[[#This Row],[ID]],Prices!D:F,2,FALSE)</f>
        <v>10</v>
      </c>
      <c r="H1100" s="1">
        <f ca="1">VLOOKUP(financials[[#This Row],[ID]],Prices!D:F,3,FALSE)</f>
        <v>20</v>
      </c>
      <c r="I1100" s="1">
        <f ca="1">financials[[#This Row],[Units Sold]]*financials[[#This Row],[Sale Price]]</f>
        <v>1560</v>
      </c>
      <c r="J11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</v>
      </c>
      <c r="K1100" s="1">
        <f ca="1">financials[[#This Row],[Gross Sales]]-financials[[#This Row],[Discounts]]</f>
        <v>1482</v>
      </c>
      <c r="L1100" s="1">
        <f ca="1">financials[[#This Row],[Units Sold]]*financials[[#This Row],[Manufacturing Price]]</f>
        <v>780</v>
      </c>
      <c r="M1100" s="1">
        <f ca="1">financials[[#This Row],[Sales]]-financials[[#This Row],[COGS]]</f>
        <v>702</v>
      </c>
      <c r="N1100" s="7">
        <f t="shared" ca="1" si="35"/>
        <v>45288</v>
      </c>
      <c r="O1100" s="8">
        <f ca="1">MONTH(financials[[#This Row],[Date]])</f>
        <v>12</v>
      </c>
      <c r="P1100" s="6" t="str">
        <f ca="1">TEXT(financials[[#This Row],[Date]],"MMM")</f>
        <v>Dec</v>
      </c>
      <c r="Q1100">
        <f ca="1">YEAR(financials[[#This Row],[Date]])</f>
        <v>2023</v>
      </c>
    </row>
    <row r="1101" spans="1:17" x14ac:dyDescent="0.3">
      <c r="A1101" t="s">
        <v>21</v>
      </c>
      <c r="B1101" t="s">
        <v>20</v>
      </c>
      <c r="C1101" s="6" t="s">
        <v>31</v>
      </c>
      <c r="D1101" s="6" t="str">
        <f>CONCATENATE(financials[[#This Row],[Segment]],",",financials[[#This Row],[Country]],",",financials[[#This Row],[Product]])</f>
        <v>Midmarket,Germany,Amarilla</v>
      </c>
      <c r="E1101" s="6" t="s">
        <v>33</v>
      </c>
      <c r="F1101">
        <f t="shared" ca="1" si="34"/>
        <v>283</v>
      </c>
      <c r="G1101" s="1">
        <f ca="1">VLOOKUP(financials[[#This Row],[ID]],Prices!D:F,2,FALSE)</f>
        <v>18</v>
      </c>
      <c r="H1101" s="1">
        <f ca="1">VLOOKUP(financials[[#This Row],[ID]],Prices!D:F,3,FALSE)</f>
        <v>28</v>
      </c>
      <c r="I1101" s="1">
        <f ca="1">financials[[#This Row],[Units Sold]]*financials[[#This Row],[Sale Price]]</f>
        <v>7924</v>
      </c>
      <c r="J11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396.20000000000005</v>
      </c>
      <c r="K1101" s="1">
        <f ca="1">financials[[#This Row],[Gross Sales]]-financials[[#This Row],[Discounts]]</f>
        <v>7527.8</v>
      </c>
      <c r="L1101" s="1">
        <f ca="1">financials[[#This Row],[Units Sold]]*financials[[#This Row],[Manufacturing Price]]</f>
        <v>5094</v>
      </c>
      <c r="M1101" s="1">
        <f ca="1">financials[[#This Row],[Sales]]-financials[[#This Row],[COGS]]</f>
        <v>2433.8000000000002</v>
      </c>
      <c r="N1101" s="7">
        <f t="shared" ca="1" si="35"/>
        <v>45202</v>
      </c>
      <c r="O1101" s="8">
        <f ca="1">MONTH(financials[[#This Row],[Date]])</f>
        <v>10</v>
      </c>
      <c r="P1101" s="6" t="str">
        <f ca="1">TEXT(financials[[#This Row],[Date]],"MMM")</f>
        <v>Oct</v>
      </c>
      <c r="Q1101">
        <f ca="1">YEAR(financials[[#This Row],[Date]])</f>
        <v>2023</v>
      </c>
    </row>
    <row r="1102" spans="1:17" x14ac:dyDescent="0.3">
      <c r="A1102" t="s">
        <v>25</v>
      </c>
      <c r="B1102" t="s">
        <v>23</v>
      </c>
      <c r="C1102" s="6" t="s">
        <v>31</v>
      </c>
      <c r="D1102" s="6" t="str">
        <f>CONCATENATE(financials[[#This Row],[Segment]],",",financials[[#This Row],[Country]],",",financials[[#This Row],[Product]])</f>
        <v>Channel Partners,Mexico,Amarilla</v>
      </c>
      <c r="E1102" s="6" t="s">
        <v>33</v>
      </c>
      <c r="F1102">
        <f t="shared" ca="1" si="34"/>
        <v>445</v>
      </c>
      <c r="G1102" s="1">
        <f ca="1">VLOOKUP(financials[[#This Row],[ID]],Prices!D:F,2,FALSE)</f>
        <v>11</v>
      </c>
      <c r="H1102" s="1">
        <f ca="1">VLOOKUP(financials[[#This Row],[ID]],Prices!D:F,3,FALSE)</f>
        <v>20</v>
      </c>
      <c r="I1102" s="1">
        <f ca="1">financials[[#This Row],[Units Sold]]*financials[[#This Row],[Sale Price]]</f>
        <v>8900</v>
      </c>
      <c r="J11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445</v>
      </c>
      <c r="K1102" s="1">
        <f ca="1">financials[[#This Row],[Gross Sales]]-financials[[#This Row],[Discounts]]</f>
        <v>8455</v>
      </c>
      <c r="L1102" s="1">
        <f ca="1">financials[[#This Row],[Units Sold]]*financials[[#This Row],[Manufacturing Price]]</f>
        <v>4895</v>
      </c>
      <c r="M1102" s="1">
        <f ca="1">financials[[#This Row],[Sales]]-financials[[#This Row],[COGS]]</f>
        <v>3560</v>
      </c>
      <c r="N1102" s="7">
        <f t="shared" ca="1" si="35"/>
        <v>45154</v>
      </c>
      <c r="O1102" s="8">
        <f ca="1">MONTH(financials[[#This Row],[Date]])</f>
        <v>8</v>
      </c>
      <c r="P1102" s="6" t="str">
        <f ca="1">TEXT(financials[[#This Row],[Date]],"MMM")</f>
        <v>Aug</v>
      </c>
      <c r="Q1102">
        <f ca="1">YEAR(financials[[#This Row],[Date]])</f>
        <v>2023</v>
      </c>
    </row>
    <row r="1103" spans="1:17" x14ac:dyDescent="0.3">
      <c r="A1103" t="s">
        <v>27</v>
      </c>
      <c r="B1103" t="s">
        <v>23</v>
      </c>
      <c r="C1103" s="6" t="s">
        <v>31</v>
      </c>
      <c r="D1103" s="6" t="str">
        <f>CONCATENATE(financials[[#This Row],[Segment]],",",financials[[#This Row],[Country]],",",financials[[#This Row],[Product]])</f>
        <v>Small Business,Mexico,Amarilla</v>
      </c>
      <c r="E1103" s="6" t="s">
        <v>33</v>
      </c>
      <c r="F1103">
        <f t="shared" ca="1" si="34"/>
        <v>596</v>
      </c>
      <c r="G1103" s="1">
        <f ca="1">VLOOKUP(financials[[#This Row],[ID]],Prices!D:F,2,FALSE)</f>
        <v>14</v>
      </c>
      <c r="H1103" s="1">
        <f ca="1">VLOOKUP(financials[[#This Row],[ID]],Prices!D:F,3,FALSE)</f>
        <v>33</v>
      </c>
      <c r="I1103" s="1">
        <f ca="1">financials[[#This Row],[Units Sold]]*financials[[#This Row],[Sale Price]]</f>
        <v>19668</v>
      </c>
      <c r="J11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983.40000000000009</v>
      </c>
      <c r="K1103" s="1">
        <f ca="1">financials[[#This Row],[Gross Sales]]-financials[[#This Row],[Discounts]]</f>
        <v>18684.599999999999</v>
      </c>
      <c r="L1103" s="1">
        <f ca="1">financials[[#This Row],[Units Sold]]*financials[[#This Row],[Manufacturing Price]]</f>
        <v>8344</v>
      </c>
      <c r="M1103" s="1">
        <f ca="1">financials[[#This Row],[Sales]]-financials[[#This Row],[COGS]]</f>
        <v>10340.599999999999</v>
      </c>
      <c r="N1103" s="7">
        <f t="shared" ca="1" si="35"/>
        <v>45670</v>
      </c>
      <c r="O1103" s="8">
        <f ca="1">MONTH(financials[[#This Row],[Date]])</f>
        <v>1</v>
      </c>
      <c r="P1103" s="6" t="str">
        <f ca="1">TEXT(financials[[#This Row],[Date]],"MMM")</f>
        <v>Jan</v>
      </c>
      <c r="Q1103">
        <f ca="1">YEAR(financials[[#This Row],[Date]])</f>
        <v>2025</v>
      </c>
    </row>
    <row r="1104" spans="1:17" x14ac:dyDescent="0.3">
      <c r="A1104" t="s">
        <v>16</v>
      </c>
      <c r="B1104" t="s">
        <v>36</v>
      </c>
      <c r="C1104" s="6" t="s">
        <v>30</v>
      </c>
      <c r="D1104" s="6" t="str">
        <f>CONCATENATE(financials[[#This Row],[Segment]],",",financials[[#This Row],[Country]],",",financials[[#This Row],[Product]])</f>
        <v>Government,USA,VTT</v>
      </c>
      <c r="E1104" s="6" t="s">
        <v>33</v>
      </c>
      <c r="F1104">
        <f t="shared" ca="1" si="34"/>
        <v>530</v>
      </c>
      <c r="G1104" s="1">
        <f ca="1">VLOOKUP(financials[[#This Row],[ID]],Prices!D:F,2,FALSE)</f>
        <v>13</v>
      </c>
      <c r="H1104" s="1">
        <f ca="1">VLOOKUP(financials[[#This Row],[ID]],Prices!D:F,3,FALSE)</f>
        <v>31</v>
      </c>
      <c r="I1104" s="1">
        <f ca="1">financials[[#This Row],[Units Sold]]*financials[[#This Row],[Sale Price]]</f>
        <v>16430</v>
      </c>
      <c r="J11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821.5</v>
      </c>
      <c r="K1104" s="1">
        <f ca="1">financials[[#This Row],[Gross Sales]]-financials[[#This Row],[Discounts]]</f>
        <v>15608.5</v>
      </c>
      <c r="L1104" s="1">
        <f ca="1">financials[[#This Row],[Units Sold]]*financials[[#This Row],[Manufacturing Price]]</f>
        <v>6890</v>
      </c>
      <c r="M1104" s="1">
        <f ca="1">financials[[#This Row],[Sales]]-financials[[#This Row],[COGS]]</f>
        <v>8718.5</v>
      </c>
      <c r="N1104" s="7">
        <f t="shared" ca="1" si="35"/>
        <v>45200</v>
      </c>
      <c r="O1104" s="8">
        <f ca="1">MONTH(financials[[#This Row],[Date]])</f>
        <v>10</v>
      </c>
      <c r="P1104" s="6" t="str">
        <f ca="1">TEXT(financials[[#This Row],[Date]],"MMM")</f>
        <v>Oct</v>
      </c>
      <c r="Q1104">
        <f ca="1">YEAR(financials[[#This Row],[Date]])</f>
        <v>2023</v>
      </c>
    </row>
    <row r="1105" spans="1:17" x14ac:dyDescent="0.3">
      <c r="A1105" t="s">
        <v>27</v>
      </c>
      <c r="B1105" t="s">
        <v>17</v>
      </c>
      <c r="C1105" s="6" t="s">
        <v>18</v>
      </c>
      <c r="D1105" s="6" t="str">
        <f>CONCATENATE(financials[[#This Row],[Segment]],",",financials[[#This Row],[Country]],",",financials[[#This Row],[Product]])</f>
        <v>Small Business,Canada,Carretera</v>
      </c>
      <c r="E1105" s="6" t="s">
        <v>33</v>
      </c>
      <c r="F1105">
        <f t="shared" ca="1" si="34"/>
        <v>13</v>
      </c>
      <c r="G1105" s="1">
        <f ca="1">VLOOKUP(financials[[#This Row],[ID]],Prices!D:F,2,FALSE)</f>
        <v>16</v>
      </c>
      <c r="H1105" s="1">
        <f ca="1">VLOOKUP(financials[[#This Row],[ID]],Prices!D:F,3,FALSE)</f>
        <v>20</v>
      </c>
      <c r="I1105" s="1">
        <f ca="1">financials[[#This Row],[Units Sold]]*financials[[#This Row],[Sale Price]]</f>
        <v>260</v>
      </c>
      <c r="J11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2.6</v>
      </c>
      <c r="K1105" s="1">
        <f ca="1">financials[[#This Row],[Gross Sales]]-financials[[#This Row],[Discounts]]</f>
        <v>257.39999999999998</v>
      </c>
      <c r="L1105" s="1">
        <f ca="1">financials[[#This Row],[Units Sold]]*financials[[#This Row],[Manufacturing Price]]</f>
        <v>208</v>
      </c>
      <c r="M1105" s="1">
        <f ca="1">financials[[#This Row],[Sales]]-financials[[#This Row],[COGS]]</f>
        <v>49.399999999999977</v>
      </c>
      <c r="N1105" s="7">
        <f t="shared" ca="1" si="35"/>
        <v>45440</v>
      </c>
      <c r="O1105" s="8">
        <f ca="1">MONTH(financials[[#This Row],[Date]])</f>
        <v>5</v>
      </c>
      <c r="P1105" s="6" t="str">
        <f ca="1">TEXT(financials[[#This Row],[Date]],"MMM")</f>
        <v>May</v>
      </c>
      <c r="Q1105">
        <f ca="1">YEAR(financials[[#This Row],[Date]])</f>
        <v>2024</v>
      </c>
    </row>
    <row r="1106" spans="1:17" x14ac:dyDescent="0.3">
      <c r="A1106" t="s">
        <v>25</v>
      </c>
      <c r="B1106" t="s">
        <v>23</v>
      </c>
      <c r="C1106" s="6" t="s">
        <v>18</v>
      </c>
      <c r="D1106" s="6" t="str">
        <f>CONCATENATE(financials[[#This Row],[Segment]],",",financials[[#This Row],[Country]],",",financials[[#This Row],[Product]])</f>
        <v>Channel Partners,Mexico,Carretera</v>
      </c>
      <c r="E1106" s="6" t="s">
        <v>33</v>
      </c>
      <c r="F1106">
        <f t="shared" ca="1" si="34"/>
        <v>221</v>
      </c>
      <c r="G1106" s="1">
        <f ca="1">VLOOKUP(financials[[#This Row],[ID]],Prices!D:F,2,FALSE)</f>
        <v>14</v>
      </c>
      <c r="H1106" s="1">
        <f ca="1">VLOOKUP(financials[[#This Row],[ID]],Prices!D:F,3,FALSE)</f>
        <v>18</v>
      </c>
      <c r="I1106" s="1">
        <f ca="1">financials[[#This Row],[Units Sold]]*financials[[#This Row],[Sale Price]]</f>
        <v>3978</v>
      </c>
      <c r="J11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198.9</v>
      </c>
      <c r="K1106" s="1">
        <f ca="1">financials[[#This Row],[Gross Sales]]-financials[[#This Row],[Discounts]]</f>
        <v>3779.1</v>
      </c>
      <c r="L1106" s="1">
        <f ca="1">financials[[#This Row],[Units Sold]]*financials[[#This Row],[Manufacturing Price]]</f>
        <v>3094</v>
      </c>
      <c r="M1106" s="1">
        <f ca="1">financials[[#This Row],[Sales]]-financials[[#This Row],[COGS]]</f>
        <v>685.09999999999991</v>
      </c>
      <c r="N1106" s="7">
        <f t="shared" ca="1" si="35"/>
        <v>45439</v>
      </c>
      <c r="O1106" s="8">
        <f ca="1">MONTH(financials[[#This Row],[Date]])</f>
        <v>5</v>
      </c>
      <c r="P1106" s="6" t="str">
        <f ca="1">TEXT(financials[[#This Row],[Date]],"MMM")</f>
        <v>May</v>
      </c>
      <c r="Q1106">
        <f ca="1">YEAR(financials[[#This Row],[Date]])</f>
        <v>2024</v>
      </c>
    </row>
    <row r="1107" spans="1:17" x14ac:dyDescent="0.3">
      <c r="A1107" t="s">
        <v>27</v>
      </c>
      <c r="B1107" t="s">
        <v>17</v>
      </c>
      <c r="C1107" s="6" t="s">
        <v>24</v>
      </c>
      <c r="D1107" s="6" t="str">
        <f>CONCATENATE(financials[[#This Row],[Segment]],",",financials[[#This Row],[Country]],",",financials[[#This Row],[Product]])</f>
        <v>Small Business,Canada,Montana</v>
      </c>
      <c r="E1107" s="6" t="s">
        <v>33</v>
      </c>
      <c r="F1107">
        <f t="shared" ca="1" si="34"/>
        <v>446</v>
      </c>
      <c r="G1107" s="1">
        <f ca="1">VLOOKUP(financials[[#This Row],[ID]],Prices!D:F,2,FALSE)</f>
        <v>17</v>
      </c>
      <c r="H1107" s="1">
        <f ca="1">VLOOKUP(financials[[#This Row],[ID]],Prices!D:F,3,FALSE)</f>
        <v>21</v>
      </c>
      <c r="I1107" s="1">
        <f ca="1">financials[[#This Row],[Units Sold]]*financials[[#This Row],[Sale Price]]</f>
        <v>9366</v>
      </c>
      <c r="J11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468.3</v>
      </c>
      <c r="K1107" s="1">
        <f ca="1">financials[[#This Row],[Gross Sales]]-financials[[#This Row],[Discounts]]</f>
        <v>8897.7000000000007</v>
      </c>
      <c r="L1107" s="1">
        <f ca="1">financials[[#This Row],[Units Sold]]*financials[[#This Row],[Manufacturing Price]]</f>
        <v>7582</v>
      </c>
      <c r="M1107" s="1">
        <f ca="1">financials[[#This Row],[Sales]]-financials[[#This Row],[COGS]]</f>
        <v>1315.7000000000007</v>
      </c>
      <c r="N1107" s="7">
        <f t="shared" ca="1" si="35"/>
        <v>45421</v>
      </c>
      <c r="O1107" s="8">
        <f ca="1">MONTH(financials[[#This Row],[Date]])</f>
        <v>5</v>
      </c>
      <c r="P1107" s="6" t="str">
        <f ca="1">TEXT(financials[[#This Row],[Date]],"MMM")</f>
        <v>May</v>
      </c>
      <c r="Q1107">
        <f ca="1">YEAR(financials[[#This Row],[Date]])</f>
        <v>2024</v>
      </c>
    </row>
    <row r="1108" spans="1:17" x14ac:dyDescent="0.3">
      <c r="A1108" t="s">
        <v>16</v>
      </c>
      <c r="B1108" t="s">
        <v>22</v>
      </c>
      <c r="C1108" s="6" t="s">
        <v>24</v>
      </c>
      <c r="D1108" s="6" t="str">
        <f>CONCATENATE(financials[[#This Row],[Segment]],",",financials[[#This Row],[Country]],",",financials[[#This Row],[Product]])</f>
        <v>Government,France,Montana</v>
      </c>
      <c r="E1108" s="6" t="s">
        <v>33</v>
      </c>
      <c r="F1108">
        <f t="shared" ca="1" si="34"/>
        <v>402</v>
      </c>
      <c r="G1108" s="1">
        <f ca="1">VLOOKUP(financials[[#This Row],[ID]],Prices!D:F,2,FALSE)</f>
        <v>19</v>
      </c>
      <c r="H1108" s="1">
        <f ca="1">VLOOKUP(financials[[#This Row],[ID]],Prices!D:F,3,FALSE)</f>
        <v>22</v>
      </c>
      <c r="I1108" s="1">
        <f ca="1">financials[[#This Row],[Units Sold]]*financials[[#This Row],[Sale Price]]</f>
        <v>8844</v>
      </c>
      <c r="J11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442.20000000000005</v>
      </c>
      <c r="K1108" s="1">
        <f ca="1">financials[[#This Row],[Gross Sales]]-financials[[#This Row],[Discounts]]</f>
        <v>8401.7999999999993</v>
      </c>
      <c r="L1108" s="1">
        <f ca="1">financials[[#This Row],[Units Sold]]*financials[[#This Row],[Manufacturing Price]]</f>
        <v>7638</v>
      </c>
      <c r="M1108" s="1">
        <f ca="1">financials[[#This Row],[Sales]]-financials[[#This Row],[COGS]]</f>
        <v>763.79999999999927</v>
      </c>
      <c r="N1108" s="7">
        <f t="shared" ca="1" si="35"/>
        <v>45113</v>
      </c>
      <c r="O1108" s="8">
        <f ca="1">MONTH(financials[[#This Row],[Date]])</f>
        <v>7</v>
      </c>
      <c r="P1108" s="6" t="str">
        <f ca="1">TEXT(financials[[#This Row],[Date]],"MMM")</f>
        <v>Jul</v>
      </c>
      <c r="Q1108">
        <f ca="1">YEAR(financials[[#This Row],[Date]])</f>
        <v>2023</v>
      </c>
    </row>
    <row r="1109" spans="1:17" x14ac:dyDescent="0.3">
      <c r="A1109" t="s">
        <v>27</v>
      </c>
      <c r="B1109" t="s">
        <v>22</v>
      </c>
      <c r="C1109" s="6" t="s">
        <v>24</v>
      </c>
      <c r="D1109" s="6" t="str">
        <f>CONCATENATE(financials[[#This Row],[Segment]],",",financials[[#This Row],[Country]],",",financials[[#This Row],[Product]])</f>
        <v>Small Business,France,Montana</v>
      </c>
      <c r="E1109" s="6" t="s">
        <v>33</v>
      </c>
      <c r="F1109">
        <f t="shared" ca="1" si="34"/>
        <v>36</v>
      </c>
      <c r="G1109" s="1">
        <f ca="1">VLOOKUP(financials[[#This Row],[ID]],Prices!D:F,2,FALSE)</f>
        <v>14</v>
      </c>
      <c r="H1109" s="1">
        <f ca="1">VLOOKUP(financials[[#This Row],[ID]],Prices!D:F,3,FALSE)</f>
        <v>35</v>
      </c>
      <c r="I1109" s="1">
        <f ca="1">financials[[#This Row],[Units Sold]]*financials[[#This Row],[Sale Price]]</f>
        <v>1260</v>
      </c>
      <c r="J11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</v>
      </c>
      <c r="K1109" s="1">
        <f ca="1">financials[[#This Row],[Gross Sales]]-financials[[#This Row],[Discounts]]</f>
        <v>1197</v>
      </c>
      <c r="L1109" s="1">
        <f ca="1">financials[[#This Row],[Units Sold]]*financials[[#This Row],[Manufacturing Price]]</f>
        <v>504</v>
      </c>
      <c r="M1109" s="1">
        <f ca="1">financials[[#This Row],[Sales]]-financials[[#This Row],[COGS]]</f>
        <v>693</v>
      </c>
      <c r="N1109" s="7">
        <f t="shared" ca="1" si="35"/>
        <v>45648</v>
      </c>
      <c r="O1109" s="8">
        <f ca="1">MONTH(financials[[#This Row],[Date]])</f>
        <v>12</v>
      </c>
      <c r="P1109" s="6" t="str">
        <f ca="1">TEXT(financials[[#This Row],[Date]],"MMM")</f>
        <v>Dec</v>
      </c>
      <c r="Q1109">
        <f ca="1">YEAR(financials[[#This Row],[Date]])</f>
        <v>2024</v>
      </c>
    </row>
    <row r="1110" spans="1:17" x14ac:dyDescent="0.3">
      <c r="A1110" t="s">
        <v>25</v>
      </c>
      <c r="B1110" t="s">
        <v>17</v>
      </c>
      <c r="C1110" s="6" t="s">
        <v>24</v>
      </c>
      <c r="D1110" s="6" t="str">
        <f>CONCATENATE(financials[[#This Row],[Segment]],",",financials[[#This Row],[Country]],",",financials[[#This Row],[Product]])</f>
        <v>Channel Partners,Canada,Montana</v>
      </c>
      <c r="E1110" s="6" t="s">
        <v>33</v>
      </c>
      <c r="F1110">
        <f t="shared" ca="1" si="34"/>
        <v>990</v>
      </c>
      <c r="G1110" s="1">
        <f ca="1">VLOOKUP(financials[[#This Row],[ID]],Prices!D:F,2,FALSE)</f>
        <v>17</v>
      </c>
      <c r="H1110" s="1">
        <f ca="1">VLOOKUP(financials[[#This Row],[ID]],Prices!D:F,3,FALSE)</f>
        <v>26</v>
      </c>
      <c r="I1110" s="1">
        <f ca="1">financials[[#This Row],[Units Sold]]*financials[[#This Row],[Sale Price]]</f>
        <v>25740</v>
      </c>
      <c r="J11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1287</v>
      </c>
      <c r="K1110" s="1">
        <f ca="1">financials[[#This Row],[Gross Sales]]-financials[[#This Row],[Discounts]]</f>
        <v>24453</v>
      </c>
      <c r="L1110" s="1">
        <f ca="1">financials[[#This Row],[Units Sold]]*financials[[#This Row],[Manufacturing Price]]</f>
        <v>16830</v>
      </c>
      <c r="M1110" s="1">
        <f ca="1">financials[[#This Row],[Sales]]-financials[[#This Row],[COGS]]</f>
        <v>7623</v>
      </c>
      <c r="N1110" s="7">
        <f t="shared" ca="1" si="35"/>
        <v>45602</v>
      </c>
      <c r="O1110" s="8">
        <f ca="1">MONTH(financials[[#This Row],[Date]])</f>
        <v>11</v>
      </c>
      <c r="P1110" s="6" t="str">
        <f ca="1">TEXT(financials[[#This Row],[Date]],"MMM")</f>
        <v>Nov</v>
      </c>
      <c r="Q1110">
        <f ca="1">YEAR(financials[[#This Row],[Date]])</f>
        <v>2024</v>
      </c>
    </row>
    <row r="1111" spans="1:17" x14ac:dyDescent="0.3">
      <c r="A1111" t="s">
        <v>26</v>
      </c>
      <c r="B1111" t="s">
        <v>22</v>
      </c>
      <c r="C1111" s="6" t="s">
        <v>24</v>
      </c>
      <c r="D1111" s="6" t="str">
        <f>CONCATENATE(financials[[#This Row],[Segment]],",",financials[[#This Row],[Country]],",",financials[[#This Row],[Product]])</f>
        <v>Enterprise,France,Montana</v>
      </c>
      <c r="E1111" s="6" t="s">
        <v>33</v>
      </c>
      <c r="F1111">
        <f t="shared" ca="1" si="34"/>
        <v>158</v>
      </c>
      <c r="G1111" s="1">
        <f ca="1">VLOOKUP(financials[[#This Row],[ID]],Prices!D:F,2,FALSE)</f>
        <v>11</v>
      </c>
      <c r="H1111" s="1">
        <f ca="1">VLOOKUP(financials[[#This Row],[ID]],Prices!D:F,3,FALSE)</f>
        <v>29</v>
      </c>
      <c r="I1111" s="1">
        <f ca="1">financials[[#This Row],[Units Sold]]*financials[[#This Row],[Sale Price]]</f>
        <v>4582</v>
      </c>
      <c r="J11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229.10000000000002</v>
      </c>
      <c r="K1111" s="1">
        <f ca="1">financials[[#This Row],[Gross Sales]]-financials[[#This Row],[Discounts]]</f>
        <v>4352.8999999999996</v>
      </c>
      <c r="L1111" s="1">
        <f ca="1">financials[[#This Row],[Units Sold]]*financials[[#This Row],[Manufacturing Price]]</f>
        <v>1738</v>
      </c>
      <c r="M1111" s="1">
        <f ca="1">financials[[#This Row],[Sales]]-financials[[#This Row],[COGS]]</f>
        <v>2614.8999999999996</v>
      </c>
      <c r="N1111" s="7">
        <f t="shared" ca="1" si="35"/>
        <v>45361</v>
      </c>
      <c r="O1111" s="8">
        <f ca="1">MONTH(financials[[#This Row],[Date]])</f>
        <v>3</v>
      </c>
      <c r="P1111" s="6" t="str">
        <f ca="1">TEXT(financials[[#This Row],[Date]],"MMM")</f>
        <v>Mar</v>
      </c>
      <c r="Q1111">
        <f ca="1">YEAR(financials[[#This Row],[Date]])</f>
        <v>2024</v>
      </c>
    </row>
    <row r="1112" spans="1:17" x14ac:dyDescent="0.3">
      <c r="A1112" t="s">
        <v>16</v>
      </c>
      <c r="B1112" t="s">
        <v>17</v>
      </c>
      <c r="C1112" s="6" t="s">
        <v>24</v>
      </c>
      <c r="D1112" s="6" t="str">
        <f>CONCATENATE(financials[[#This Row],[Segment]],",",financials[[#This Row],[Country]],",",financials[[#This Row],[Product]])</f>
        <v>Government,Canada,Montana</v>
      </c>
      <c r="E1112" s="6" t="s">
        <v>33</v>
      </c>
      <c r="F1112">
        <f t="shared" ca="1" si="34"/>
        <v>132</v>
      </c>
      <c r="G1112" s="1">
        <f ca="1">VLOOKUP(financials[[#This Row],[ID]],Prices!D:F,2,FALSE)</f>
        <v>12</v>
      </c>
      <c r="H1112" s="1">
        <f ca="1">VLOOKUP(financials[[#This Row],[ID]],Prices!D:F,3,FALSE)</f>
        <v>30</v>
      </c>
      <c r="I1112" s="1">
        <f ca="1">financials[[#This Row],[Units Sold]]*financials[[#This Row],[Sale Price]]</f>
        <v>3960</v>
      </c>
      <c r="J11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198</v>
      </c>
      <c r="K1112" s="1">
        <f ca="1">financials[[#This Row],[Gross Sales]]-financials[[#This Row],[Discounts]]</f>
        <v>3762</v>
      </c>
      <c r="L1112" s="1">
        <f ca="1">financials[[#This Row],[Units Sold]]*financials[[#This Row],[Manufacturing Price]]</f>
        <v>1584</v>
      </c>
      <c r="M1112" s="1">
        <f ca="1">financials[[#This Row],[Sales]]-financials[[#This Row],[COGS]]</f>
        <v>2178</v>
      </c>
      <c r="N1112" s="7">
        <f t="shared" ca="1" si="35"/>
        <v>45480</v>
      </c>
      <c r="O1112" s="8">
        <f ca="1">MONTH(financials[[#This Row],[Date]])</f>
        <v>7</v>
      </c>
      <c r="P1112" s="6" t="str">
        <f ca="1">TEXT(financials[[#This Row],[Date]],"MMM")</f>
        <v>Jul</v>
      </c>
      <c r="Q1112">
        <f ca="1">YEAR(financials[[#This Row],[Date]])</f>
        <v>2024</v>
      </c>
    </row>
    <row r="1113" spans="1:17" x14ac:dyDescent="0.3">
      <c r="A1113" t="s">
        <v>26</v>
      </c>
      <c r="B1113" t="s">
        <v>36</v>
      </c>
      <c r="C1113" s="6" t="s">
        <v>24</v>
      </c>
      <c r="D1113" s="6" t="str">
        <f>CONCATENATE(financials[[#This Row],[Segment]],",",financials[[#This Row],[Country]],",",financials[[#This Row],[Product]])</f>
        <v>Enterprise,USA,Montana</v>
      </c>
      <c r="E1113" s="6" t="s">
        <v>33</v>
      </c>
      <c r="F1113">
        <f t="shared" ca="1" si="34"/>
        <v>163</v>
      </c>
      <c r="G1113" s="1">
        <f ca="1">VLOOKUP(financials[[#This Row],[ID]],Prices!D:F,2,FALSE)</f>
        <v>14</v>
      </c>
      <c r="H1113" s="1">
        <f ca="1">VLOOKUP(financials[[#This Row],[ID]],Prices!D:F,3,FALSE)</f>
        <v>29</v>
      </c>
      <c r="I1113" s="1">
        <f ca="1">financials[[#This Row],[Units Sold]]*financials[[#This Row],[Sale Price]]</f>
        <v>4727</v>
      </c>
      <c r="J11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236.35000000000002</v>
      </c>
      <c r="K1113" s="1">
        <f ca="1">financials[[#This Row],[Gross Sales]]-financials[[#This Row],[Discounts]]</f>
        <v>4490.6499999999996</v>
      </c>
      <c r="L1113" s="1">
        <f ca="1">financials[[#This Row],[Units Sold]]*financials[[#This Row],[Manufacturing Price]]</f>
        <v>2282</v>
      </c>
      <c r="M1113" s="1">
        <f ca="1">financials[[#This Row],[Sales]]-financials[[#This Row],[COGS]]</f>
        <v>2208.6499999999996</v>
      </c>
      <c r="N1113" s="7">
        <f t="shared" ca="1" si="35"/>
        <v>45412</v>
      </c>
      <c r="O1113" s="8">
        <f ca="1">MONTH(financials[[#This Row],[Date]])</f>
        <v>4</v>
      </c>
      <c r="P1113" s="6" t="str">
        <f ca="1">TEXT(financials[[#This Row],[Date]],"MMM")</f>
        <v>Apr</v>
      </c>
      <c r="Q1113">
        <f ca="1">YEAR(financials[[#This Row],[Date]])</f>
        <v>2024</v>
      </c>
    </row>
    <row r="1114" spans="1:17" x14ac:dyDescent="0.3">
      <c r="A1114" t="s">
        <v>27</v>
      </c>
      <c r="B1114" t="s">
        <v>20</v>
      </c>
      <c r="C1114" s="6" t="s">
        <v>24</v>
      </c>
      <c r="D1114" s="6" t="str">
        <f>CONCATENATE(financials[[#This Row],[Segment]],",",financials[[#This Row],[Country]],",",financials[[#This Row],[Product]])</f>
        <v>Small Business,Germany,Montana</v>
      </c>
      <c r="E1114" s="6" t="s">
        <v>33</v>
      </c>
      <c r="F1114">
        <f t="shared" ca="1" si="34"/>
        <v>855</v>
      </c>
      <c r="G1114" s="1">
        <f ca="1">VLOOKUP(financials[[#This Row],[ID]],Prices!D:F,2,FALSE)</f>
        <v>18</v>
      </c>
      <c r="H1114" s="1">
        <f ca="1">VLOOKUP(financials[[#This Row],[ID]],Prices!D:F,3,FALSE)</f>
        <v>35</v>
      </c>
      <c r="I1114" s="1">
        <f ca="1">financials[[#This Row],[Units Sold]]*financials[[#This Row],[Sale Price]]</f>
        <v>29925</v>
      </c>
      <c r="J11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1496.25</v>
      </c>
      <c r="K1114" s="1">
        <f ca="1">financials[[#This Row],[Gross Sales]]-financials[[#This Row],[Discounts]]</f>
        <v>28428.75</v>
      </c>
      <c r="L1114" s="1">
        <f ca="1">financials[[#This Row],[Units Sold]]*financials[[#This Row],[Manufacturing Price]]</f>
        <v>15390</v>
      </c>
      <c r="M1114" s="1">
        <f ca="1">financials[[#This Row],[Sales]]-financials[[#This Row],[COGS]]</f>
        <v>13038.75</v>
      </c>
      <c r="N1114" s="7">
        <f t="shared" ca="1" si="35"/>
        <v>45678</v>
      </c>
      <c r="O1114" s="8">
        <f ca="1">MONTH(financials[[#This Row],[Date]])</f>
        <v>1</v>
      </c>
      <c r="P1114" s="6" t="str">
        <f ca="1">TEXT(financials[[#This Row],[Date]],"MMM")</f>
        <v>Jan</v>
      </c>
      <c r="Q1114">
        <f ca="1">YEAR(financials[[#This Row],[Date]])</f>
        <v>2025</v>
      </c>
    </row>
    <row r="1115" spans="1:17" x14ac:dyDescent="0.3">
      <c r="A1115" t="s">
        <v>27</v>
      </c>
      <c r="B1115" t="s">
        <v>23</v>
      </c>
      <c r="C1115" s="6" t="s">
        <v>28</v>
      </c>
      <c r="D1115" s="6" t="str">
        <f>CONCATENATE(financials[[#This Row],[Segment]],",",financials[[#This Row],[Country]],",",financials[[#This Row],[Product]])</f>
        <v>Small Business,Mexico,Paseo</v>
      </c>
      <c r="E1115" s="6" t="s">
        <v>33</v>
      </c>
      <c r="F1115">
        <f t="shared" ca="1" si="34"/>
        <v>979</v>
      </c>
      <c r="G1115" s="1">
        <f ca="1">VLOOKUP(financials[[#This Row],[ID]],Prices!D:F,2,FALSE)</f>
        <v>20</v>
      </c>
      <c r="H1115" s="1">
        <f ca="1">VLOOKUP(financials[[#This Row],[ID]],Prices!D:F,3,FALSE)</f>
        <v>20</v>
      </c>
      <c r="I1115" s="1">
        <f ca="1">financials[[#This Row],[Units Sold]]*financials[[#This Row],[Sale Price]]</f>
        <v>19580</v>
      </c>
      <c r="J11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979</v>
      </c>
      <c r="K1115" s="1">
        <f ca="1">financials[[#This Row],[Gross Sales]]-financials[[#This Row],[Discounts]]</f>
        <v>18601</v>
      </c>
      <c r="L1115" s="1">
        <f ca="1">financials[[#This Row],[Units Sold]]*financials[[#This Row],[Manufacturing Price]]</f>
        <v>19580</v>
      </c>
      <c r="M1115" s="1">
        <f ca="1">financials[[#This Row],[Sales]]-financials[[#This Row],[COGS]]</f>
        <v>-979</v>
      </c>
      <c r="N1115" s="7">
        <f t="shared" ca="1" si="35"/>
        <v>45343</v>
      </c>
      <c r="O1115" s="8">
        <f ca="1">MONTH(financials[[#This Row],[Date]])</f>
        <v>2</v>
      </c>
      <c r="P1115" s="6" t="str">
        <f ca="1">TEXT(financials[[#This Row],[Date]],"MMM")</f>
        <v>Feb</v>
      </c>
      <c r="Q1115">
        <f ca="1">YEAR(financials[[#This Row],[Date]])</f>
        <v>2024</v>
      </c>
    </row>
    <row r="1116" spans="1:17" x14ac:dyDescent="0.3">
      <c r="A1116" t="s">
        <v>16</v>
      </c>
      <c r="B1116" t="s">
        <v>23</v>
      </c>
      <c r="C1116" s="6" t="s">
        <v>28</v>
      </c>
      <c r="D1116" s="6" t="str">
        <f>CONCATENATE(financials[[#This Row],[Segment]],",",financials[[#This Row],[Country]],",",financials[[#This Row],[Product]])</f>
        <v>Government,Mexico,Paseo</v>
      </c>
      <c r="E1116" s="6" t="s">
        <v>33</v>
      </c>
      <c r="F1116">
        <f t="shared" ca="1" si="34"/>
        <v>145</v>
      </c>
      <c r="G1116" s="1">
        <f ca="1">VLOOKUP(financials[[#This Row],[ID]],Prices!D:F,2,FALSE)</f>
        <v>18</v>
      </c>
      <c r="H1116" s="1">
        <f ca="1">VLOOKUP(financials[[#This Row],[ID]],Prices!D:F,3,FALSE)</f>
        <v>19</v>
      </c>
      <c r="I1116" s="1">
        <f ca="1">financials[[#This Row],[Units Sold]]*financials[[#This Row],[Sale Price]]</f>
        <v>2755</v>
      </c>
      <c r="J11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137.75</v>
      </c>
      <c r="K1116" s="1">
        <f ca="1">financials[[#This Row],[Gross Sales]]-financials[[#This Row],[Discounts]]</f>
        <v>2617.25</v>
      </c>
      <c r="L1116" s="1">
        <f ca="1">financials[[#This Row],[Units Sold]]*financials[[#This Row],[Manufacturing Price]]</f>
        <v>2610</v>
      </c>
      <c r="M1116" s="1">
        <f ca="1">financials[[#This Row],[Sales]]-financials[[#This Row],[COGS]]</f>
        <v>7.25</v>
      </c>
      <c r="N1116" s="7">
        <f t="shared" ca="1" si="35"/>
        <v>45535</v>
      </c>
      <c r="O1116" s="8">
        <f ca="1">MONTH(financials[[#This Row],[Date]])</f>
        <v>8</v>
      </c>
      <c r="P1116" s="6" t="str">
        <f ca="1">TEXT(financials[[#This Row],[Date]],"MMM")</f>
        <v>Aug</v>
      </c>
      <c r="Q1116">
        <f ca="1">YEAR(financials[[#This Row],[Date]])</f>
        <v>2024</v>
      </c>
    </row>
    <row r="1117" spans="1:17" x14ac:dyDescent="0.3">
      <c r="A1117" t="s">
        <v>21</v>
      </c>
      <c r="B1117" t="s">
        <v>36</v>
      </c>
      <c r="C1117" s="6" t="s">
        <v>28</v>
      </c>
      <c r="D1117" s="6" t="str">
        <f>CONCATENATE(financials[[#This Row],[Segment]],",",financials[[#This Row],[Country]],",",financials[[#This Row],[Product]])</f>
        <v>Midmarket,USA,Paseo</v>
      </c>
      <c r="E1117" s="6" t="s">
        <v>33</v>
      </c>
      <c r="F1117">
        <f t="shared" ca="1" si="34"/>
        <v>401</v>
      </c>
      <c r="G1117" s="1">
        <f ca="1">VLOOKUP(financials[[#This Row],[ID]],Prices!D:F,2,FALSE)</f>
        <v>13</v>
      </c>
      <c r="H1117" s="1">
        <f ca="1">VLOOKUP(financials[[#This Row],[ID]],Prices!D:F,3,FALSE)</f>
        <v>25</v>
      </c>
      <c r="I1117" s="1">
        <f ca="1">financials[[#This Row],[Units Sold]]*financials[[#This Row],[Sale Price]]</f>
        <v>10025</v>
      </c>
      <c r="J11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501.25</v>
      </c>
      <c r="K1117" s="1">
        <f ca="1">financials[[#This Row],[Gross Sales]]-financials[[#This Row],[Discounts]]</f>
        <v>9523.75</v>
      </c>
      <c r="L1117" s="1">
        <f ca="1">financials[[#This Row],[Units Sold]]*financials[[#This Row],[Manufacturing Price]]</f>
        <v>5213</v>
      </c>
      <c r="M1117" s="1">
        <f ca="1">financials[[#This Row],[Sales]]-financials[[#This Row],[COGS]]</f>
        <v>4310.75</v>
      </c>
      <c r="N1117" s="7">
        <f t="shared" ca="1" si="35"/>
        <v>45213</v>
      </c>
      <c r="O1117" s="8">
        <f ca="1">MONTH(financials[[#This Row],[Date]])</f>
        <v>10</v>
      </c>
      <c r="P1117" s="6" t="str">
        <f ca="1">TEXT(financials[[#This Row],[Date]],"MMM")</f>
        <v>Oct</v>
      </c>
      <c r="Q1117">
        <f ca="1">YEAR(financials[[#This Row],[Date]])</f>
        <v>2023</v>
      </c>
    </row>
    <row r="1118" spans="1:17" x14ac:dyDescent="0.3">
      <c r="A1118" t="s">
        <v>27</v>
      </c>
      <c r="B1118" t="s">
        <v>17</v>
      </c>
      <c r="C1118" s="6" t="s">
        <v>28</v>
      </c>
      <c r="D1118" s="6" t="str">
        <f>CONCATENATE(financials[[#This Row],[Segment]],",",financials[[#This Row],[Country]],",",financials[[#This Row],[Product]])</f>
        <v>Small Business,Canada,Paseo</v>
      </c>
      <c r="E1118" s="6" t="s">
        <v>33</v>
      </c>
      <c r="F1118">
        <f t="shared" ca="1" si="34"/>
        <v>490</v>
      </c>
      <c r="G1118" s="1">
        <f ca="1">VLOOKUP(financials[[#This Row],[ID]],Prices!D:F,2,FALSE)</f>
        <v>20</v>
      </c>
      <c r="H1118" s="1">
        <f ca="1">VLOOKUP(financials[[#This Row],[ID]],Prices!D:F,3,FALSE)</f>
        <v>31</v>
      </c>
      <c r="I1118" s="1">
        <f ca="1">financials[[#This Row],[Units Sold]]*financials[[#This Row],[Sale Price]]</f>
        <v>15190</v>
      </c>
      <c r="J11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759.5</v>
      </c>
      <c r="K1118" s="1">
        <f ca="1">financials[[#This Row],[Gross Sales]]-financials[[#This Row],[Discounts]]</f>
        <v>14430.5</v>
      </c>
      <c r="L1118" s="1">
        <f ca="1">financials[[#This Row],[Units Sold]]*financials[[#This Row],[Manufacturing Price]]</f>
        <v>9800</v>
      </c>
      <c r="M1118" s="1">
        <f ca="1">financials[[#This Row],[Sales]]-financials[[#This Row],[COGS]]</f>
        <v>4630.5</v>
      </c>
      <c r="N1118" s="7">
        <f t="shared" ca="1" si="35"/>
        <v>45394</v>
      </c>
      <c r="O1118" s="8">
        <f ca="1">MONTH(financials[[#This Row],[Date]])</f>
        <v>4</v>
      </c>
      <c r="P1118" s="6" t="str">
        <f ca="1">TEXT(financials[[#This Row],[Date]],"MMM")</f>
        <v>Apr</v>
      </c>
      <c r="Q1118">
        <f ca="1">YEAR(financials[[#This Row],[Date]])</f>
        <v>2024</v>
      </c>
    </row>
    <row r="1119" spans="1:17" x14ac:dyDescent="0.3">
      <c r="A1119" t="s">
        <v>21</v>
      </c>
      <c r="B1119" t="s">
        <v>22</v>
      </c>
      <c r="C1119" s="6" t="s">
        <v>28</v>
      </c>
      <c r="D1119" s="6" t="str">
        <f>CONCATENATE(financials[[#This Row],[Segment]],",",financials[[#This Row],[Country]],",",financials[[#This Row],[Product]])</f>
        <v>Midmarket,France,Paseo</v>
      </c>
      <c r="E1119" s="6" t="s">
        <v>33</v>
      </c>
      <c r="F1119">
        <f t="shared" ca="1" si="34"/>
        <v>479</v>
      </c>
      <c r="G1119" s="1">
        <f ca="1">VLOOKUP(financials[[#This Row],[ID]],Prices!D:F,2,FALSE)</f>
        <v>20</v>
      </c>
      <c r="H1119" s="1">
        <f ca="1">VLOOKUP(financials[[#This Row],[ID]],Prices!D:F,3,FALSE)</f>
        <v>38</v>
      </c>
      <c r="I1119" s="1">
        <f ca="1">financials[[#This Row],[Units Sold]]*financials[[#This Row],[Sale Price]]</f>
        <v>18202</v>
      </c>
      <c r="J11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910.1</v>
      </c>
      <c r="K1119" s="1">
        <f ca="1">financials[[#This Row],[Gross Sales]]-financials[[#This Row],[Discounts]]</f>
        <v>17291.900000000001</v>
      </c>
      <c r="L1119" s="1">
        <f ca="1">financials[[#This Row],[Units Sold]]*financials[[#This Row],[Manufacturing Price]]</f>
        <v>9580</v>
      </c>
      <c r="M1119" s="1">
        <f ca="1">financials[[#This Row],[Sales]]-financials[[#This Row],[COGS]]</f>
        <v>7711.9000000000015</v>
      </c>
      <c r="N1119" s="7">
        <f t="shared" ca="1" si="35"/>
        <v>45651</v>
      </c>
      <c r="O1119" s="8">
        <f ca="1">MONTH(financials[[#This Row],[Date]])</f>
        <v>12</v>
      </c>
      <c r="P1119" s="6" t="str">
        <f ca="1">TEXT(financials[[#This Row],[Date]],"MMM")</f>
        <v>Dec</v>
      </c>
      <c r="Q1119">
        <f ca="1">YEAR(financials[[#This Row],[Date]])</f>
        <v>2024</v>
      </c>
    </row>
    <row r="1120" spans="1:17" x14ac:dyDescent="0.3">
      <c r="A1120" t="s">
        <v>25</v>
      </c>
      <c r="B1120" t="s">
        <v>23</v>
      </c>
      <c r="C1120" s="6" t="s">
        <v>28</v>
      </c>
      <c r="D1120" s="6" t="str">
        <f>CONCATENATE(financials[[#This Row],[Segment]],",",financials[[#This Row],[Country]],",",financials[[#This Row],[Product]])</f>
        <v>Channel Partners,Mexico,Paseo</v>
      </c>
      <c r="E1120" s="6" t="s">
        <v>33</v>
      </c>
      <c r="F1120">
        <f t="shared" ca="1" si="34"/>
        <v>502</v>
      </c>
      <c r="G1120" s="1">
        <f ca="1">VLOOKUP(financials[[#This Row],[ID]],Prices!D:F,2,FALSE)</f>
        <v>13</v>
      </c>
      <c r="H1120" s="1">
        <f ca="1">VLOOKUP(financials[[#This Row],[ID]],Prices!D:F,3,FALSE)</f>
        <v>21</v>
      </c>
      <c r="I1120" s="1">
        <f ca="1">financials[[#This Row],[Units Sold]]*financials[[#This Row],[Sale Price]]</f>
        <v>10542</v>
      </c>
      <c r="J11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527.1</v>
      </c>
      <c r="K1120" s="1">
        <f ca="1">financials[[#This Row],[Gross Sales]]-financials[[#This Row],[Discounts]]</f>
        <v>10014.9</v>
      </c>
      <c r="L1120" s="1">
        <f ca="1">financials[[#This Row],[Units Sold]]*financials[[#This Row],[Manufacturing Price]]</f>
        <v>6526</v>
      </c>
      <c r="M1120" s="1">
        <f ca="1">financials[[#This Row],[Sales]]-financials[[#This Row],[COGS]]</f>
        <v>3488.8999999999996</v>
      </c>
      <c r="N1120" s="7">
        <f t="shared" ca="1" si="35"/>
        <v>45735</v>
      </c>
      <c r="O1120" s="8">
        <f ca="1">MONTH(financials[[#This Row],[Date]])</f>
        <v>3</v>
      </c>
      <c r="P1120" s="6" t="str">
        <f ca="1">TEXT(financials[[#This Row],[Date]],"MMM")</f>
        <v>Mar</v>
      </c>
      <c r="Q1120">
        <f ca="1">YEAR(financials[[#This Row],[Date]])</f>
        <v>2025</v>
      </c>
    </row>
    <row r="1121" spans="1:17" x14ac:dyDescent="0.3">
      <c r="A1121" t="s">
        <v>27</v>
      </c>
      <c r="B1121" t="s">
        <v>22</v>
      </c>
      <c r="C1121" s="6" t="s">
        <v>28</v>
      </c>
      <c r="D1121" s="6" t="str">
        <f>CONCATENATE(financials[[#This Row],[Segment]],",",financials[[#This Row],[Country]],",",financials[[#This Row],[Product]])</f>
        <v>Small Business,France,Paseo</v>
      </c>
      <c r="E1121" s="6" t="s">
        <v>33</v>
      </c>
      <c r="F1121">
        <f t="shared" ca="1" si="34"/>
        <v>723</v>
      </c>
      <c r="G1121" s="1">
        <f ca="1">VLOOKUP(financials[[#This Row],[ID]],Prices!D:F,2,FALSE)</f>
        <v>16</v>
      </c>
      <c r="H1121" s="1">
        <f ca="1">VLOOKUP(financials[[#This Row],[ID]],Prices!D:F,3,FALSE)</f>
        <v>29</v>
      </c>
      <c r="I1121" s="1">
        <f ca="1">financials[[#This Row],[Units Sold]]*financials[[#This Row],[Sale Price]]</f>
        <v>20967</v>
      </c>
      <c r="J11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1048.3500000000001</v>
      </c>
      <c r="K1121" s="1">
        <f ca="1">financials[[#This Row],[Gross Sales]]-financials[[#This Row],[Discounts]]</f>
        <v>19918.650000000001</v>
      </c>
      <c r="L1121" s="1">
        <f ca="1">financials[[#This Row],[Units Sold]]*financials[[#This Row],[Manufacturing Price]]</f>
        <v>11568</v>
      </c>
      <c r="M1121" s="1">
        <f ca="1">financials[[#This Row],[Sales]]-financials[[#This Row],[COGS]]</f>
        <v>8350.6500000000015</v>
      </c>
      <c r="N1121" s="7">
        <f t="shared" ca="1" si="35"/>
        <v>45407</v>
      </c>
      <c r="O1121" s="8">
        <f ca="1">MONTH(financials[[#This Row],[Date]])</f>
        <v>4</v>
      </c>
      <c r="P1121" s="6" t="str">
        <f ca="1">TEXT(financials[[#This Row],[Date]],"MMM")</f>
        <v>Apr</v>
      </c>
      <c r="Q1121">
        <f ca="1">YEAR(financials[[#This Row],[Date]])</f>
        <v>2024</v>
      </c>
    </row>
    <row r="1122" spans="1:17" x14ac:dyDescent="0.3">
      <c r="A1122" t="s">
        <v>25</v>
      </c>
      <c r="B1122" t="s">
        <v>20</v>
      </c>
      <c r="C1122" s="6" t="s">
        <v>28</v>
      </c>
      <c r="D1122" s="6" t="str">
        <f>CONCATENATE(financials[[#This Row],[Segment]],",",financials[[#This Row],[Country]],",",financials[[#This Row],[Product]])</f>
        <v>Channel Partners,Germany,Paseo</v>
      </c>
      <c r="E1122" s="6" t="s">
        <v>33</v>
      </c>
      <c r="F1122">
        <f t="shared" ca="1" si="34"/>
        <v>443</v>
      </c>
      <c r="G1122" s="1">
        <f ca="1">VLOOKUP(financials[[#This Row],[ID]],Prices!D:F,2,FALSE)</f>
        <v>13</v>
      </c>
      <c r="H1122" s="1">
        <f ca="1">VLOOKUP(financials[[#This Row],[ID]],Prices!D:F,3,FALSE)</f>
        <v>25</v>
      </c>
      <c r="I1122" s="1">
        <f ca="1">financials[[#This Row],[Units Sold]]*financials[[#This Row],[Sale Price]]</f>
        <v>11075</v>
      </c>
      <c r="J11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553.75</v>
      </c>
      <c r="K1122" s="1">
        <f ca="1">financials[[#This Row],[Gross Sales]]-financials[[#This Row],[Discounts]]</f>
        <v>10521.25</v>
      </c>
      <c r="L1122" s="1">
        <f ca="1">financials[[#This Row],[Units Sold]]*financials[[#This Row],[Manufacturing Price]]</f>
        <v>5759</v>
      </c>
      <c r="M1122" s="1">
        <f ca="1">financials[[#This Row],[Sales]]-financials[[#This Row],[COGS]]</f>
        <v>4762.25</v>
      </c>
      <c r="N1122" s="7">
        <f t="shared" ca="1" si="35"/>
        <v>45476</v>
      </c>
      <c r="O1122" s="8">
        <f ca="1">MONTH(financials[[#This Row],[Date]])</f>
        <v>7</v>
      </c>
      <c r="P1122" s="6" t="str">
        <f ca="1">TEXT(financials[[#This Row],[Date]],"MMM")</f>
        <v>Jul</v>
      </c>
      <c r="Q1122">
        <f ca="1">YEAR(financials[[#This Row],[Date]])</f>
        <v>2024</v>
      </c>
    </row>
    <row r="1123" spans="1:17" x14ac:dyDescent="0.3">
      <c r="A1123" t="s">
        <v>26</v>
      </c>
      <c r="B1123" t="s">
        <v>36</v>
      </c>
      <c r="C1123" s="6" t="s">
        <v>28</v>
      </c>
      <c r="D1123" s="6" t="str">
        <f>CONCATENATE(financials[[#This Row],[Segment]],",",financials[[#This Row],[Country]],",",financials[[#This Row],[Product]])</f>
        <v>Enterprise,USA,Paseo</v>
      </c>
      <c r="E1123" s="6" t="s">
        <v>33</v>
      </c>
      <c r="F1123">
        <f t="shared" ca="1" si="34"/>
        <v>816</v>
      </c>
      <c r="G1123" s="1">
        <f ca="1">VLOOKUP(financials[[#This Row],[ID]],Prices!D:F,2,FALSE)</f>
        <v>17</v>
      </c>
      <c r="H1123" s="1">
        <f ca="1">VLOOKUP(financials[[#This Row],[ID]],Prices!D:F,3,FALSE)</f>
        <v>30</v>
      </c>
      <c r="I1123" s="1">
        <f ca="1">financials[[#This Row],[Units Sold]]*financials[[#This Row],[Sale Price]]</f>
        <v>24480</v>
      </c>
      <c r="J11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1224</v>
      </c>
      <c r="K1123" s="1">
        <f ca="1">financials[[#This Row],[Gross Sales]]-financials[[#This Row],[Discounts]]</f>
        <v>23256</v>
      </c>
      <c r="L1123" s="1">
        <f ca="1">financials[[#This Row],[Units Sold]]*financials[[#This Row],[Manufacturing Price]]</f>
        <v>13872</v>
      </c>
      <c r="M1123" s="1">
        <f ca="1">financials[[#This Row],[Sales]]-financials[[#This Row],[COGS]]</f>
        <v>9384</v>
      </c>
      <c r="N1123" s="7">
        <f t="shared" ca="1" si="35"/>
        <v>45386</v>
      </c>
      <c r="O1123" s="8">
        <f ca="1">MONTH(financials[[#This Row],[Date]])</f>
        <v>4</v>
      </c>
      <c r="P1123" s="6" t="str">
        <f ca="1">TEXT(financials[[#This Row],[Date]],"MMM")</f>
        <v>Apr</v>
      </c>
      <c r="Q1123">
        <f ca="1">YEAR(financials[[#This Row],[Date]])</f>
        <v>2024</v>
      </c>
    </row>
    <row r="1124" spans="1:17" x14ac:dyDescent="0.3">
      <c r="A1124" t="s">
        <v>21</v>
      </c>
      <c r="B1124" t="s">
        <v>23</v>
      </c>
      <c r="C1124" s="6" t="s">
        <v>29</v>
      </c>
      <c r="D1124" s="6" t="str">
        <f>CONCATENATE(financials[[#This Row],[Segment]],",",financials[[#This Row],[Country]],",",financials[[#This Row],[Product]])</f>
        <v>Midmarket,Mexico,Velo</v>
      </c>
      <c r="E1124" s="6" t="s">
        <v>33</v>
      </c>
      <c r="F1124">
        <f t="shared" ca="1" si="34"/>
        <v>307</v>
      </c>
      <c r="G1124" s="1">
        <f ca="1">VLOOKUP(financials[[#This Row],[ID]],Prices!D:F,2,FALSE)</f>
        <v>20</v>
      </c>
      <c r="H1124" s="1">
        <f ca="1">VLOOKUP(financials[[#This Row],[ID]],Prices!D:F,3,FALSE)</f>
        <v>35</v>
      </c>
      <c r="I1124" s="1">
        <f ca="1">financials[[#This Row],[Units Sold]]*financials[[#This Row],[Sale Price]]</f>
        <v>10745</v>
      </c>
      <c r="J11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537.25</v>
      </c>
      <c r="K1124" s="1">
        <f ca="1">financials[[#This Row],[Gross Sales]]-financials[[#This Row],[Discounts]]</f>
        <v>10207.75</v>
      </c>
      <c r="L1124" s="1">
        <f ca="1">financials[[#This Row],[Units Sold]]*financials[[#This Row],[Manufacturing Price]]</f>
        <v>6140</v>
      </c>
      <c r="M1124" s="1">
        <f ca="1">financials[[#This Row],[Sales]]-financials[[#This Row],[COGS]]</f>
        <v>4067.75</v>
      </c>
      <c r="N1124" s="7">
        <f t="shared" ca="1" si="35"/>
        <v>45607</v>
      </c>
      <c r="O1124" s="8">
        <f ca="1">MONTH(financials[[#This Row],[Date]])</f>
        <v>11</v>
      </c>
      <c r="P1124" s="6" t="str">
        <f ca="1">TEXT(financials[[#This Row],[Date]],"MMM")</f>
        <v>Nov</v>
      </c>
      <c r="Q1124">
        <f ca="1">YEAR(financials[[#This Row],[Date]])</f>
        <v>2024</v>
      </c>
    </row>
    <row r="1125" spans="1:17" x14ac:dyDescent="0.3">
      <c r="A1125" t="s">
        <v>27</v>
      </c>
      <c r="B1125" t="s">
        <v>17</v>
      </c>
      <c r="C1125" s="6" t="s">
        <v>29</v>
      </c>
      <c r="D1125" s="6" t="str">
        <f>CONCATENATE(financials[[#This Row],[Segment]],",",financials[[#This Row],[Country]],",",financials[[#This Row],[Product]])</f>
        <v>Small Business,Canada,Velo</v>
      </c>
      <c r="E1125" s="6" t="s">
        <v>33</v>
      </c>
      <c r="F1125">
        <f t="shared" ca="1" si="34"/>
        <v>619</v>
      </c>
      <c r="G1125" s="1">
        <f ca="1">VLOOKUP(financials[[#This Row],[ID]],Prices!D:F,2,FALSE)</f>
        <v>14</v>
      </c>
      <c r="H1125" s="1">
        <f ca="1">VLOOKUP(financials[[#This Row],[ID]],Prices!D:F,3,FALSE)</f>
        <v>30</v>
      </c>
      <c r="I1125" s="1">
        <f ca="1">financials[[#This Row],[Units Sold]]*financials[[#This Row],[Sale Price]]</f>
        <v>18570</v>
      </c>
      <c r="J11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928.5</v>
      </c>
      <c r="K1125" s="1">
        <f ca="1">financials[[#This Row],[Gross Sales]]-financials[[#This Row],[Discounts]]</f>
        <v>17641.5</v>
      </c>
      <c r="L1125" s="1">
        <f ca="1">financials[[#This Row],[Units Sold]]*financials[[#This Row],[Manufacturing Price]]</f>
        <v>8666</v>
      </c>
      <c r="M1125" s="1">
        <f ca="1">financials[[#This Row],[Sales]]-financials[[#This Row],[COGS]]</f>
        <v>8975.5</v>
      </c>
      <c r="N1125" s="7">
        <f t="shared" ca="1" si="35"/>
        <v>45397</v>
      </c>
      <c r="O1125" s="8">
        <f ca="1">MONTH(financials[[#This Row],[Date]])</f>
        <v>4</v>
      </c>
      <c r="P1125" s="6" t="str">
        <f ca="1">TEXT(financials[[#This Row],[Date]],"MMM")</f>
        <v>Apr</v>
      </c>
      <c r="Q1125">
        <f ca="1">YEAR(financials[[#This Row],[Date]])</f>
        <v>2024</v>
      </c>
    </row>
    <row r="1126" spans="1:17" x14ac:dyDescent="0.3">
      <c r="A1126" t="s">
        <v>16</v>
      </c>
      <c r="B1126" t="s">
        <v>20</v>
      </c>
      <c r="C1126" s="6" t="s">
        <v>29</v>
      </c>
      <c r="D1126" s="6" t="str">
        <f>CONCATENATE(financials[[#This Row],[Segment]],",",financials[[#This Row],[Country]],",",financials[[#This Row],[Product]])</f>
        <v>Government,Germany,Velo</v>
      </c>
      <c r="E1126" s="6" t="s">
        <v>33</v>
      </c>
      <c r="F1126">
        <f t="shared" ca="1" si="34"/>
        <v>936</v>
      </c>
      <c r="G1126" s="1">
        <f ca="1">VLOOKUP(financials[[#This Row],[ID]],Prices!D:F,2,FALSE)</f>
        <v>13</v>
      </c>
      <c r="H1126" s="1">
        <f ca="1">VLOOKUP(financials[[#This Row],[ID]],Prices!D:F,3,FALSE)</f>
        <v>19</v>
      </c>
      <c r="I1126" s="1">
        <f ca="1">financials[[#This Row],[Units Sold]]*financials[[#This Row],[Sale Price]]</f>
        <v>17784</v>
      </c>
      <c r="J11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889.2</v>
      </c>
      <c r="K1126" s="1">
        <f ca="1">financials[[#This Row],[Gross Sales]]-financials[[#This Row],[Discounts]]</f>
        <v>16894.8</v>
      </c>
      <c r="L1126" s="1">
        <f ca="1">financials[[#This Row],[Units Sold]]*financials[[#This Row],[Manufacturing Price]]</f>
        <v>12168</v>
      </c>
      <c r="M1126" s="1">
        <f ca="1">financials[[#This Row],[Sales]]-financials[[#This Row],[COGS]]</f>
        <v>4726.7999999999993</v>
      </c>
      <c r="N1126" s="7">
        <f t="shared" ca="1" si="35"/>
        <v>45250</v>
      </c>
      <c r="O1126" s="8">
        <f ca="1">MONTH(financials[[#This Row],[Date]])</f>
        <v>11</v>
      </c>
      <c r="P1126" s="6" t="str">
        <f ca="1">TEXT(financials[[#This Row],[Date]],"MMM")</f>
        <v>Nov</v>
      </c>
      <c r="Q1126">
        <f ca="1">YEAR(financials[[#This Row],[Date]])</f>
        <v>2023</v>
      </c>
    </row>
    <row r="1127" spans="1:17" x14ac:dyDescent="0.3">
      <c r="A1127" t="s">
        <v>26</v>
      </c>
      <c r="B1127" t="s">
        <v>17</v>
      </c>
      <c r="C1127" s="6" t="s">
        <v>29</v>
      </c>
      <c r="D1127" s="6" t="str">
        <f>CONCATENATE(financials[[#This Row],[Segment]],",",financials[[#This Row],[Country]],",",financials[[#This Row],[Product]])</f>
        <v>Enterprise,Canada,Velo</v>
      </c>
      <c r="E1127" s="6" t="s">
        <v>33</v>
      </c>
      <c r="F1127">
        <f t="shared" ca="1" si="34"/>
        <v>34</v>
      </c>
      <c r="G1127" s="1">
        <f ca="1">VLOOKUP(financials[[#This Row],[ID]],Prices!D:F,2,FALSE)</f>
        <v>11</v>
      </c>
      <c r="H1127" s="1">
        <f ca="1">VLOOKUP(financials[[#This Row],[ID]],Prices!D:F,3,FALSE)</f>
        <v>34</v>
      </c>
      <c r="I1127" s="1">
        <f ca="1">financials[[#This Row],[Units Sold]]*financials[[#This Row],[Sale Price]]</f>
        <v>1156</v>
      </c>
      <c r="J11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57.800000000000004</v>
      </c>
      <c r="K1127" s="1">
        <f ca="1">financials[[#This Row],[Gross Sales]]-financials[[#This Row],[Discounts]]</f>
        <v>1098.2</v>
      </c>
      <c r="L1127" s="1">
        <f ca="1">financials[[#This Row],[Units Sold]]*financials[[#This Row],[Manufacturing Price]]</f>
        <v>374</v>
      </c>
      <c r="M1127" s="1">
        <f ca="1">financials[[#This Row],[Sales]]-financials[[#This Row],[COGS]]</f>
        <v>724.2</v>
      </c>
      <c r="N1127" s="7">
        <f t="shared" ca="1" si="35"/>
        <v>45442</v>
      </c>
      <c r="O1127" s="8">
        <f ca="1">MONTH(financials[[#This Row],[Date]])</f>
        <v>5</v>
      </c>
      <c r="P1127" s="6" t="str">
        <f ca="1">TEXT(financials[[#This Row],[Date]],"MMM")</f>
        <v>May</v>
      </c>
      <c r="Q1127">
        <f ca="1">YEAR(financials[[#This Row],[Date]])</f>
        <v>2024</v>
      </c>
    </row>
    <row r="1128" spans="1:17" x14ac:dyDescent="0.3">
      <c r="A1128" t="s">
        <v>26</v>
      </c>
      <c r="B1128" t="s">
        <v>23</v>
      </c>
      <c r="C1128" s="6" t="s">
        <v>29</v>
      </c>
      <c r="D1128" s="6" t="str">
        <f>CONCATENATE(financials[[#This Row],[Segment]],",",financials[[#This Row],[Country]],",",financials[[#This Row],[Product]])</f>
        <v>Enterprise,Mexico,Velo</v>
      </c>
      <c r="E1128" s="6" t="s">
        <v>33</v>
      </c>
      <c r="F1128">
        <f t="shared" ca="1" si="34"/>
        <v>313</v>
      </c>
      <c r="G1128" s="1">
        <f ca="1">VLOOKUP(financials[[#This Row],[ID]],Prices!D:F,2,FALSE)</f>
        <v>19</v>
      </c>
      <c r="H1128" s="1">
        <f ca="1">VLOOKUP(financials[[#This Row],[ID]],Prices!D:F,3,FALSE)</f>
        <v>23</v>
      </c>
      <c r="I1128" s="1">
        <f ca="1">financials[[#This Row],[Units Sold]]*financials[[#This Row],[Sale Price]]</f>
        <v>7199</v>
      </c>
      <c r="J11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359.95000000000005</v>
      </c>
      <c r="K1128" s="1">
        <f ca="1">financials[[#This Row],[Gross Sales]]-financials[[#This Row],[Discounts]]</f>
        <v>6839.05</v>
      </c>
      <c r="L1128" s="1">
        <f ca="1">financials[[#This Row],[Units Sold]]*financials[[#This Row],[Manufacturing Price]]</f>
        <v>5947</v>
      </c>
      <c r="M1128" s="1">
        <f ca="1">financials[[#This Row],[Sales]]-financials[[#This Row],[COGS]]</f>
        <v>892.05000000000018</v>
      </c>
      <c r="N1128" s="7">
        <f t="shared" ca="1" si="35"/>
        <v>45132</v>
      </c>
      <c r="O1128" s="8">
        <f ca="1">MONTH(financials[[#This Row],[Date]])</f>
        <v>7</v>
      </c>
      <c r="P1128" s="6" t="str">
        <f ca="1">TEXT(financials[[#This Row],[Date]],"MMM")</f>
        <v>Jul</v>
      </c>
      <c r="Q1128">
        <f ca="1">YEAR(financials[[#This Row],[Date]])</f>
        <v>2023</v>
      </c>
    </row>
    <row r="1129" spans="1:17" x14ac:dyDescent="0.3">
      <c r="A1129" t="s">
        <v>16</v>
      </c>
      <c r="B1129" t="s">
        <v>17</v>
      </c>
      <c r="C1129" s="6" t="s">
        <v>29</v>
      </c>
      <c r="D1129" s="6" t="str">
        <f>CONCATENATE(financials[[#This Row],[Segment]],",",financials[[#This Row],[Country]],",",financials[[#This Row],[Product]])</f>
        <v>Government,Canada,Velo</v>
      </c>
      <c r="E1129" s="6" t="s">
        <v>33</v>
      </c>
      <c r="F1129">
        <f t="shared" ca="1" si="34"/>
        <v>268</v>
      </c>
      <c r="G1129" s="1">
        <f ca="1">VLOOKUP(financials[[#This Row],[ID]],Prices!D:F,2,FALSE)</f>
        <v>19</v>
      </c>
      <c r="H1129" s="1">
        <f ca="1">VLOOKUP(financials[[#This Row],[ID]],Prices!D:F,3,FALSE)</f>
        <v>37</v>
      </c>
      <c r="I1129" s="1">
        <f ca="1">financials[[#This Row],[Units Sold]]*financials[[#This Row],[Sale Price]]</f>
        <v>9916</v>
      </c>
      <c r="J11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495.8</v>
      </c>
      <c r="K1129" s="1">
        <f ca="1">financials[[#This Row],[Gross Sales]]-financials[[#This Row],[Discounts]]</f>
        <v>9420.2000000000007</v>
      </c>
      <c r="L1129" s="1">
        <f ca="1">financials[[#This Row],[Units Sold]]*financials[[#This Row],[Manufacturing Price]]</f>
        <v>5092</v>
      </c>
      <c r="M1129" s="1">
        <f ca="1">financials[[#This Row],[Sales]]-financials[[#This Row],[COGS]]</f>
        <v>4328.2000000000007</v>
      </c>
      <c r="N1129" s="7">
        <f t="shared" ca="1" si="35"/>
        <v>45259</v>
      </c>
      <c r="O1129" s="8">
        <f ca="1">MONTH(financials[[#This Row],[Date]])</f>
        <v>11</v>
      </c>
      <c r="P1129" s="6" t="str">
        <f ca="1">TEXT(financials[[#This Row],[Date]],"MMM")</f>
        <v>Nov</v>
      </c>
      <c r="Q1129">
        <f ca="1">YEAR(financials[[#This Row],[Date]])</f>
        <v>2023</v>
      </c>
    </row>
    <row r="1130" spans="1:17" x14ac:dyDescent="0.3">
      <c r="A1130" t="s">
        <v>25</v>
      </c>
      <c r="B1130" t="s">
        <v>36</v>
      </c>
      <c r="C1130" s="6" t="s">
        <v>30</v>
      </c>
      <c r="D1130" s="6" t="str">
        <f>CONCATENATE(financials[[#This Row],[Segment]],",",financials[[#This Row],[Country]],",",financials[[#This Row],[Product]])</f>
        <v>Channel Partners,USA,VTT</v>
      </c>
      <c r="E1130" s="6" t="s">
        <v>33</v>
      </c>
      <c r="F1130">
        <f t="shared" ca="1" si="34"/>
        <v>165</v>
      </c>
      <c r="G1130" s="1">
        <f ca="1">VLOOKUP(financials[[#This Row],[ID]],Prices!D:F,2,FALSE)</f>
        <v>20</v>
      </c>
      <c r="H1130" s="1">
        <f ca="1">VLOOKUP(financials[[#This Row],[ID]],Prices!D:F,3,FALSE)</f>
        <v>38</v>
      </c>
      <c r="I1130" s="1">
        <f ca="1">financials[[#This Row],[Units Sold]]*financials[[#This Row],[Sale Price]]</f>
        <v>6270</v>
      </c>
      <c r="J11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313.5</v>
      </c>
      <c r="K1130" s="1">
        <f ca="1">financials[[#This Row],[Gross Sales]]-financials[[#This Row],[Discounts]]</f>
        <v>5956.5</v>
      </c>
      <c r="L1130" s="1">
        <f ca="1">financials[[#This Row],[Units Sold]]*financials[[#This Row],[Manufacturing Price]]</f>
        <v>3300</v>
      </c>
      <c r="M1130" s="1">
        <f ca="1">financials[[#This Row],[Sales]]-financials[[#This Row],[COGS]]</f>
        <v>2656.5</v>
      </c>
      <c r="N1130" s="7">
        <f t="shared" ca="1" si="35"/>
        <v>45048</v>
      </c>
      <c r="O1130" s="8">
        <f ca="1">MONTH(financials[[#This Row],[Date]])</f>
        <v>5</v>
      </c>
      <c r="P1130" s="6" t="str">
        <f ca="1">TEXT(financials[[#This Row],[Date]],"MMM")</f>
        <v>May</v>
      </c>
      <c r="Q1130">
        <f ca="1">YEAR(financials[[#This Row],[Date]])</f>
        <v>2023</v>
      </c>
    </row>
    <row r="1131" spans="1:17" x14ac:dyDescent="0.3">
      <c r="A1131" t="s">
        <v>27</v>
      </c>
      <c r="B1131" t="s">
        <v>20</v>
      </c>
      <c r="C1131" s="6" t="s">
        <v>30</v>
      </c>
      <c r="D1131" s="6" t="str">
        <f>CONCATENATE(financials[[#This Row],[Segment]],",",financials[[#This Row],[Country]],",",financials[[#This Row],[Product]])</f>
        <v>Small Business,Germany,VTT</v>
      </c>
      <c r="E1131" s="6" t="s">
        <v>33</v>
      </c>
      <c r="F1131">
        <f t="shared" ca="1" si="34"/>
        <v>460</v>
      </c>
      <c r="G1131" s="1">
        <f ca="1">VLOOKUP(financials[[#This Row],[ID]],Prices!D:F,2,FALSE)</f>
        <v>18</v>
      </c>
      <c r="H1131" s="1">
        <f ca="1">VLOOKUP(financials[[#This Row],[ID]],Prices!D:F,3,FALSE)</f>
        <v>38</v>
      </c>
      <c r="I1131" s="1">
        <f ca="1">financials[[#This Row],[Units Sold]]*financials[[#This Row],[Sale Price]]</f>
        <v>17480</v>
      </c>
      <c r="J11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874</v>
      </c>
      <c r="K1131" s="1">
        <f ca="1">financials[[#This Row],[Gross Sales]]-financials[[#This Row],[Discounts]]</f>
        <v>16606</v>
      </c>
      <c r="L1131" s="1">
        <f ca="1">financials[[#This Row],[Units Sold]]*financials[[#This Row],[Manufacturing Price]]</f>
        <v>8280</v>
      </c>
      <c r="M1131" s="1">
        <f ca="1">financials[[#This Row],[Sales]]-financials[[#This Row],[COGS]]</f>
        <v>8326</v>
      </c>
      <c r="N1131" s="7">
        <f t="shared" ca="1" si="35"/>
        <v>45273</v>
      </c>
      <c r="O1131" s="8">
        <f ca="1">MONTH(financials[[#This Row],[Date]])</f>
        <v>12</v>
      </c>
      <c r="P1131" s="6" t="str">
        <f ca="1">TEXT(financials[[#This Row],[Date]],"MMM")</f>
        <v>Dec</v>
      </c>
      <c r="Q1131">
        <f ca="1">YEAR(financials[[#This Row],[Date]])</f>
        <v>2023</v>
      </c>
    </row>
    <row r="1132" spans="1:17" x14ac:dyDescent="0.3">
      <c r="A1132" t="s">
        <v>16</v>
      </c>
      <c r="B1132" t="s">
        <v>36</v>
      </c>
      <c r="C1132" s="6" t="s">
        <v>30</v>
      </c>
      <c r="D1132" s="6" t="str">
        <f>CONCATENATE(financials[[#This Row],[Segment]],",",financials[[#This Row],[Country]],",",financials[[#This Row],[Product]])</f>
        <v>Government,USA,VTT</v>
      </c>
      <c r="E1132" s="6" t="s">
        <v>33</v>
      </c>
      <c r="F1132">
        <f t="shared" ca="1" si="34"/>
        <v>846</v>
      </c>
      <c r="G1132" s="1">
        <f ca="1">VLOOKUP(financials[[#This Row],[ID]],Prices!D:F,2,FALSE)</f>
        <v>13</v>
      </c>
      <c r="H1132" s="1">
        <f ca="1">VLOOKUP(financials[[#This Row],[ID]],Prices!D:F,3,FALSE)</f>
        <v>31</v>
      </c>
      <c r="I1132" s="1">
        <f ca="1">financials[[#This Row],[Units Sold]]*financials[[#This Row],[Sale Price]]</f>
        <v>26226</v>
      </c>
      <c r="J11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1311.3000000000002</v>
      </c>
      <c r="K1132" s="1">
        <f ca="1">financials[[#This Row],[Gross Sales]]-financials[[#This Row],[Discounts]]</f>
        <v>24914.7</v>
      </c>
      <c r="L1132" s="1">
        <f ca="1">financials[[#This Row],[Units Sold]]*financials[[#This Row],[Manufacturing Price]]</f>
        <v>10998</v>
      </c>
      <c r="M1132" s="1">
        <f ca="1">financials[[#This Row],[Sales]]-financials[[#This Row],[COGS]]</f>
        <v>13916.7</v>
      </c>
      <c r="N1132" s="7">
        <f t="shared" ca="1" si="35"/>
        <v>45052</v>
      </c>
      <c r="O1132" s="8">
        <f ca="1">MONTH(financials[[#This Row],[Date]])</f>
        <v>5</v>
      </c>
      <c r="P1132" s="6" t="str">
        <f ca="1">TEXT(financials[[#This Row],[Date]],"MMM")</f>
        <v>May</v>
      </c>
      <c r="Q1132">
        <f ca="1">YEAR(financials[[#This Row],[Date]])</f>
        <v>2023</v>
      </c>
    </row>
    <row r="1133" spans="1:17" x14ac:dyDescent="0.3">
      <c r="A1133" t="s">
        <v>25</v>
      </c>
      <c r="B1133" t="s">
        <v>20</v>
      </c>
      <c r="C1133" s="6" t="s">
        <v>30</v>
      </c>
      <c r="D1133" s="6" t="str">
        <f>CONCATENATE(financials[[#This Row],[Segment]],",",financials[[#This Row],[Country]],",",financials[[#This Row],[Product]])</f>
        <v>Channel Partners,Germany,VTT</v>
      </c>
      <c r="E1133" s="6" t="s">
        <v>33</v>
      </c>
      <c r="F1133">
        <f t="shared" ca="1" si="34"/>
        <v>332</v>
      </c>
      <c r="G1133" s="1">
        <f ca="1">VLOOKUP(financials[[#This Row],[ID]],Prices!D:F,2,FALSE)</f>
        <v>20</v>
      </c>
      <c r="H1133" s="1">
        <f ca="1">VLOOKUP(financials[[#This Row],[ID]],Prices!D:F,3,FALSE)</f>
        <v>32</v>
      </c>
      <c r="I1133" s="1">
        <f ca="1">financials[[#This Row],[Units Sold]]*financials[[#This Row],[Sale Price]]</f>
        <v>10624</v>
      </c>
      <c r="J11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531.20000000000005</v>
      </c>
      <c r="K1133" s="1">
        <f ca="1">financials[[#This Row],[Gross Sales]]-financials[[#This Row],[Discounts]]</f>
        <v>10092.799999999999</v>
      </c>
      <c r="L1133" s="1">
        <f ca="1">financials[[#This Row],[Units Sold]]*financials[[#This Row],[Manufacturing Price]]</f>
        <v>6640</v>
      </c>
      <c r="M1133" s="1">
        <f ca="1">financials[[#This Row],[Sales]]-financials[[#This Row],[COGS]]</f>
        <v>3452.7999999999993</v>
      </c>
      <c r="N1133" s="7">
        <f t="shared" ca="1" si="35"/>
        <v>45393</v>
      </c>
      <c r="O1133" s="8">
        <f ca="1">MONTH(financials[[#This Row],[Date]])</f>
        <v>4</v>
      </c>
      <c r="P1133" s="6" t="str">
        <f ca="1">TEXT(financials[[#This Row],[Date]],"MMM")</f>
        <v>Apr</v>
      </c>
      <c r="Q1133">
        <f ca="1">YEAR(financials[[#This Row],[Date]])</f>
        <v>2024</v>
      </c>
    </row>
    <row r="1134" spans="1:17" x14ac:dyDescent="0.3">
      <c r="A1134" t="s">
        <v>27</v>
      </c>
      <c r="B1134" t="s">
        <v>36</v>
      </c>
      <c r="C1134" s="6" t="s">
        <v>30</v>
      </c>
      <c r="D1134" s="6" t="str">
        <f>CONCATENATE(financials[[#This Row],[Segment]],",",financials[[#This Row],[Country]],",",financials[[#This Row],[Product]])</f>
        <v>Small Business,USA,VTT</v>
      </c>
      <c r="E1134" s="6" t="s">
        <v>33</v>
      </c>
      <c r="F1134">
        <f t="shared" ca="1" si="34"/>
        <v>248</v>
      </c>
      <c r="G1134" s="1">
        <f ca="1">VLOOKUP(financials[[#This Row],[ID]],Prices!D:F,2,FALSE)</f>
        <v>13</v>
      </c>
      <c r="H1134" s="1">
        <f ca="1">VLOOKUP(financials[[#This Row],[ID]],Prices!D:F,3,FALSE)</f>
        <v>19</v>
      </c>
      <c r="I1134" s="1">
        <f ca="1">financials[[#This Row],[Units Sold]]*financials[[#This Row],[Sale Price]]</f>
        <v>4712</v>
      </c>
      <c r="J11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235.60000000000002</v>
      </c>
      <c r="K1134" s="1">
        <f ca="1">financials[[#This Row],[Gross Sales]]-financials[[#This Row],[Discounts]]</f>
        <v>4476.3999999999996</v>
      </c>
      <c r="L1134" s="1">
        <f ca="1">financials[[#This Row],[Units Sold]]*financials[[#This Row],[Manufacturing Price]]</f>
        <v>3224</v>
      </c>
      <c r="M1134" s="1">
        <f ca="1">financials[[#This Row],[Sales]]-financials[[#This Row],[COGS]]</f>
        <v>1252.3999999999996</v>
      </c>
      <c r="N1134" s="7">
        <f t="shared" ca="1" si="35"/>
        <v>45098</v>
      </c>
      <c r="O1134" s="8">
        <f ca="1">MONTH(financials[[#This Row],[Date]])</f>
        <v>6</v>
      </c>
      <c r="P1134" s="6" t="str">
        <f ca="1">TEXT(financials[[#This Row],[Date]],"MMM")</f>
        <v>Jun</v>
      </c>
      <c r="Q1134">
        <f ca="1">YEAR(financials[[#This Row],[Date]])</f>
        <v>2023</v>
      </c>
    </row>
    <row r="1135" spans="1:17" x14ac:dyDescent="0.3">
      <c r="A1135" t="s">
        <v>25</v>
      </c>
      <c r="B1135" t="s">
        <v>22</v>
      </c>
      <c r="C1135" s="6" t="s">
        <v>30</v>
      </c>
      <c r="D1135" s="6" t="str">
        <f>CONCATENATE(financials[[#This Row],[Segment]],",",financials[[#This Row],[Country]],",",financials[[#This Row],[Product]])</f>
        <v>Channel Partners,France,VTT</v>
      </c>
      <c r="E1135" s="6" t="s">
        <v>33</v>
      </c>
      <c r="F1135">
        <f t="shared" ca="1" si="34"/>
        <v>396</v>
      </c>
      <c r="G1135" s="1">
        <f ca="1">VLOOKUP(financials[[#This Row],[ID]],Prices!D:F,2,FALSE)</f>
        <v>11</v>
      </c>
      <c r="H1135" s="1">
        <f ca="1">VLOOKUP(financials[[#This Row],[ID]],Prices!D:F,3,FALSE)</f>
        <v>38</v>
      </c>
      <c r="I1135" s="1">
        <f ca="1">financials[[#This Row],[Units Sold]]*financials[[#This Row],[Sale Price]]</f>
        <v>15048</v>
      </c>
      <c r="J11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752.40000000000009</v>
      </c>
      <c r="K1135" s="1">
        <f ca="1">financials[[#This Row],[Gross Sales]]-financials[[#This Row],[Discounts]]</f>
        <v>14295.6</v>
      </c>
      <c r="L1135" s="1">
        <f ca="1">financials[[#This Row],[Units Sold]]*financials[[#This Row],[Manufacturing Price]]</f>
        <v>4356</v>
      </c>
      <c r="M1135" s="1">
        <f ca="1">financials[[#This Row],[Sales]]-financials[[#This Row],[COGS]]</f>
        <v>9939.6</v>
      </c>
      <c r="N1135" s="7">
        <f t="shared" ca="1" si="35"/>
        <v>45049</v>
      </c>
      <c r="O1135" s="8">
        <f ca="1">MONTH(financials[[#This Row],[Date]])</f>
        <v>5</v>
      </c>
      <c r="P1135" s="6" t="str">
        <f ca="1">TEXT(financials[[#This Row],[Date]],"MMM")</f>
        <v>May</v>
      </c>
      <c r="Q1135">
        <f ca="1">YEAR(financials[[#This Row],[Date]])</f>
        <v>2023</v>
      </c>
    </row>
    <row r="1136" spans="1:17" x14ac:dyDescent="0.3">
      <c r="A1136" t="s">
        <v>21</v>
      </c>
      <c r="B1136" t="s">
        <v>22</v>
      </c>
      <c r="C1136" s="6" t="s">
        <v>30</v>
      </c>
      <c r="D1136" s="6" t="str">
        <f>CONCATENATE(financials[[#This Row],[Segment]],",",financials[[#This Row],[Country]],",",financials[[#This Row],[Product]])</f>
        <v>Midmarket,France,VTT</v>
      </c>
      <c r="E1136" s="6" t="s">
        <v>33</v>
      </c>
      <c r="F1136">
        <f t="shared" ca="1" si="34"/>
        <v>164</v>
      </c>
      <c r="G1136" s="1">
        <f ca="1">VLOOKUP(financials[[#This Row],[ID]],Prices!D:F,2,FALSE)</f>
        <v>11</v>
      </c>
      <c r="H1136" s="1">
        <f ca="1">VLOOKUP(financials[[#This Row],[ID]],Prices!D:F,3,FALSE)</f>
        <v>25</v>
      </c>
      <c r="I1136" s="1">
        <f ca="1">financials[[#This Row],[Units Sold]]*financials[[#This Row],[Sale Price]]</f>
        <v>4100</v>
      </c>
      <c r="J11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205</v>
      </c>
      <c r="K1136" s="1">
        <f ca="1">financials[[#This Row],[Gross Sales]]-financials[[#This Row],[Discounts]]</f>
        <v>3895</v>
      </c>
      <c r="L1136" s="1">
        <f ca="1">financials[[#This Row],[Units Sold]]*financials[[#This Row],[Manufacturing Price]]</f>
        <v>1804</v>
      </c>
      <c r="M1136" s="1">
        <f ca="1">financials[[#This Row],[Sales]]-financials[[#This Row],[COGS]]</f>
        <v>2091</v>
      </c>
      <c r="N1136" s="7">
        <f t="shared" ca="1" si="35"/>
        <v>45485</v>
      </c>
      <c r="O1136" s="8">
        <f ca="1">MONTH(financials[[#This Row],[Date]])</f>
        <v>7</v>
      </c>
      <c r="P1136" s="6" t="str">
        <f ca="1">TEXT(financials[[#This Row],[Date]],"MMM")</f>
        <v>Jul</v>
      </c>
      <c r="Q1136">
        <f ca="1">YEAR(financials[[#This Row],[Date]])</f>
        <v>2024</v>
      </c>
    </row>
    <row r="1137" spans="1:17" x14ac:dyDescent="0.3">
      <c r="A1137" t="s">
        <v>26</v>
      </c>
      <c r="B1137" t="s">
        <v>23</v>
      </c>
      <c r="C1137" s="6" t="s">
        <v>30</v>
      </c>
      <c r="D1137" s="6" t="str">
        <f>CONCATENATE(financials[[#This Row],[Segment]],",",financials[[#This Row],[Country]],",",financials[[#This Row],[Product]])</f>
        <v>Enterprise,Mexico,VTT</v>
      </c>
      <c r="E1137" s="6" t="s">
        <v>33</v>
      </c>
      <c r="F1137">
        <f t="shared" ca="1" si="34"/>
        <v>561</v>
      </c>
      <c r="G1137" s="1">
        <f ca="1">VLOOKUP(financials[[#This Row],[ID]],Prices!D:F,2,FALSE)</f>
        <v>15</v>
      </c>
      <c r="H1137" s="1">
        <f ca="1">VLOOKUP(financials[[#This Row],[ID]],Prices!D:F,3,FALSE)</f>
        <v>38</v>
      </c>
      <c r="I1137" s="1">
        <f ca="1">financials[[#This Row],[Units Sold]]*financials[[#This Row],[Sale Price]]</f>
        <v>21318</v>
      </c>
      <c r="J11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1065.9000000000001</v>
      </c>
      <c r="K1137" s="1">
        <f ca="1">financials[[#This Row],[Gross Sales]]-financials[[#This Row],[Discounts]]</f>
        <v>20252.099999999999</v>
      </c>
      <c r="L1137" s="1">
        <f ca="1">financials[[#This Row],[Units Sold]]*financials[[#This Row],[Manufacturing Price]]</f>
        <v>8415</v>
      </c>
      <c r="M1137" s="1">
        <f ca="1">financials[[#This Row],[Sales]]-financials[[#This Row],[COGS]]</f>
        <v>11837.099999999999</v>
      </c>
      <c r="N1137" s="7">
        <f t="shared" ca="1" si="35"/>
        <v>45662</v>
      </c>
      <c r="O1137" s="8">
        <f ca="1">MONTH(financials[[#This Row],[Date]])</f>
        <v>1</v>
      </c>
      <c r="P1137" s="6" t="str">
        <f ca="1">TEXT(financials[[#This Row],[Date]],"MMM")</f>
        <v>Jan</v>
      </c>
      <c r="Q1137">
        <f ca="1">YEAR(financials[[#This Row],[Date]])</f>
        <v>2025</v>
      </c>
    </row>
    <row r="1138" spans="1:17" x14ac:dyDescent="0.3">
      <c r="A1138" t="s">
        <v>16</v>
      </c>
      <c r="B1138" t="s">
        <v>36</v>
      </c>
      <c r="C1138" s="6" t="s">
        <v>31</v>
      </c>
      <c r="D1138" s="6" t="str">
        <f>CONCATENATE(financials[[#This Row],[Segment]],",",financials[[#This Row],[Country]],",",financials[[#This Row],[Product]])</f>
        <v>Government,USA,Amarilla</v>
      </c>
      <c r="E1138" s="6" t="s">
        <v>33</v>
      </c>
      <c r="F1138">
        <f t="shared" ca="1" si="34"/>
        <v>612</v>
      </c>
      <c r="G1138" s="1">
        <f ca="1">VLOOKUP(financials[[#This Row],[ID]],Prices!D:F,2,FALSE)</f>
        <v>20</v>
      </c>
      <c r="H1138" s="1">
        <f ca="1">VLOOKUP(financials[[#This Row],[ID]],Prices!D:F,3,FALSE)</f>
        <v>37</v>
      </c>
      <c r="I1138" s="1">
        <f ca="1">financials[[#This Row],[Units Sold]]*financials[[#This Row],[Sale Price]]</f>
        <v>22644</v>
      </c>
      <c r="J11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1132.2</v>
      </c>
      <c r="K1138" s="1">
        <f ca="1">financials[[#This Row],[Gross Sales]]-financials[[#This Row],[Discounts]]</f>
        <v>21511.8</v>
      </c>
      <c r="L1138" s="1">
        <f ca="1">financials[[#This Row],[Units Sold]]*financials[[#This Row],[Manufacturing Price]]</f>
        <v>12240</v>
      </c>
      <c r="M1138" s="1">
        <f ca="1">financials[[#This Row],[Sales]]-financials[[#This Row],[COGS]]</f>
        <v>9271.7999999999993</v>
      </c>
      <c r="N1138" s="7">
        <f t="shared" ca="1" si="35"/>
        <v>45422</v>
      </c>
      <c r="O1138" s="8">
        <f ca="1">MONTH(financials[[#This Row],[Date]])</f>
        <v>5</v>
      </c>
      <c r="P1138" s="6" t="str">
        <f ca="1">TEXT(financials[[#This Row],[Date]],"MMM")</f>
        <v>May</v>
      </c>
      <c r="Q1138">
        <f ca="1">YEAR(financials[[#This Row],[Date]])</f>
        <v>2024</v>
      </c>
    </row>
    <row r="1139" spans="1:17" x14ac:dyDescent="0.3">
      <c r="A1139" t="s">
        <v>16</v>
      </c>
      <c r="B1139" t="s">
        <v>17</v>
      </c>
      <c r="C1139" s="6" t="s">
        <v>31</v>
      </c>
      <c r="D1139" s="6" t="str">
        <f>CONCATENATE(financials[[#This Row],[Segment]],",",financials[[#This Row],[Country]],",",financials[[#This Row],[Product]])</f>
        <v>Government,Canada,Amarilla</v>
      </c>
      <c r="E1139" s="6" t="s">
        <v>33</v>
      </c>
      <c r="F1139">
        <f t="shared" ca="1" si="34"/>
        <v>805</v>
      </c>
      <c r="G1139" s="1">
        <f ca="1">VLOOKUP(financials[[#This Row],[ID]],Prices!D:F,2,FALSE)</f>
        <v>11</v>
      </c>
      <c r="H1139" s="1">
        <f ca="1">VLOOKUP(financials[[#This Row],[ID]],Prices!D:F,3,FALSE)</f>
        <v>29</v>
      </c>
      <c r="I1139" s="1">
        <f ca="1">financials[[#This Row],[Units Sold]]*financials[[#This Row],[Sale Price]]</f>
        <v>23345</v>
      </c>
      <c r="J11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1167.25</v>
      </c>
      <c r="K1139" s="1">
        <f ca="1">financials[[#This Row],[Gross Sales]]-financials[[#This Row],[Discounts]]</f>
        <v>22177.75</v>
      </c>
      <c r="L1139" s="1">
        <f ca="1">financials[[#This Row],[Units Sold]]*financials[[#This Row],[Manufacturing Price]]</f>
        <v>8855</v>
      </c>
      <c r="M1139" s="1">
        <f ca="1">financials[[#This Row],[Sales]]-financials[[#This Row],[COGS]]</f>
        <v>13322.75</v>
      </c>
      <c r="N1139" s="7">
        <f t="shared" ca="1" si="35"/>
        <v>45718</v>
      </c>
      <c r="O1139" s="8">
        <f ca="1">MONTH(financials[[#This Row],[Date]])</f>
        <v>3</v>
      </c>
      <c r="P1139" s="6" t="str">
        <f ca="1">TEXT(financials[[#This Row],[Date]],"MMM")</f>
        <v>Mar</v>
      </c>
      <c r="Q1139">
        <f ca="1">YEAR(financials[[#This Row],[Date]])</f>
        <v>2025</v>
      </c>
    </row>
    <row r="1140" spans="1:17" x14ac:dyDescent="0.3">
      <c r="A1140" t="s">
        <v>21</v>
      </c>
      <c r="B1140" t="s">
        <v>20</v>
      </c>
      <c r="C1140" s="6" t="s">
        <v>31</v>
      </c>
      <c r="D1140" s="6" t="str">
        <f>CONCATENATE(financials[[#This Row],[Segment]],",",financials[[#This Row],[Country]],",",financials[[#This Row],[Product]])</f>
        <v>Midmarket,Germany,Amarilla</v>
      </c>
      <c r="E1140" s="6" t="s">
        <v>33</v>
      </c>
      <c r="F1140">
        <f t="shared" ca="1" si="34"/>
        <v>716</v>
      </c>
      <c r="G1140" s="1">
        <f ca="1">VLOOKUP(financials[[#This Row],[ID]],Prices!D:F,2,FALSE)</f>
        <v>18</v>
      </c>
      <c r="H1140" s="1">
        <f ca="1">VLOOKUP(financials[[#This Row],[ID]],Prices!D:F,3,FALSE)</f>
        <v>28</v>
      </c>
      <c r="I1140" s="1">
        <f ca="1">financials[[#This Row],[Units Sold]]*financials[[#This Row],[Sale Price]]</f>
        <v>20048</v>
      </c>
      <c r="J11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1002.4000000000001</v>
      </c>
      <c r="K1140" s="1">
        <f ca="1">financials[[#This Row],[Gross Sales]]-financials[[#This Row],[Discounts]]</f>
        <v>19045.599999999999</v>
      </c>
      <c r="L1140" s="1">
        <f ca="1">financials[[#This Row],[Units Sold]]*financials[[#This Row],[Manufacturing Price]]</f>
        <v>12888</v>
      </c>
      <c r="M1140" s="1">
        <f ca="1">financials[[#This Row],[Sales]]-financials[[#This Row],[COGS]]</f>
        <v>6157.5999999999985</v>
      </c>
      <c r="N1140" s="7">
        <f t="shared" ca="1" si="35"/>
        <v>45401</v>
      </c>
      <c r="O1140" s="8">
        <f ca="1">MONTH(financials[[#This Row],[Date]])</f>
        <v>4</v>
      </c>
      <c r="P1140" s="6" t="str">
        <f ca="1">TEXT(financials[[#This Row],[Date]],"MMM")</f>
        <v>Apr</v>
      </c>
      <c r="Q1140">
        <f ca="1">YEAR(financials[[#This Row],[Date]])</f>
        <v>2024</v>
      </c>
    </row>
    <row r="1141" spans="1:17" x14ac:dyDescent="0.3">
      <c r="A1141" t="s">
        <v>16</v>
      </c>
      <c r="B1141" t="s">
        <v>23</v>
      </c>
      <c r="C1141" s="6" t="s">
        <v>31</v>
      </c>
      <c r="D1141" s="6" t="str">
        <f>CONCATENATE(financials[[#This Row],[Segment]],",",financials[[#This Row],[Country]],",",financials[[#This Row],[Product]])</f>
        <v>Government,Mexico,Amarilla</v>
      </c>
      <c r="E1141" s="6" t="s">
        <v>33</v>
      </c>
      <c r="F1141">
        <f t="shared" ca="1" si="34"/>
        <v>552</v>
      </c>
      <c r="G1141" s="1">
        <f ca="1">VLOOKUP(financials[[#This Row],[ID]],Prices!D:F,2,FALSE)</f>
        <v>15</v>
      </c>
      <c r="H1141" s="1">
        <f ca="1">VLOOKUP(financials[[#This Row],[ID]],Prices!D:F,3,FALSE)</f>
        <v>32</v>
      </c>
      <c r="I1141" s="1">
        <f ca="1">financials[[#This Row],[Units Sold]]*financials[[#This Row],[Sale Price]]</f>
        <v>17664</v>
      </c>
      <c r="J11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883.2</v>
      </c>
      <c r="K1141" s="1">
        <f ca="1">financials[[#This Row],[Gross Sales]]-financials[[#This Row],[Discounts]]</f>
        <v>16780.8</v>
      </c>
      <c r="L1141" s="1">
        <f ca="1">financials[[#This Row],[Units Sold]]*financials[[#This Row],[Manufacturing Price]]</f>
        <v>8280</v>
      </c>
      <c r="M1141" s="1">
        <f ca="1">financials[[#This Row],[Sales]]-financials[[#This Row],[COGS]]</f>
        <v>8500.7999999999993</v>
      </c>
      <c r="N1141" s="7">
        <f t="shared" ca="1" si="35"/>
        <v>45027</v>
      </c>
      <c r="O1141" s="8">
        <f ca="1">MONTH(financials[[#This Row],[Date]])</f>
        <v>4</v>
      </c>
      <c r="P1141" s="6" t="str">
        <f ca="1">TEXT(financials[[#This Row],[Date]],"MMM")</f>
        <v>Apr</v>
      </c>
      <c r="Q1141">
        <f ca="1">YEAR(financials[[#This Row],[Date]])</f>
        <v>2023</v>
      </c>
    </row>
    <row r="1142" spans="1:17" x14ac:dyDescent="0.3">
      <c r="A1142" t="s">
        <v>16</v>
      </c>
      <c r="B1142" t="s">
        <v>20</v>
      </c>
      <c r="C1142" s="6" t="s">
        <v>18</v>
      </c>
      <c r="D1142" s="6" t="str">
        <f>CONCATENATE(financials[[#This Row],[Segment]],",",financials[[#This Row],[Country]],",",financials[[#This Row],[Product]])</f>
        <v>Government,Germany,Carretera</v>
      </c>
      <c r="E1142" s="6" t="s">
        <v>33</v>
      </c>
      <c r="F1142">
        <f t="shared" ca="1" si="34"/>
        <v>260</v>
      </c>
      <c r="G1142" s="1">
        <f ca="1">VLOOKUP(financials[[#This Row],[ID]],Prices!D:F,2,FALSE)</f>
        <v>13</v>
      </c>
      <c r="H1142" s="1">
        <f ca="1">VLOOKUP(financials[[#This Row],[ID]],Prices!D:F,3,FALSE)</f>
        <v>22</v>
      </c>
      <c r="I1142" s="1">
        <f ca="1">financials[[#This Row],[Units Sold]]*financials[[#This Row],[Sale Price]]</f>
        <v>5720</v>
      </c>
      <c r="J11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286</v>
      </c>
      <c r="K1142" s="1">
        <f ca="1">financials[[#This Row],[Gross Sales]]-financials[[#This Row],[Discounts]]</f>
        <v>5434</v>
      </c>
      <c r="L1142" s="1">
        <f ca="1">financials[[#This Row],[Units Sold]]*financials[[#This Row],[Manufacturing Price]]</f>
        <v>3380</v>
      </c>
      <c r="M1142" s="1">
        <f ca="1">financials[[#This Row],[Sales]]-financials[[#This Row],[COGS]]</f>
        <v>2054</v>
      </c>
      <c r="N1142" s="7">
        <f t="shared" ca="1" si="35"/>
        <v>45221</v>
      </c>
      <c r="O1142" s="8">
        <f ca="1">MONTH(financials[[#This Row],[Date]])</f>
        <v>10</v>
      </c>
      <c r="P1142" s="6" t="str">
        <f ca="1">TEXT(financials[[#This Row],[Date]],"MMM")</f>
        <v>Oct</v>
      </c>
      <c r="Q1142">
        <f ca="1">YEAR(financials[[#This Row],[Date]])</f>
        <v>2023</v>
      </c>
    </row>
    <row r="1143" spans="1:17" x14ac:dyDescent="0.3">
      <c r="A1143" t="s">
        <v>16</v>
      </c>
      <c r="B1143" t="s">
        <v>17</v>
      </c>
      <c r="C1143" s="6" t="s">
        <v>18</v>
      </c>
      <c r="D1143" s="6" t="str">
        <f>CONCATENATE(financials[[#This Row],[Segment]],",",financials[[#This Row],[Country]],",",financials[[#This Row],[Product]])</f>
        <v>Government,Canada,Carretera</v>
      </c>
      <c r="E1143" s="6" t="s">
        <v>33</v>
      </c>
      <c r="F1143">
        <f t="shared" ca="1" si="34"/>
        <v>695</v>
      </c>
      <c r="G1143" s="1">
        <f ca="1">VLOOKUP(financials[[#This Row],[ID]],Prices!D:F,2,FALSE)</f>
        <v>20</v>
      </c>
      <c r="H1143" s="1">
        <f ca="1">VLOOKUP(financials[[#This Row],[ID]],Prices!D:F,3,FALSE)</f>
        <v>29</v>
      </c>
      <c r="I1143" s="1">
        <f ca="1">financials[[#This Row],[Units Sold]]*financials[[#This Row],[Sale Price]]</f>
        <v>20155</v>
      </c>
      <c r="J11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1007.75</v>
      </c>
      <c r="K1143" s="1">
        <f ca="1">financials[[#This Row],[Gross Sales]]-financials[[#This Row],[Discounts]]</f>
        <v>19147.25</v>
      </c>
      <c r="L1143" s="1">
        <f ca="1">financials[[#This Row],[Units Sold]]*financials[[#This Row],[Manufacturing Price]]</f>
        <v>13900</v>
      </c>
      <c r="M1143" s="1">
        <f ca="1">financials[[#This Row],[Sales]]-financials[[#This Row],[COGS]]</f>
        <v>5247.25</v>
      </c>
      <c r="N1143" s="7">
        <f t="shared" ca="1" si="35"/>
        <v>45641</v>
      </c>
      <c r="O1143" s="8">
        <f ca="1">MONTH(financials[[#This Row],[Date]])</f>
        <v>12</v>
      </c>
      <c r="P1143" s="6" t="str">
        <f ca="1">TEXT(financials[[#This Row],[Date]],"MMM")</f>
        <v>Dec</v>
      </c>
      <c r="Q1143">
        <f ca="1">YEAR(financials[[#This Row],[Date]])</f>
        <v>2024</v>
      </c>
    </row>
    <row r="1144" spans="1:17" x14ac:dyDescent="0.3">
      <c r="A1144" t="s">
        <v>25</v>
      </c>
      <c r="B1144" t="s">
        <v>20</v>
      </c>
      <c r="C1144" s="6" t="s">
        <v>18</v>
      </c>
      <c r="D1144" s="6" t="str">
        <f>CONCATENATE(financials[[#This Row],[Segment]],",",financials[[#This Row],[Country]],",",financials[[#This Row],[Product]])</f>
        <v>Channel Partners,Germany,Carretera</v>
      </c>
      <c r="E1144" s="6" t="s">
        <v>33</v>
      </c>
      <c r="F1144">
        <f t="shared" ca="1" si="34"/>
        <v>72</v>
      </c>
      <c r="G1144" s="1">
        <f ca="1">VLOOKUP(financials[[#This Row],[ID]],Prices!D:F,2,FALSE)</f>
        <v>11</v>
      </c>
      <c r="H1144" s="1">
        <f ca="1">VLOOKUP(financials[[#This Row],[ID]],Prices!D:F,3,FALSE)</f>
        <v>16</v>
      </c>
      <c r="I1144" s="1">
        <f ca="1">financials[[#This Row],[Units Sold]]*financials[[#This Row],[Sale Price]]</f>
        <v>1152</v>
      </c>
      <c r="J11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57.6</v>
      </c>
      <c r="K1144" s="1">
        <f ca="1">financials[[#This Row],[Gross Sales]]-financials[[#This Row],[Discounts]]</f>
        <v>1094.4000000000001</v>
      </c>
      <c r="L1144" s="1">
        <f ca="1">financials[[#This Row],[Units Sold]]*financials[[#This Row],[Manufacturing Price]]</f>
        <v>792</v>
      </c>
      <c r="M1144" s="1">
        <f ca="1">financials[[#This Row],[Sales]]-financials[[#This Row],[COGS]]</f>
        <v>302.40000000000009</v>
      </c>
      <c r="N1144" s="7">
        <f t="shared" ca="1" si="35"/>
        <v>45495</v>
      </c>
      <c r="O1144" s="8">
        <f ca="1">MONTH(financials[[#This Row],[Date]])</f>
        <v>7</v>
      </c>
      <c r="P1144" s="6" t="str">
        <f ca="1">TEXT(financials[[#This Row],[Date]],"MMM")</f>
        <v>Jul</v>
      </c>
      <c r="Q1144">
        <f ca="1">YEAR(financials[[#This Row],[Date]])</f>
        <v>2024</v>
      </c>
    </row>
    <row r="1145" spans="1:17" x14ac:dyDescent="0.3">
      <c r="A1145" t="s">
        <v>16</v>
      </c>
      <c r="B1145" t="s">
        <v>23</v>
      </c>
      <c r="C1145" s="6" t="s">
        <v>18</v>
      </c>
      <c r="D1145" s="6" t="str">
        <f>CONCATENATE(financials[[#This Row],[Segment]],",",financials[[#This Row],[Country]],",",financials[[#This Row],[Product]])</f>
        <v>Government,Mexico,Carretera</v>
      </c>
      <c r="E1145" s="6" t="s">
        <v>33</v>
      </c>
      <c r="F1145">
        <f t="shared" ca="1" si="34"/>
        <v>66</v>
      </c>
      <c r="G1145" s="1">
        <f ca="1">VLOOKUP(financials[[#This Row],[ID]],Prices!D:F,2,FALSE)</f>
        <v>16</v>
      </c>
      <c r="H1145" s="1">
        <f ca="1">VLOOKUP(financials[[#This Row],[ID]],Prices!D:F,3,FALSE)</f>
        <v>31</v>
      </c>
      <c r="I1145" s="1">
        <f ca="1">financials[[#This Row],[Units Sold]]*financials[[#This Row],[Sale Price]]</f>
        <v>2046</v>
      </c>
      <c r="J11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102.30000000000001</v>
      </c>
      <c r="K1145" s="1">
        <f ca="1">financials[[#This Row],[Gross Sales]]-financials[[#This Row],[Discounts]]</f>
        <v>1943.7</v>
      </c>
      <c r="L1145" s="1">
        <f ca="1">financials[[#This Row],[Units Sold]]*financials[[#This Row],[Manufacturing Price]]</f>
        <v>1056</v>
      </c>
      <c r="M1145" s="1">
        <f ca="1">financials[[#This Row],[Sales]]-financials[[#This Row],[COGS]]</f>
        <v>887.7</v>
      </c>
      <c r="N1145" s="7">
        <f t="shared" ca="1" si="35"/>
        <v>45254</v>
      </c>
      <c r="O1145" s="8">
        <f ca="1">MONTH(financials[[#This Row],[Date]])</f>
        <v>11</v>
      </c>
      <c r="P1145" s="6" t="str">
        <f ca="1">TEXT(financials[[#This Row],[Date]],"MMM")</f>
        <v>Nov</v>
      </c>
      <c r="Q1145">
        <f ca="1">YEAR(financials[[#This Row],[Date]])</f>
        <v>2023</v>
      </c>
    </row>
    <row r="1146" spans="1:17" x14ac:dyDescent="0.3">
      <c r="A1146" t="s">
        <v>16</v>
      </c>
      <c r="B1146" t="s">
        <v>36</v>
      </c>
      <c r="C1146" s="6" t="s">
        <v>28</v>
      </c>
      <c r="D1146" s="6" t="str">
        <f>CONCATENATE(financials[[#This Row],[Segment]],",",financials[[#This Row],[Country]],",",financials[[#This Row],[Product]])</f>
        <v>Government,USA,Paseo</v>
      </c>
      <c r="E1146" s="6" t="s">
        <v>33</v>
      </c>
      <c r="F1146">
        <f t="shared" ca="1" si="34"/>
        <v>66</v>
      </c>
      <c r="G1146" s="1">
        <f ca="1">VLOOKUP(financials[[#This Row],[ID]],Prices!D:F,2,FALSE)</f>
        <v>17</v>
      </c>
      <c r="H1146" s="1">
        <f ca="1">VLOOKUP(financials[[#This Row],[ID]],Prices!D:F,3,FALSE)</f>
        <v>36</v>
      </c>
      <c r="I1146" s="1">
        <f ca="1">financials[[#This Row],[Units Sold]]*financials[[#This Row],[Sale Price]]</f>
        <v>2376</v>
      </c>
      <c r="J11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118.80000000000001</v>
      </c>
      <c r="K1146" s="1">
        <f ca="1">financials[[#This Row],[Gross Sales]]-financials[[#This Row],[Discounts]]</f>
        <v>2257.1999999999998</v>
      </c>
      <c r="L1146" s="1">
        <f ca="1">financials[[#This Row],[Units Sold]]*financials[[#This Row],[Manufacturing Price]]</f>
        <v>1122</v>
      </c>
      <c r="M1146" s="1">
        <f ca="1">financials[[#This Row],[Sales]]-financials[[#This Row],[COGS]]</f>
        <v>1135.1999999999998</v>
      </c>
      <c r="N1146" s="7">
        <f t="shared" ca="1" si="35"/>
        <v>45098</v>
      </c>
      <c r="O1146" s="8">
        <f ca="1">MONTH(financials[[#This Row],[Date]])</f>
        <v>6</v>
      </c>
      <c r="P1146" s="6" t="str">
        <f ca="1">TEXT(financials[[#This Row],[Date]],"MMM")</f>
        <v>Jun</v>
      </c>
      <c r="Q1146">
        <f ca="1">YEAR(financials[[#This Row],[Date]])</f>
        <v>2023</v>
      </c>
    </row>
    <row r="1147" spans="1:17" x14ac:dyDescent="0.3">
      <c r="A1147" t="s">
        <v>16</v>
      </c>
      <c r="B1147" t="s">
        <v>23</v>
      </c>
      <c r="C1147" s="6" t="s">
        <v>28</v>
      </c>
      <c r="D1147" s="6" t="str">
        <f>CONCATENATE(financials[[#This Row],[Segment]],",",financials[[#This Row],[Country]],",",financials[[#This Row],[Product]])</f>
        <v>Government,Mexico,Paseo</v>
      </c>
      <c r="E1147" s="6" t="s">
        <v>33</v>
      </c>
      <c r="F1147">
        <f t="shared" ca="1" si="34"/>
        <v>242</v>
      </c>
      <c r="G1147" s="1">
        <f ca="1">VLOOKUP(financials[[#This Row],[ID]],Prices!D:F,2,FALSE)</f>
        <v>18</v>
      </c>
      <c r="H1147" s="1">
        <f ca="1">VLOOKUP(financials[[#This Row],[ID]],Prices!D:F,3,FALSE)</f>
        <v>19</v>
      </c>
      <c r="I1147" s="1">
        <f ca="1">financials[[#This Row],[Units Sold]]*financials[[#This Row],[Sale Price]]</f>
        <v>4598</v>
      </c>
      <c r="J11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229.9</v>
      </c>
      <c r="K1147" s="1">
        <f ca="1">financials[[#This Row],[Gross Sales]]-financials[[#This Row],[Discounts]]</f>
        <v>4368.1000000000004</v>
      </c>
      <c r="L1147" s="1">
        <f ca="1">financials[[#This Row],[Units Sold]]*financials[[#This Row],[Manufacturing Price]]</f>
        <v>4356</v>
      </c>
      <c r="M1147" s="1">
        <f ca="1">financials[[#This Row],[Sales]]-financials[[#This Row],[COGS]]</f>
        <v>12.100000000000364</v>
      </c>
      <c r="N1147" s="7">
        <f t="shared" ca="1" si="35"/>
        <v>45439</v>
      </c>
      <c r="O1147" s="8">
        <f ca="1">MONTH(financials[[#This Row],[Date]])</f>
        <v>5</v>
      </c>
      <c r="P1147" s="6" t="str">
        <f ca="1">TEXT(financials[[#This Row],[Date]],"MMM")</f>
        <v>May</v>
      </c>
      <c r="Q1147">
        <f ca="1">YEAR(financials[[#This Row],[Date]])</f>
        <v>2024</v>
      </c>
    </row>
    <row r="1148" spans="1:17" x14ac:dyDescent="0.3">
      <c r="A1148" t="s">
        <v>16</v>
      </c>
      <c r="B1148" t="s">
        <v>20</v>
      </c>
      <c r="C1148" s="6" t="s">
        <v>28</v>
      </c>
      <c r="D1148" s="6" t="str">
        <f>CONCATENATE(financials[[#This Row],[Segment]],",",financials[[#This Row],[Country]],",",financials[[#This Row],[Product]])</f>
        <v>Government,Germany,Paseo</v>
      </c>
      <c r="E1148" s="6" t="s">
        <v>33</v>
      </c>
      <c r="F1148">
        <f t="shared" ca="1" si="34"/>
        <v>558</v>
      </c>
      <c r="G1148" s="1">
        <f ca="1">VLOOKUP(financials[[#This Row],[ID]],Prices!D:F,2,FALSE)</f>
        <v>19</v>
      </c>
      <c r="H1148" s="1">
        <f ca="1">VLOOKUP(financials[[#This Row],[ID]],Prices!D:F,3,FALSE)</f>
        <v>37</v>
      </c>
      <c r="I1148" s="1">
        <f ca="1">financials[[#This Row],[Units Sold]]*financials[[#This Row],[Sale Price]]</f>
        <v>20646</v>
      </c>
      <c r="J11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1032.3</v>
      </c>
      <c r="K1148" s="1">
        <f ca="1">financials[[#This Row],[Gross Sales]]-financials[[#This Row],[Discounts]]</f>
        <v>19613.7</v>
      </c>
      <c r="L1148" s="1">
        <f ca="1">financials[[#This Row],[Units Sold]]*financials[[#This Row],[Manufacturing Price]]</f>
        <v>10602</v>
      </c>
      <c r="M1148" s="1">
        <f ca="1">financials[[#This Row],[Sales]]-financials[[#This Row],[COGS]]</f>
        <v>9011.7000000000007</v>
      </c>
      <c r="N1148" s="7">
        <f t="shared" ca="1" si="35"/>
        <v>45456</v>
      </c>
      <c r="O1148" s="8">
        <f ca="1">MONTH(financials[[#This Row],[Date]])</f>
        <v>6</v>
      </c>
      <c r="P1148" s="6" t="str">
        <f ca="1">TEXT(financials[[#This Row],[Date]],"MMM")</f>
        <v>Jun</v>
      </c>
      <c r="Q1148">
        <f ca="1">YEAR(financials[[#This Row],[Date]])</f>
        <v>2024</v>
      </c>
    </row>
    <row r="1149" spans="1:17" x14ac:dyDescent="0.3">
      <c r="A1149" t="s">
        <v>25</v>
      </c>
      <c r="B1149" t="s">
        <v>22</v>
      </c>
      <c r="C1149" s="6" t="s">
        <v>29</v>
      </c>
      <c r="D1149" s="6" t="str">
        <f>CONCATENATE(financials[[#This Row],[Segment]],",",financials[[#This Row],[Country]],",",financials[[#This Row],[Product]])</f>
        <v>Channel Partners,France,Velo</v>
      </c>
      <c r="E1149" s="6" t="s">
        <v>33</v>
      </c>
      <c r="F1149">
        <f t="shared" ca="1" si="34"/>
        <v>508</v>
      </c>
      <c r="G1149" s="1">
        <f ca="1">VLOOKUP(financials[[#This Row],[ID]],Prices!D:F,2,FALSE)</f>
        <v>18</v>
      </c>
      <c r="H1149" s="1">
        <f ca="1">VLOOKUP(financials[[#This Row],[ID]],Prices!D:F,3,FALSE)</f>
        <v>26</v>
      </c>
      <c r="I1149" s="1">
        <f ca="1">financials[[#This Row],[Units Sold]]*financials[[#This Row],[Sale Price]]</f>
        <v>13208</v>
      </c>
      <c r="J11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660.40000000000009</v>
      </c>
      <c r="K1149" s="1">
        <f ca="1">financials[[#This Row],[Gross Sales]]-financials[[#This Row],[Discounts]]</f>
        <v>12547.6</v>
      </c>
      <c r="L1149" s="1">
        <f ca="1">financials[[#This Row],[Units Sold]]*financials[[#This Row],[Manufacturing Price]]</f>
        <v>9144</v>
      </c>
      <c r="M1149" s="1">
        <f ca="1">financials[[#This Row],[Sales]]-financials[[#This Row],[COGS]]</f>
        <v>3403.6000000000004</v>
      </c>
      <c r="N1149" s="7">
        <f t="shared" ca="1" si="35"/>
        <v>45445</v>
      </c>
      <c r="O1149" s="8">
        <f ca="1">MONTH(financials[[#This Row],[Date]])</f>
        <v>6</v>
      </c>
      <c r="P1149" s="6" t="str">
        <f ca="1">TEXT(financials[[#This Row],[Date]],"MMM")</f>
        <v>Jun</v>
      </c>
      <c r="Q1149">
        <f ca="1">YEAR(financials[[#This Row],[Date]])</f>
        <v>2024</v>
      </c>
    </row>
    <row r="1150" spans="1:17" x14ac:dyDescent="0.3">
      <c r="A1150" t="s">
        <v>21</v>
      </c>
      <c r="B1150" t="s">
        <v>23</v>
      </c>
      <c r="C1150" s="6" t="s">
        <v>29</v>
      </c>
      <c r="D1150" s="6" t="str">
        <f>CONCATENATE(financials[[#This Row],[Segment]],",",financials[[#This Row],[Country]],",",financials[[#This Row],[Product]])</f>
        <v>Midmarket,Mexico,Velo</v>
      </c>
      <c r="E1150" s="6" t="s">
        <v>33</v>
      </c>
      <c r="F1150">
        <f t="shared" ca="1" si="34"/>
        <v>594</v>
      </c>
      <c r="G1150" s="1">
        <f ca="1">VLOOKUP(financials[[#This Row],[ID]],Prices!D:F,2,FALSE)</f>
        <v>20</v>
      </c>
      <c r="H1150" s="1">
        <f ca="1">VLOOKUP(financials[[#This Row],[ID]],Prices!D:F,3,FALSE)</f>
        <v>35</v>
      </c>
      <c r="I1150" s="1">
        <f ca="1">financials[[#This Row],[Units Sold]]*financials[[#This Row],[Sale Price]]</f>
        <v>20790</v>
      </c>
      <c r="J11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1039.5</v>
      </c>
      <c r="K1150" s="1">
        <f ca="1">financials[[#This Row],[Gross Sales]]-financials[[#This Row],[Discounts]]</f>
        <v>19750.5</v>
      </c>
      <c r="L1150" s="1">
        <f ca="1">financials[[#This Row],[Units Sold]]*financials[[#This Row],[Manufacturing Price]]</f>
        <v>11880</v>
      </c>
      <c r="M1150" s="1">
        <f ca="1">financials[[#This Row],[Sales]]-financials[[#This Row],[COGS]]</f>
        <v>7870.5</v>
      </c>
      <c r="N1150" s="7">
        <f t="shared" ca="1" si="35"/>
        <v>45717</v>
      </c>
      <c r="O1150" s="8">
        <f ca="1">MONTH(financials[[#This Row],[Date]])</f>
        <v>3</v>
      </c>
      <c r="P1150" s="6" t="str">
        <f ca="1">TEXT(financials[[#This Row],[Date]],"MMM")</f>
        <v>Mar</v>
      </c>
      <c r="Q1150">
        <f ca="1">YEAR(financials[[#This Row],[Date]])</f>
        <v>2025</v>
      </c>
    </row>
    <row r="1151" spans="1:17" x14ac:dyDescent="0.3">
      <c r="A1151" t="s">
        <v>16</v>
      </c>
      <c r="B1151" t="s">
        <v>20</v>
      </c>
      <c r="C1151" s="6" t="s">
        <v>30</v>
      </c>
      <c r="D1151" s="6" t="str">
        <f>CONCATENATE(financials[[#This Row],[Segment]],",",financials[[#This Row],[Country]],",",financials[[#This Row],[Product]])</f>
        <v>Government,Germany,VTT</v>
      </c>
      <c r="E1151" s="6" t="s">
        <v>33</v>
      </c>
      <c r="F1151">
        <f t="shared" ca="1" si="34"/>
        <v>87</v>
      </c>
      <c r="G1151" s="1">
        <f ca="1">VLOOKUP(financials[[#This Row],[ID]],Prices!D:F,2,FALSE)</f>
        <v>16</v>
      </c>
      <c r="H1151" s="1">
        <f ca="1">VLOOKUP(financials[[#This Row],[ID]],Prices!D:F,3,FALSE)</f>
        <v>20</v>
      </c>
      <c r="I1151" s="1">
        <f ca="1">financials[[#This Row],[Units Sold]]*financials[[#This Row],[Sale Price]]</f>
        <v>1740</v>
      </c>
      <c r="J11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</v>
      </c>
      <c r="K1151" s="1">
        <f ca="1">financials[[#This Row],[Gross Sales]]-financials[[#This Row],[Discounts]]</f>
        <v>1653</v>
      </c>
      <c r="L1151" s="1">
        <f ca="1">financials[[#This Row],[Units Sold]]*financials[[#This Row],[Manufacturing Price]]</f>
        <v>1392</v>
      </c>
      <c r="M1151" s="1">
        <f ca="1">financials[[#This Row],[Sales]]-financials[[#This Row],[COGS]]</f>
        <v>261</v>
      </c>
      <c r="N1151" s="7">
        <f t="shared" ca="1" si="35"/>
        <v>45574</v>
      </c>
      <c r="O1151" s="8">
        <f ca="1">MONTH(financials[[#This Row],[Date]])</f>
        <v>10</v>
      </c>
      <c r="P1151" s="6" t="str">
        <f ca="1">TEXT(financials[[#This Row],[Date]],"MMM")</f>
        <v>Oct</v>
      </c>
      <c r="Q1151">
        <f ca="1">YEAR(financials[[#This Row],[Date]])</f>
        <v>2024</v>
      </c>
    </row>
    <row r="1152" spans="1:17" x14ac:dyDescent="0.3">
      <c r="A1152" t="s">
        <v>16</v>
      </c>
      <c r="B1152" t="s">
        <v>22</v>
      </c>
      <c r="C1152" s="6" t="s">
        <v>30</v>
      </c>
      <c r="D1152" s="6" t="str">
        <f>CONCATENATE(financials[[#This Row],[Segment]],",",financials[[#This Row],[Country]],",",financials[[#This Row],[Product]])</f>
        <v>Government,France,VTT</v>
      </c>
      <c r="E1152" s="6" t="s">
        <v>33</v>
      </c>
      <c r="F1152">
        <f t="shared" ca="1" si="34"/>
        <v>778</v>
      </c>
      <c r="G1152" s="1">
        <f ca="1">VLOOKUP(financials[[#This Row],[ID]],Prices!D:F,2,FALSE)</f>
        <v>18</v>
      </c>
      <c r="H1152" s="1">
        <f ca="1">VLOOKUP(financials[[#This Row],[ID]],Prices!D:F,3,FALSE)</f>
        <v>32</v>
      </c>
      <c r="I1152" s="1">
        <f ca="1">financials[[#This Row],[Units Sold]]*financials[[#This Row],[Sale Price]]</f>
        <v>24896</v>
      </c>
      <c r="J11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1244.8000000000002</v>
      </c>
      <c r="K1152" s="1">
        <f ca="1">financials[[#This Row],[Gross Sales]]-financials[[#This Row],[Discounts]]</f>
        <v>23651.200000000001</v>
      </c>
      <c r="L1152" s="1">
        <f ca="1">financials[[#This Row],[Units Sold]]*financials[[#This Row],[Manufacturing Price]]</f>
        <v>14004</v>
      </c>
      <c r="M1152" s="1">
        <f ca="1">financials[[#This Row],[Sales]]-financials[[#This Row],[COGS]]</f>
        <v>9647.2000000000007</v>
      </c>
      <c r="N1152" s="7">
        <f t="shared" ca="1" si="35"/>
        <v>45332</v>
      </c>
      <c r="O1152" s="8">
        <f ca="1">MONTH(financials[[#This Row],[Date]])</f>
        <v>2</v>
      </c>
      <c r="P1152" s="6" t="str">
        <f ca="1">TEXT(financials[[#This Row],[Date]],"MMM")</f>
        <v>Feb</v>
      </c>
      <c r="Q1152">
        <f ca="1">YEAR(financials[[#This Row],[Date]])</f>
        <v>2024</v>
      </c>
    </row>
    <row r="1153" spans="1:17" x14ac:dyDescent="0.3">
      <c r="A1153" t="s">
        <v>16</v>
      </c>
      <c r="B1153" t="s">
        <v>23</v>
      </c>
      <c r="C1153" s="6" t="s">
        <v>30</v>
      </c>
      <c r="D1153" s="6" t="str">
        <f>CONCATENATE(financials[[#This Row],[Segment]],",",financials[[#This Row],[Country]],",",financials[[#This Row],[Product]])</f>
        <v>Government,Mexico,VTT</v>
      </c>
      <c r="E1153" s="6" t="s">
        <v>33</v>
      </c>
      <c r="F1153">
        <f t="shared" ca="1" si="34"/>
        <v>461</v>
      </c>
      <c r="G1153" s="1">
        <f ca="1">VLOOKUP(financials[[#This Row],[ID]],Prices!D:F,2,FALSE)</f>
        <v>18</v>
      </c>
      <c r="H1153" s="1">
        <f ca="1">VLOOKUP(financials[[#This Row],[ID]],Prices!D:F,3,FALSE)</f>
        <v>20</v>
      </c>
      <c r="I1153" s="1">
        <f ca="1">financials[[#This Row],[Units Sold]]*financials[[#This Row],[Sale Price]]</f>
        <v>9220</v>
      </c>
      <c r="J11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461</v>
      </c>
      <c r="K1153" s="1">
        <f ca="1">financials[[#This Row],[Gross Sales]]-financials[[#This Row],[Discounts]]</f>
        <v>8759</v>
      </c>
      <c r="L1153" s="1">
        <f ca="1">financials[[#This Row],[Units Sold]]*financials[[#This Row],[Manufacturing Price]]</f>
        <v>8298</v>
      </c>
      <c r="M1153" s="1">
        <f ca="1">financials[[#This Row],[Sales]]-financials[[#This Row],[COGS]]</f>
        <v>461</v>
      </c>
      <c r="N1153" s="7">
        <f t="shared" ca="1" si="35"/>
        <v>45380</v>
      </c>
      <c r="O1153" s="8">
        <f ca="1">MONTH(financials[[#This Row],[Date]])</f>
        <v>3</v>
      </c>
      <c r="P1153" s="6" t="str">
        <f ca="1">TEXT(financials[[#This Row],[Date]],"MMM")</f>
        <v>Mar</v>
      </c>
      <c r="Q1153">
        <f ca="1">YEAR(financials[[#This Row],[Date]])</f>
        <v>2024</v>
      </c>
    </row>
    <row r="1154" spans="1:17" x14ac:dyDescent="0.3">
      <c r="A1154" t="s">
        <v>16</v>
      </c>
      <c r="B1154" t="s">
        <v>23</v>
      </c>
      <c r="C1154" s="6" t="s">
        <v>31</v>
      </c>
      <c r="D1154" s="6" t="str">
        <f>CONCATENATE(financials[[#This Row],[Segment]],",",financials[[#This Row],[Country]],",",financials[[#This Row],[Product]])</f>
        <v>Government,Mexico,Amarilla</v>
      </c>
      <c r="E1154" s="6" t="s">
        <v>33</v>
      </c>
      <c r="F1154">
        <f t="shared" ca="1" si="34"/>
        <v>801</v>
      </c>
      <c r="G1154" s="1">
        <f ca="1">VLOOKUP(financials[[#This Row],[ID]],Prices!D:F,2,FALSE)</f>
        <v>15</v>
      </c>
      <c r="H1154" s="1">
        <f ca="1">VLOOKUP(financials[[#This Row],[ID]],Prices!D:F,3,FALSE)</f>
        <v>32</v>
      </c>
      <c r="I1154" s="1">
        <f ca="1">financials[[#This Row],[Units Sold]]*financials[[#This Row],[Sale Price]]</f>
        <v>25632</v>
      </c>
      <c r="J11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1281.6000000000001</v>
      </c>
      <c r="K1154" s="1">
        <f ca="1">financials[[#This Row],[Gross Sales]]-financials[[#This Row],[Discounts]]</f>
        <v>24350.400000000001</v>
      </c>
      <c r="L1154" s="1">
        <f ca="1">financials[[#This Row],[Units Sold]]*financials[[#This Row],[Manufacturing Price]]</f>
        <v>12015</v>
      </c>
      <c r="M1154" s="1">
        <f ca="1">financials[[#This Row],[Sales]]-financials[[#This Row],[COGS]]</f>
        <v>12335.400000000001</v>
      </c>
      <c r="N1154" s="7">
        <f t="shared" ca="1" si="35"/>
        <v>45139</v>
      </c>
      <c r="O1154" s="8">
        <f ca="1">MONTH(financials[[#This Row],[Date]])</f>
        <v>8</v>
      </c>
      <c r="P1154" s="6" t="str">
        <f ca="1">TEXT(financials[[#This Row],[Date]],"MMM")</f>
        <v>Aug</v>
      </c>
      <c r="Q1154">
        <f ca="1">YEAR(financials[[#This Row],[Date]])</f>
        <v>2023</v>
      </c>
    </row>
    <row r="1155" spans="1:17" x14ac:dyDescent="0.3">
      <c r="A1155" t="s">
        <v>21</v>
      </c>
      <c r="B1155" t="s">
        <v>17</v>
      </c>
      <c r="C1155" s="6" t="s">
        <v>31</v>
      </c>
      <c r="D1155" s="6" t="str">
        <f>CONCATENATE(financials[[#This Row],[Segment]],",",financials[[#This Row],[Country]],",",financials[[#This Row],[Product]])</f>
        <v>Midmarket,Canada,Amarilla</v>
      </c>
      <c r="E1155" s="6" t="s">
        <v>33</v>
      </c>
      <c r="F1155">
        <f t="shared" ref="F1155:F1218" ca="1" si="36">RANDBETWEEN(10,1000)</f>
        <v>191</v>
      </c>
      <c r="G1155" s="1">
        <f ca="1">VLOOKUP(financials[[#This Row],[ID]],Prices!D:F,2,FALSE)</f>
        <v>16</v>
      </c>
      <c r="H1155" s="1">
        <f ca="1">VLOOKUP(financials[[#This Row],[ID]],Prices!D:F,3,FALSE)</f>
        <v>32</v>
      </c>
      <c r="I1155" s="1">
        <f ca="1">financials[[#This Row],[Units Sold]]*financials[[#This Row],[Sale Price]]</f>
        <v>6112</v>
      </c>
      <c r="J11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305.60000000000002</v>
      </c>
      <c r="K1155" s="1">
        <f ca="1">financials[[#This Row],[Gross Sales]]-financials[[#This Row],[Discounts]]</f>
        <v>5806.4</v>
      </c>
      <c r="L1155" s="1">
        <f ca="1">financials[[#This Row],[Units Sold]]*financials[[#This Row],[Manufacturing Price]]</f>
        <v>3056</v>
      </c>
      <c r="M1155" s="1">
        <f ca="1">financials[[#This Row],[Sales]]-financials[[#This Row],[COGS]]</f>
        <v>2750.3999999999996</v>
      </c>
      <c r="N1155" s="7">
        <f t="shared" ref="N1155:N1218" ca="1" si="37">TODAY()-RANDBETWEEN(1,732)</f>
        <v>45055</v>
      </c>
      <c r="O1155" s="8">
        <f ca="1">MONTH(financials[[#This Row],[Date]])</f>
        <v>5</v>
      </c>
      <c r="P1155" s="6" t="str">
        <f ca="1">TEXT(financials[[#This Row],[Date]],"MMM")</f>
        <v>May</v>
      </c>
      <c r="Q1155">
        <f ca="1">YEAR(financials[[#This Row],[Date]])</f>
        <v>2023</v>
      </c>
    </row>
    <row r="1156" spans="1:17" x14ac:dyDescent="0.3">
      <c r="A1156" t="s">
        <v>25</v>
      </c>
      <c r="B1156" t="s">
        <v>22</v>
      </c>
      <c r="C1156" s="6" t="s">
        <v>31</v>
      </c>
      <c r="D1156" s="6" t="str">
        <f>CONCATENATE(financials[[#This Row],[Segment]],",",financials[[#This Row],[Country]],",",financials[[#This Row],[Product]])</f>
        <v>Channel Partners,France,Amarilla</v>
      </c>
      <c r="E1156" s="6" t="s">
        <v>33</v>
      </c>
      <c r="F1156">
        <f t="shared" ca="1" si="36"/>
        <v>546</v>
      </c>
      <c r="G1156" s="1">
        <f ca="1">VLOOKUP(financials[[#This Row],[ID]],Prices!D:F,2,FALSE)</f>
        <v>15</v>
      </c>
      <c r="H1156" s="1">
        <f ca="1">VLOOKUP(financials[[#This Row],[ID]],Prices!D:F,3,FALSE)</f>
        <v>24</v>
      </c>
      <c r="I1156" s="1">
        <f ca="1">financials[[#This Row],[Units Sold]]*financials[[#This Row],[Sale Price]]</f>
        <v>13104</v>
      </c>
      <c r="J11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655.20000000000005</v>
      </c>
      <c r="K1156" s="1">
        <f ca="1">financials[[#This Row],[Gross Sales]]-financials[[#This Row],[Discounts]]</f>
        <v>12448.8</v>
      </c>
      <c r="L1156" s="1">
        <f ca="1">financials[[#This Row],[Units Sold]]*financials[[#This Row],[Manufacturing Price]]</f>
        <v>8190</v>
      </c>
      <c r="M1156" s="1">
        <f ca="1">financials[[#This Row],[Sales]]-financials[[#This Row],[COGS]]</f>
        <v>4258.7999999999993</v>
      </c>
      <c r="N1156" s="7">
        <f t="shared" ca="1" si="37"/>
        <v>45510</v>
      </c>
      <c r="O1156" s="8">
        <f ca="1">MONTH(financials[[#This Row],[Date]])</f>
        <v>8</v>
      </c>
      <c r="P1156" s="6" t="str">
        <f ca="1">TEXT(financials[[#This Row],[Date]],"MMM")</f>
        <v>Aug</v>
      </c>
      <c r="Q1156">
        <f ca="1">YEAR(financials[[#This Row],[Date]])</f>
        <v>2024</v>
      </c>
    </row>
    <row r="1157" spans="1:17" x14ac:dyDescent="0.3">
      <c r="A1157" t="s">
        <v>25</v>
      </c>
      <c r="B1157" t="s">
        <v>36</v>
      </c>
      <c r="C1157" s="6" t="s">
        <v>18</v>
      </c>
      <c r="D1157" s="6" t="str">
        <f>CONCATENATE(financials[[#This Row],[Segment]],",",financials[[#This Row],[Country]],",",financials[[#This Row],[Product]])</f>
        <v>Channel Partners,USA,Carretera</v>
      </c>
      <c r="E1157" s="6" t="s">
        <v>34</v>
      </c>
      <c r="F1157">
        <f t="shared" ca="1" si="36"/>
        <v>776</v>
      </c>
      <c r="G1157" s="1">
        <f ca="1">VLOOKUP(financials[[#This Row],[ID]],Prices!D:F,2,FALSE)</f>
        <v>13</v>
      </c>
      <c r="H1157" s="1">
        <f ca="1">VLOOKUP(financials[[#This Row],[ID]],Prices!D:F,3,FALSE)</f>
        <v>27</v>
      </c>
      <c r="I1157" s="1">
        <f ca="1">financials[[#This Row],[Units Sold]]*financials[[#This Row],[Sale Price]]</f>
        <v>20952</v>
      </c>
      <c r="J11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1047.6000000000001</v>
      </c>
      <c r="K1157" s="1">
        <f ca="1">financials[[#This Row],[Gross Sales]]-financials[[#This Row],[Discounts]]</f>
        <v>19904.400000000001</v>
      </c>
      <c r="L1157" s="1">
        <f ca="1">financials[[#This Row],[Units Sold]]*financials[[#This Row],[Manufacturing Price]]</f>
        <v>10088</v>
      </c>
      <c r="M1157" s="1">
        <f ca="1">financials[[#This Row],[Sales]]-financials[[#This Row],[COGS]]</f>
        <v>9816.4000000000015</v>
      </c>
      <c r="N1157" s="7">
        <f t="shared" ca="1" si="37"/>
        <v>45530</v>
      </c>
      <c r="O1157" s="8">
        <f ca="1">MONTH(financials[[#This Row],[Date]])</f>
        <v>8</v>
      </c>
      <c r="P1157" s="6" t="str">
        <f ca="1">TEXT(financials[[#This Row],[Date]],"MMM")</f>
        <v>Aug</v>
      </c>
      <c r="Q1157">
        <f ca="1">YEAR(financials[[#This Row],[Date]])</f>
        <v>2024</v>
      </c>
    </row>
    <row r="1158" spans="1:17" x14ac:dyDescent="0.3">
      <c r="A1158" t="s">
        <v>16</v>
      </c>
      <c r="B1158" t="s">
        <v>36</v>
      </c>
      <c r="C1158" s="6" t="s">
        <v>24</v>
      </c>
      <c r="D1158" s="6" t="str">
        <f>CONCATENATE(financials[[#This Row],[Segment]],",",financials[[#This Row],[Country]],",",financials[[#This Row],[Product]])</f>
        <v>Government,USA,Montana</v>
      </c>
      <c r="E1158" s="6" t="s">
        <v>34</v>
      </c>
      <c r="F1158">
        <f t="shared" ca="1" si="36"/>
        <v>265</v>
      </c>
      <c r="G1158" s="1">
        <f ca="1">VLOOKUP(financials[[#This Row],[ID]],Prices!D:F,2,FALSE)</f>
        <v>10</v>
      </c>
      <c r="H1158" s="1">
        <f ca="1">VLOOKUP(financials[[#This Row],[ID]],Prices!D:F,3,FALSE)</f>
        <v>34</v>
      </c>
      <c r="I1158" s="1">
        <f ca="1">financials[[#This Row],[Units Sold]]*financials[[#This Row],[Sale Price]]</f>
        <v>9010</v>
      </c>
      <c r="J11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450.5</v>
      </c>
      <c r="K1158" s="1">
        <f ca="1">financials[[#This Row],[Gross Sales]]-financials[[#This Row],[Discounts]]</f>
        <v>8559.5</v>
      </c>
      <c r="L1158" s="1">
        <f ca="1">financials[[#This Row],[Units Sold]]*financials[[#This Row],[Manufacturing Price]]</f>
        <v>2650</v>
      </c>
      <c r="M1158" s="1">
        <f ca="1">financials[[#This Row],[Sales]]-financials[[#This Row],[COGS]]</f>
        <v>5909.5</v>
      </c>
      <c r="N1158" s="7">
        <f t="shared" ca="1" si="37"/>
        <v>45177</v>
      </c>
      <c r="O1158" s="8">
        <f ca="1">MONTH(financials[[#This Row],[Date]])</f>
        <v>9</v>
      </c>
      <c r="P1158" s="6" t="str">
        <f ca="1">TEXT(financials[[#This Row],[Date]],"MMM")</f>
        <v>Sep</v>
      </c>
      <c r="Q1158">
        <f ca="1">YEAR(financials[[#This Row],[Date]])</f>
        <v>2023</v>
      </c>
    </row>
    <row r="1159" spans="1:17" x14ac:dyDescent="0.3">
      <c r="A1159" t="s">
        <v>25</v>
      </c>
      <c r="B1159" t="s">
        <v>36</v>
      </c>
      <c r="C1159" s="6" t="s">
        <v>28</v>
      </c>
      <c r="D1159" s="6" t="str">
        <f>CONCATENATE(financials[[#This Row],[Segment]],",",financials[[#This Row],[Country]],",",financials[[#This Row],[Product]])</f>
        <v>Channel Partners,USA,Paseo</v>
      </c>
      <c r="E1159" s="6" t="s">
        <v>34</v>
      </c>
      <c r="F1159">
        <f t="shared" ca="1" si="36"/>
        <v>605</v>
      </c>
      <c r="G1159" s="1">
        <f ca="1">VLOOKUP(financials[[#This Row],[ID]],Prices!D:F,2,FALSE)</f>
        <v>19</v>
      </c>
      <c r="H1159" s="1">
        <f ca="1">VLOOKUP(financials[[#This Row],[ID]],Prices!D:F,3,FALSE)</f>
        <v>26</v>
      </c>
      <c r="I1159" s="1">
        <f ca="1">financials[[#This Row],[Units Sold]]*financials[[#This Row],[Sale Price]]</f>
        <v>15730</v>
      </c>
      <c r="J11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786.5</v>
      </c>
      <c r="K1159" s="1">
        <f ca="1">financials[[#This Row],[Gross Sales]]-financials[[#This Row],[Discounts]]</f>
        <v>14943.5</v>
      </c>
      <c r="L1159" s="1">
        <f ca="1">financials[[#This Row],[Units Sold]]*financials[[#This Row],[Manufacturing Price]]</f>
        <v>11495</v>
      </c>
      <c r="M1159" s="1">
        <f ca="1">financials[[#This Row],[Sales]]-financials[[#This Row],[COGS]]</f>
        <v>3448.5</v>
      </c>
      <c r="N1159" s="7">
        <f t="shared" ca="1" si="37"/>
        <v>45311</v>
      </c>
      <c r="O1159" s="8">
        <f ca="1">MONTH(financials[[#This Row],[Date]])</f>
        <v>1</v>
      </c>
      <c r="P1159" s="6" t="str">
        <f ca="1">TEXT(financials[[#This Row],[Date]],"MMM")</f>
        <v>Jan</v>
      </c>
      <c r="Q1159">
        <f ca="1">YEAR(financials[[#This Row],[Date]])</f>
        <v>2024</v>
      </c>
    </row>
    <row r="1160" spans="1:17" x14ac:dyDescent="0.3">
      <c r="A1160" t="s">
        <v>26</v>
      </c>
      <c r="B1160" t="s">
        <v>36</v>
      </c>
      <c r="C1160" s="6" t="s">
        <v>18</v>
      </c>
      <c r="D1160" s="6" t="str">
        <f>CONCATENATE(financials[[#This Row],[Segment]],",",financials[[#This Row],[Country]],",",financials[[#This Row],[Product]])</f>
        <v>Enterprise,USA,Carretera</v>
      </c>
      <c r="E1160" s="6" t="s">
        <v>34</v>
      </c>
      <c r="F1160">
        <f t="shared" ca="1" si="36"/>
        <v>270</v>
      </c>
      <c r="G1160" s="1">
        <f ca="1">VLOOKUP(financials[[#This Row],[ID]],Prices!D:F,2,FALSE)</f>
        <v>18</v>
      </c>
      <c r="H1160" s="1">
        <f ca="1">VLOOKUP(financials[[#This Row],[ID]],Prices!D:F,3,FALSE)</f>
        <v>34</v>
      </c>
      <c r="I1160" s="1">
        <f ca="1">financials[[#This Row],[Units Sold]]*financials[[#This Row],[Sale Price]]</f>
        <v>9180</v>
      </c>
      <c r="J11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459</v>
      </c>
      <c r="K1160" s="1">
        <f ca="1">financials[[#This Row],[Gross Sales]]-financials[[#This Row],[Discounts]]</f>
        <v>8721</v>
      </c>
      <c r="L1160" s="1">
        <f ca="1">financials[[#This Row],[Units Sold]]*financials[[#This Row],[Manufacturing Price]]</f>
        <v>4860</v>
      </c>
      <c r="M1160" s="1">
        <f ca="1">financials[[#This Row],[Sales]]-financials[[#This Row],[COGS]]</f>
        <v>3861</v>
      </c>
      <c r="N1160" s="7">
        <f t="shared" ca="1" si="37"/>
        <v>45250</v>
      </c>
      <c r="O1160" s="8">
        <f ca="1">MONTH(financials[[#This Row],[Date]])</f>
        <v>11</v>
      </c>
      <c r="P1160" s="6" t="str">
        <f ca="1">TEXT(financials[[#This Row],[Date]],"MMM")</f>
        <v>Nov</v>
      </c>
      <c r="Q1160">
        <f ca="1">YEAR(financials[[#This Row],[Date]])</f>
        <v>2023</v>
      </c>
    </row>
    <row r="1161" spans="1:17" x14ac:dyDescent="0.3">
      <c r="A1161" t="s">
        <v>26</v>
      </c>
      <c r="B1161" t="s">
        <v>22</v>
      </c>
      <c r="C1161" s="6" t="s">
        <v>18</v>
      </c>
      <c r="D1161" s="6" t="str">
        <f>CONCATENATE(financials[[#This Row],[Segment]],",",financials[[#This Row],[Country]],",",financials[[#This Row],[Product]])</f>
        <v>Enterprise,France,Carretera</v>
      </c>
      <c r="E1161" s="6" t="s">
        <v>34</v>
      </c>
      <c r="F1161">
        <f t="shared" ca="1" si="36"/>
        <v>960</v>
      </c>
      <c r="G1161" s="1">
        <f ca="1">VLOOKUP(financials[[#This Row],[ID]],Prices!D:F,2,FALSE)</f>
        <v>12</v>
      </c>
      <c r="H1161" s="1">
        <f ca="1">VLOOKUP(financials[[#This Row],[ID]],Prices!D:F,3,FALSE)</f>
        <v>35</v>
      </c>
      <c r="I1161" s="1">
        <f ca="1">financials[[#This Row],[Units Sold]]*financials[[#This Row],[Sale Price]]</f>
        <v>33600</v>
      </c>
      <c r="J11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1680</v>
      </c>
      <c r="K1161" s="1">
        <f ca="1">financials[[#This Row],[Gross Sales]]-financials[[#This Row],[Discounts]]</f>
        <v>31920</v>
      </c>
      <c r="L1161" s="1">
        <f ca="1">financials[[#This Row],[Units Sold]]*financials[[#This Row],[Manufacturing Price]]</f>
        <v>11520</v>
      </c>
      <c r="M1161" s="1">
        <f ca="1">financials[[#This Row],[Sales]]-financials[[#This Row],[COGS]]</f>
        <v>20400</v>
      </c>
      <c r="N1161" s="7">
        <f t="shared" ca="1" si="37"/>
        <v>45474</v>
      </c>
      <c r="O1161" s="8">
        <f ca="1">MONTH(financials[[#This Row],[Date]])</f>
        <v>7</v>
      </c>
      <c r="P1161" s="6" t="str">
        <f ca="1">TEXT(financials[[#This Row],[Date]],"MMM")</f>
        <v>Jul</v>
      </c>
      <c r="Q1161">
        <f ca="1">YEAR(financials[[#This Row],[Date]])</f>
        <v>2024</v>
      </c>
    </row>
    <row r="1162" spans="1:17" x14ac:dyDescent="0.3">
      <c r="A1162" t="s">
        <v>16</v>
      </c>
      <c r="B1162" t="s">
        <v>36</v>
      </c>
      <c r="C1162" s="6" t="s">
        <v>24</v>
      </c>
      <c r="D1162" s="6" t="str">
        <f>CONCATENATE(financials[[#This Row],[Segment]],",",financials[[#This Row],[Country]],",",financials[[#This Row],[Product]])</f>
        <v>Government,USA,Montana</v>
      </c>
      <c r="E1162" s="6" t="s">
        <v>34</v>
      </c>
      <c r="F1162">
        <f t="shared" ca="1" si="36"/>
        <v>939</v>
      </c>
      <c r="G1162" s="1">
        <f ca="1">VLOOKUP(financials[[#This Row],[ID]],Prices!D:F,2,FALSE)</f>
        <v>10</v>
      </c>
      <c r="H1162" s="1">
        <f ca="1">VLOOKUP(financials[[#This Row],[ID]],Prices!D:F,3,FALSE)</f>
        <v>34</v>
      </c>
      <c r="I1162" s="1">
        <f ca="1">financials[[#This Row],[Units Sold]]*financials[[#This Row],[Sale Price]]</f>
        <v>31926</v>
      </c>
      <c r="J11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1596.3000000000002</v>
      </c>
      <c r="K1162" s="1">
        <f ca="1">financials[[#This Row],[Gross Sales]]-financials[[#This Row],[Discounts]]</f>
        <v>30329.7</v>
      </c>
      <c r="L1162" s="1">
        <f ca="1">financials[[#This Row],[Units Sold]]*financials[[#This Row],[Manufacturing Price]]</f>
        <v>9390</v>
      </c>
      <c r="M1162" s="1">
        <f ca="1">financials[[#This Row],[Sales]]-financials[[#This Row],[COGS]]</f>
        <v>20939.7</v>
      </c>
      <c r="N1162" s="7">
        <f t="shared" ca="1" si="37"/>
        <v>45609</v>
      </c>
      <c r="O1162" s="8">
        <f ca="1">MONTH(financials[[#This Row],[Date]])</f>
        <v>11</v>
      </c>
      <c r="P1162" s="6" t="str">
        <f ca="1">TEXT(financials[[#This Row],[Date]],"MMM")</f>
        <v>Nov</v>
      </c>
      <c r="Q1162">
        <f ca="1">YEAR(financials[[#This Row],[Date]])</f>
        <v>2024</v>
      </c>
    </row>
    <row r="1163" spans="1:17" x14ac:dyDescent="0.3">
      <c r="A1163" t="s">
        <v>26</v>
      </c>
      <c r="B1163" t="s">
        <v>36</v>
      </c>
      <c r="C1163" s="6" t="s">
        <v>24</v>
      </c>
      <c r="D1163" s="6" t="str">
        <f>CONCATENATE(financials[[#This Row],[Segment]],",",financials[[#This Row],[Country]],",",financials[[#This Row],[Product]])</f>
        <v>Enterprise,USA,Montana</v>
      </c>
      <c r="E1163" s="6" t="s">
        <v>34</v>
      </c>
      <c r="F1163">
        <f t="shared" ca="1" si="36"/>
        <v>768</v>
      </c>
      <c r="G1163" s="1">
        <f ca="1">VLOOKUP(financials[[#This Row],[ID]],Prices!D:F,2,FALSE)</f>
        <v>14</v>
      </c>
      <c r="H1163" s="1">
        <f ca="1">VLOOKUP(financials[[#This Row],[ID]],Prices!D:F,3,FALSE)</f>
        <v>29</v>
      </c>
      <c r="I1163" s="1">
        <f ca="1">financials[[#This Row],[Units Sold]]*financials[[#This Row],[Sale Price]]</f>
        <v>22272</v>
      </c>
      <c r="J11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1113.6000000000001</v>
      </c>
      <c r="K1163" s="1">
        <f ca="1">financials[[#This Row],[Gross Sales]]-financials[[#This Row],[Discounts]]</f>
        <v>21158.400000000001</v>
      </c>
      <c r="L1163" s="1">
        <f ca="1">financials[[#This Row],[Units Sold]]*financials[[#This Row],[Manufacturing Price]]</f>
        <v>10752</v>
      </c>
      <c r="M1163" s="1">
        <f ca="1">financials[[#This Row],[Sales]]-financials[[#This Row],[COGS]]</f>
        <v>10406.400000000001</v>
      </c>
      <c r="N1163" s="7">
        <f t="shared" ca="1" si="37"/>
        <v>45263</v>
      </c>
      <c r="O1163" s="8">
        <f ca="1">MONTH(financials[[#This Row],[Date]])</f>
        <v>12</v>
      </c>
      <c r="P1163" s="6" t="str">
        <f ca="1">TEXT(financials[[#This Row],[Date]],"MMM")</f>
        <v>Dec</v>
      </c>
      <c r="Q1163">
        <f ca="1">YEAR(financials[[#This Row],[Date]])</f>
        <v>2023</v>
      </c>
    </row>
    <row r="1164" spans="1:17" x14ac:dyDescent="0.3">
      <c r="A1164" t="s">
        <v>21</v>
      </c>
      <c r="B1164" t="s">
        <v>22</v>
      </c>
      <c r="C1164" s="6" t="s">
        <v>24</v>
      </c>
      <c r="D1164" s="6" t="str">
        <f>CONCATENATE(financials[[#This Row],[Segment]],",",financials[[#This Row],[Country]],",",financials[[#This Row],[Product]])</f>
        <v>Midmarket,France,Montana</v>
      </c>
      <c r="E1164" s="6" t="s">
        <v>34</v>
      </c>
      <c r="F1164">
        <f t="shared" ca="1" si="36"/>
        <v>187</v>
      </c>
      <c r="G1164" s="1">
        <f ca="1">VLOOKUP(financials[[#This Row],[ID]],Prices!D:F,2,FALSE)</f>
        <v>13</v>
      </c>
      <c r="H1164" s="1">
        <f ca="1">VLOOKUP(financials[[#This Row],[ID]],Prices!D:F,3,FALSE)</f>
        <v>37</v>
      </c>
      <c r="I1164" s="1">
        <f ca="1">financials[[#This Row],[Units Sold]]*financials[[#This Row],[Sale Price]]</f>
        <v>6919</v>
      </c>
      <c r="J11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345.95000000000005</v>
      </c>
      <c r="K1164" s="1">
        <f ca="1">financials[[#This Row],[Gross Sales]]-financials[[#This Row],[Discounts]]</f>
        <v>6573.05</v>
      </c>
      <c r="L1164" s="1">
        <f ca="1">financials[[#This Row],[Units Sold]]*financials[[#This Row],[Manufacturing Price]]</f>
        <v>2431</v>
      </c>
      <c r="M1164" s="1">
        <f ca="1">financials[[#This Row],[Sales]]-financials[[#This Row],[COGS]]</f>
        <v>4142.05</v>
      </c>
      <c r="N1164" s="7">
        <f t="shared" ca="1" si="37"/>
        <v>45620</v>
      </c>
      <c r="O1164" s="8">
        <f ca="1">MONTH(financials[[#This Row],[Date]])</f>
        <v>11</v>
      </c>
      <c r="P1164" s="6" t="str">
        <f ca="1">TEXT(financials[[#This Row],[Date]],"MMM")</f>
        <v>Nov</v>
      </c>
      <c r="Q1164">
        <f ca="1">YEAR(financials[[#This Row],[Date]])</f>
        <v>2024</v>
      </c>
    </row>
    <row r="1165" spans="1:17" x14ac:dyDescent="0.3">
      <c r="A1165" t="s">
        <v>16</v>
      </c>
      <c r="B1165" t="s">
        <v>22</v>
      </c>
      <c r="C1165" s="6" t="s">
        <v>28</v>
      </c>
      <c r="D1165" s="6" t="str">
        <f>CONCATENATE(financials[[#This Row],[Segment]],",",financials[[#This Row],[Country]],",",financials[[#This Row],[Product]])</f>
        <v>Government,France,Paseo</v>
      </c>
      <c r="E1165" s="6" t="s">
        <v>34</v>
      </c>
      <c r="F1165">
        <f t="shared" ca="1" si="36"/>
        <v>390</v>
      </c>
      <c r="G1165" s="1">
        <f ca="1">VLOOKUP(financials[[#This Row],[ID]],Prices!D:F,2,FALSE)</f>
        <v>14</v>
      </c>
      <c r="H1165" s="1">
        <f ca="1">VLOOKUP(financials[[#This Row],[ID]],Prices!D:F,3,FALSE)</f>
        <v>18</v>
      </c>
      <c r="I1165" s="1">
        <f ca="1">financials[[#This Row],[Units Sold]]*financials[[#This Row],[Sale Price]]</f>
        <v>7020</v>
      </c>
      <c r="J11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351</v>
      </c>
      <c r="K1165" s="1">
        <f ca="1">financials[[#This Row],[Gross Sales]]-financials[[#This Row],[Discounts]]</f>
        <v>6669</v>
      </c>
      <c r="L1165" s="1">
        <f ca="1">financials[[#This Row],[Units Sold]]*financials[[#This Row],[Manufacturing Price]]</f>
        <v>5460</v>
      </c>
      <c r="M1165" s="1">
        <f ca="1">financials[[#This Row],[Sales]]-financials[[#This Row],[COGS]]</f>
        <v>1209</v>
      </c>
      <c r="N1165" s="7">
        <f t="shared" ca="1" si="37"/>
        <v>45376</v>
      </c>
      <c r="O1165" s="8">
        <f ca="1">MONTH(financials[[#This Row],[Date]])</f>
        <v>3</v>
      </c>
      <c r="P1165" s="6" t="str">
        <f ca="1">TEXT(financials[[#This Row],[Date]],"MMM")</f>
        <v>Mar</v>
      </c>
      <c r="Q1165">
        <f ca="1">YEAR(financials[[#This Row],[Date]])</f>
        <v>2024</v>
      </c>
    </row>
    <row r="1166" spans="1:17" x14ac:dyDescent="0.3">
      <c r="A1166" t="s">
        <v>27</v>
      </c>
      <c r="B1166" t="s">
        <v>23</v>
      </c>
      <c r="C1166" s="6" t="s">
        <v>28</v>
      </c>
      <c r="D1166" s="6" t="str">
        <f>CONCATENATE(financials[[#This Row],[Segment]],",",financials[[#This Row],[Country]],",",financials[[#This Row],[Product]])</f>
        <v>Small Business,Mexico,Paseo</v>
      </c>
      <c r="E1166" s="6" t="s">
        <v>34</v>
      </c>
      <c r="F1166">
        <f t="shared" ca="1" si="36"/>
        <v>997</v>
      </c>
      <c r="G1166" s="1">
        <f ca="1">VLOOKUP(financials[[#This Row],[ID]],Prices!D:F,2,FALSE)</f>
        <v>20</v>
      </c>
      <c r="H1166" s="1">
        <f ca="1">VLOOKUP(financials[[#This Row],[ID]],Prices!D:F,3,FALSE)</f>
        <v>20</v>
      </c>
      <c r="I1166" s="1">
        <f ca="1">financials[[#This Row],[Units Sold]]*financials[[#This Row],[Sale Price]]</f>
        <v>19940</v>
      </c>
      <c r="J11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997</v>
      </c>
      <c r="K1166" s="1">
        <f ca="1">financials[[#This Row],[Gross Sales]]-financials[[#This Row],[Discounts]]</f>
        <v>18943</v>
      </c>
      <c r="L1166" s="1">
        <f ca="1">financials[[#This Row],[Units Sold]]*financials[[#This Row],[Manufacturing Price]]</f>
        <v>19940</v>
      </c>
      <c r="M1166" s="1">
        <f ca="1">financials[[#This Row],[Sales]]-financials[[#This Row],[COGS]]</f>
        <v>-997</v>
      </c>
      <c r="N1166" s="7">
        <f t="shared" ca="1" si="37"/>
        <v>45566</v>
      </c>
      <c r="O1166" s="8">
        <f ca="1">MONTH(financials[[#This Row],[Date]])</f>
        <v>10</v>
      </c>
      <c r="P1166" s="6" t="str">
        <f ca="1">TEXT(financials[[#This Row],[Date]],"MMM")</f>
        <v>Oct</v>
      </c>
      <c r="Q1166">
        <f ca="1">YEAR(financials[[#This Row],[Date]])</f>
        <v>2024</v>
      </c>
    </row>
    <row r="1167" spans="1:17" x14ac:dyDescent="0.3">
      <c r="A1167" t="s">
        <v>21</v>
      </c>
      <c r="B1167" t="s">
        <v>22</v>
      </c>
      <c r="C1167" s="6" t="s">
        <v>28</v>
      </c>
      <c r="D1167" s="6" t="str">
        <f>CONCATENATE(financials[[#This Row],[Segment]],",",financials[[#This Row],[Country]],",",financials[[#This Row],[Product]])</f>
        <v>Midmarket,France,Paseo</v>
      </c>
      <c r="E1167" s="6" t="s">
        <v>34</v>
      </c>
      <c r="F1167">
        <f t="shared" ca="1" si="36"/>
        <v>94</v>
      </c>
      <c r="G1167" s="1">
        <f ca="1">VLOOKUP(financials[[#This Row],[ID]],Prices!D:F,2,FALSE)</f>
        <v>20</v>
      </c>
      <c r="H1167" s="1">
        <f ca="1">VLOOKUP(financials[[#This Row],[ID]],Prices!D:F,3,FALSE)</f>
        <v>38</v>
      </c>
      <c r="I1167" s="1">
        <f ca="1">financials[[#This Row],[Units Sold]]*financials[[#This Row],[Sale Price]]</f>
        <v>3572</v>
      </c>
      <c r="J11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178.60000000000002</v>
      </c>
      <c r="K1167" s="1">
        <f ca="1">financials[[#This Row],[Gross Sales]]-financials[[#This Row],[Discounts]]</f>
        <v>3393.4</v>
      </c>
      <c r="L1167" s="1">
        <f ca="1">financials[[#This Row],[Units Sold]]*financials[[#This Row],[Manufacturing Price]]</f>
        <v>1880</v>
      </c>
      <c r="M1167" s="1">
        <f ca="1">financials[[#This Row],[Sales]]-financials[[#This Row],[COGS]]</f>
        <v>1513.4</v>
      </c>
      <c r="N1167" s="7">
        <f t="shared" ca="1" si="37"/>
        <v>45257</v>
      </c>
      <c r="O1167" s="8">
        <f ca="1">MONTH(financials[[#This Row],[Date]])</f>
        <v>11</v>
      </c>
      <c r="P1167" s="6" t="str">
        <f ca="1">TEXT(financials[[#This Row],[Date]],"MMM")</f>
        <v>Nov</v>
      </c>
      <c r="Q1167">
        <f ca="1">YEAR(financials[[#This Row],[Date]])</f>
        <v>2023</v>
      </c>
    </row>
    <row r="1168" spans="1:17" x14ac:dyDescent="0.3">
      <c r="A1168" t="s">
        <v>16</v>
      </c>
      <c r="B1168" t="s">
        <v>20</v>
      </c>
      <c r="C1168" s="6" t="s">
        <v>28</v>
      </c>
      <c r="D1168" s="6" t="str">
        <f>CONCATENATE(financials[[#This Row],[Segment]],",",financials[[#This Row],[Country]],",",financials[[#This Row],[Product]])</f>
        <v>Government,Germany,Paseo</v>
      </c>
      <c r="E1168" s="6" t="s">
        <v>34</v>
      </c>
      <c r="F1168">
        <f t="shared" ca="1" si="36"/>
        <v>739</v>
      </c>
      <c r="G1168" s="1">
        <f ca="1">VLOOKUP(financials[[#This Row],[ID]],Prices!D:F,2,FALSE)</f>
        <v>19</v>
      </c>
      <c r="H1168" s="1">
        <f ca="1">VLOOKUP(financials[[#This Row],[ID]],Prices!D:F,3,FALSE)</f>
        <v>37</v>
      </c>
      <c r="I1168" s="1">
        <f ca="1">financials[[#This Row],[Units Sold]]*financials[[#This Row],[Sale Price]]</f>
        <v>27343</v>
      </c>
      <c r="J11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1367.15</v>
      </c>
      <c r="K1168" s="1">
        <f ca="1">financials[[#This Row],[Gross Sales]]-financials[[#This Row],[Discounts]]</f>
        <v>25975.85</v>
      </c>
      <c r="L1168" s="1">
        <f ca="1">financials[[#This Row],[Units Sold]]*financials[[#This Row],[Manufacturing Price]]</f>
        <v>14041</v>
      </c>
      <c r="M1168" s="1">
        <f ca="1">financials[[#This Row],[Sales]]-financials[[#This Row],[COGS]]</f>
        <v>11934.849999999999</v>
      </c>
      <c r="N1168" s="7">
        <f t="shared" ca="1" si="37"/>
        <v>45172</v>
      </c>
      <c r="O1168" s="8">
        <f ca="1">MONTH(financials[[#This Row],[Date]])</f>
        <v>9</v>
      </c>
      <c r="P1168" s="6" t="str">
        <f ca="1">TEXT(financials[[#This Row],[Date]],"MMM")</f>
        <v>Sep</v>
      </c>
      <c r="Q1168">
        <f ca="1">YEAR(financials[[#This Row],[Date]])</f>
        <v>2023</v>
      </c>
    </row>
    <row r="1169" spans="1:17" x14ac:dyDescent="0.3">
      <c r="A1169" t="s">
        <v>21</v>
      </c>
      <c r="B1169" t="s">
        <v>20</v>
      </c>
      <c r="C1169" s="6" t="s">
        <v>29</v>
      </c>
      <c r="D1169" s="6" t="str">
        <f>CONCATENATE(financials[[#This Row],[Segment]],",",financials[[#This Row],[Country]],",",financials[[#This Row],[Product]])</f>
        <v>Midmarket,Germany,Velo</v>
      </c>
      <c r="E1169" s="6" t="s">
        <v>34</v>
      </c>
      <c r="F1169">
        <f t="shared" ca="1" si="36"/>
        <v>359</v>
      </c>
      <c r="G1169" s="1">
        <f ca="1">VLOOKUP(financials[[#This Row],[ID]],Prices!D:F,2,FALSE)</f>
        <v>10</v>
      </c>
      <c r="H1169" s="1">
        <f ca="1">VLOOKUP(financials[[#This Row],[ID]],Prices!D:F,3,FALSE)</f>
        <v>25</v>
      </c>
      <c r="I1169" s="1">
        <f ca="1">financials[[#This Row],[Units Sold]]*financials[[#This Row],[Sale Price]]</f>
        <v>8975</v>
      </c>
      <c r="J11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448.75</v>
      </c>
      <c r="K1169" s="1">
        <f ca="1">financials[[#This Row],[Gross Sales]]-financials[[#This Row],[Discounts]]</f>
        <v>8526.25</v>
      </c>
      <c r="L1169" s="1">
        <f ca="1">financials[[#This Row],[Units Sold]]*financials[[#This Row],[Manufacturing Price]]</f>
        <v>3590</v>
      </c>
      <c r="M1169" s="1">
        <f ca="1">financials[[#This Row],[Sales]]-financials[[#This Row],[COGS]]</f>
        <v>4936.25</v>
      </c>
      <c r="N1169" s="7">
        <f t="shared" ca="1" si="37"/>
        <v>45175</v>
      </c>
      <c r="O1169" s="8">
        <f ca="1">MONTH(financials[[#This Row],[Date]])</f>
        <v>9</v>
      </c>
      <c r="P1169" s="6" t="str">
        <f ca="1">TEXT(financials[[#This Row],[Date]],"MMM")</f>
        <v>Sep</v>
      </c>
      <c r="Q1169">
        <f ca="1">YEAR(financials[[#This Row],[Date]])</f>
        <v>2023</v>
      </c>
    </row>
    <row r="1170" spans="1:17" x14ac:dyDescent="0.3">
      <c r="A1170" t="s">
        <v>21</v>
      </c>
      <c r="B1170" t="s">
        <v>20</v>
      </c>
      <c r="C1170" s="6" t="s">
        <v>29</v>
      </c>
      <c r="D1170" s="6" t="str">
        <f>CONCATENATE(financials[[#This Row],[Segment]],",",financials[[#This Row],[Country]],",",financials[[#This Row],[Product]])</f>
        <v>Midmarket,Germany,Velo</v>
      </c>
      <c r="E1170" s="6" t="s">
        <v>34</v>
      </c>
      <c r="F1170">
        <f t="shared" ca="1" si="36"/>
        <v>629</v>
      </c>
      <c r="G1170" s="1">
        <f ca="1">VLOOKUP(financials[[#This Row],[ID]],Prices!D:F,2,FALSE)</f>
        <v>10</v>
      </c>
      <c r="H1170" s="1">
        <f ca="1">VLOOKUP(financials[[#This Row],[ID]],Prices!D:F,3,FALSE)</f>
        <v>25</v>
      </c>
      <c r="I1170" s="1">
        <f ca="1">financials[[#This Row],[Units Sold]]*financials[[#This Row],[Sale Price]]</f>
        <v>15725</v>
      </c>
      <c r="J11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786.25</v>
      </c>
      <c r="K1170" s="1">
        <f ca="1">financials[[#This Row],[Gross Sales]]-financials[[#This Row],[Discounts]]</f>
        <v>14938.75</v>
      </c>
      <c r="L1170" s="1">
        <f ca="1">financials[[#This Row],[Units Sold]]*financials[[#This Row],[Manufacturing Price]]</f>
        <v>6290</v>
      </c>
      <c r="M1170" s="1">
        <f ca="1">financials[[#This Row],[Sales]]-financials[[#This Row],[COGS]]</f>
        <v>8648.75</v>
      </c>
      <c r="N1170" s="7">
        <f t="shared" ca="1" si="37"/>
        <v>45158</v>
      </c>
      <c r="O1170" s="8">
        <f ca="1">MONTH(financials[[#This Row],[Date]])</f>
        <v>8</v>
      </c>
      <c r="P1170" s="6" t="str">
        <f ca="1">TEXT(financials[[#This Row],[Date]],"MMM")</f>
        <v>Aug</v>
      </c>
      <c r="Q1170">
        <f ca="1">YEAR(financials[[#This Row],[Date]])</f>
        <v>2023</v>
      </c>
    </row>
    <row r="1171" spans="1:17" x14ac:dyDescent="0.3">
      <c r="A1171" t="s">
        <v>21</v>
      </c>
      <c r="B1171" t="s">
        <v>36</v>
      </c>
      <c r="C1171" s="6" t="s">
        <v>29</v>
      </c>
      <c r="D1171" s="6" t="str">
        <f>CONCATENATE(financials[[#This Row],[Segment]],",",financials[[#This Row],[Country]],",",financials[[#This Row],[Product]])</f>
        <v>Midmarket,USA,Velo</v>
      </c>
      <c r="E1171" s="6" t="s">
        <v>34</v>
      </c>
      <c r="F1171">
        <f t="shared" ca="1" si="36"/>
        <v>650</v>
      </c>
      <c r="G1171" s="1">
        <f ca="1">VLOOKUP(financials[[#This Row],[ID]],Prices!D:F,2,FALSE)</f>
        <v>12</v>
      </c>
      <c r="H1171" s="1">
        <f ca="1">VLOOKUP(financials[[#This Row],[ID]],Prices!D:F,3,FALSE)</f>
        <v>34</v>
      </c>
      <c r="I1171" s="1">
        <f ca="1">financials[[#This Row],[Units Sold]]*financials[[#This Row],[Sale Price]]</f>
        <v>22100</v>
      </c>
      <c r="J11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1105</v>
      </c>
      <c r="K1171" s="1">
        <f ca="1">financials[[#This Row],[Gross Sales]]-financials[[#This Row],[Discounts]]</f>
        <v>20995</v>
      </c>
      <c r="L1171" s="1">
        <f ca="1">financials[[#This Row],[Units Sold]]*financials[[#This Row],[Manufacturing Price]]</f>
        <v>7800</v>
      </c>
      <c r="M1171" s="1">
        <f ca="1">financials[[#This Row],[Sales]]-financials[[#This Row],[COGS]]</f>
        <v>13195</v>
      </c>
      <c r="N1171" s="7">
        <f t="shared" ca="1" si="37"/>
        <v>45275</v>
      </c>
      <c r="O1171" s="8">
        <f ca="1">MONTH(financials[[#This Row],[Date]])</f>
        <v>12</v>
      </c>
      <c r="P1171" s="6" t="str">
        <f ca="1">TEXT(financials[[#This Row],[Date]],"MMM")</f>
        <v>Dec</v>
      </c>
      <c r="Q1171">
        <f ca="1">YEAR(financials[[#This Row],[Date]])</f>
        <v>2023</v>
      </c>
    </row>
    <row r="1172" spans="1:17" x14ac:dyDescent="0.3">
      <c r="A1172" t="s">
        <v>16</v>
      </c>
      <c r="B1172" t="s">
        <v>22</v>
      </c>
      <c r="C1172" s="6" t="s">
        <v>29</v>
      </c>
      <c r="D1172" s="6" t="str">
        <f>CONCATENATE(financials[[#This Row],[Segment]],",",financials[[#This Row],[Country]],",",financials[[#This Row],[Product]])</f>
        <v>Government,France,Velo</v>
      </c>
      <c r="E1172" s="6" t="s">
        <v>34</v>
      </c>
      <c r="F1172">
        <f t="shared" ca="1" si="36"/>
        <v>654</v>
      </c>
      <c r="G1172" s="1">
        <f ca="1">VLOOKUP(financials[[#This Row],[ID]],Prices!D:F,2,FALSE)</f>
        <v>20</v>
      </c>
      <c r="H1172" s="1">
        <f ca="1">VLOOKUP(financials[[#This Row],[ID]],Prices!D:F,3,FALSE)</f>
        <v>36</v>
      </c>
      <c r="I1172" s="1">
        <f ca="1">financials[[#This Row],[Units Sold]]*financials[[#This Row],[Sale Price]]</f>
        <v>23544</v>
      </c>
      <c r="J11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1177.2</v>
      </c>
      <c r="K1172" s="1">
        <f ca="1">financials[[#This Row],[Gross Sales]]-financials[[#This Row],[Discounts]]</f>
        <v>22366.799999999999</v>
      </c>
      <c r="L1172" s="1">
        <f ca="1">financials[[#This Row],[Units Sold]]*financials[[#This Row],[Manufacturing Price]]</f>
        <v>13080</v>
      </c>
      <c r="M1172" s="1">
        <f ca="1">financials[[#This Row],[Sales]]-financials[[#This Row],[COGS]]</f>
        <v>9286.7999999999993</v>
      </c>
      <c r="N1172" s="7">
        <f t="shared" ca="1" si="37"/>
        <v>45626</v>
      </c>
      <c r="O1172" s="8">
        <f ca="1">MONTH(financials[[#This Row],[Date]])</f>
        <v>11</v>
      </c>
      <c r="P1172" s="6" t="str">
        <f ca="1">TEXT(financials[[#This Row],[Date]],"MMM")</f>
        <v>Nov</v>
      </c>
      <c r="Q1172">
        <f ca="1">YEAR(financials[[#This Row],[Date]])</f>
        <v>2024</v>
      </c>
    </row>
    <row r="1173" spans="1:17" x14ac:dyDescent="0.3">
      <c r="A1173" t="s">
        <v>26</v>
      </c>
      <c r="B1173" t="s">
        <v>36</v>
      </c>
      <c r="C1173" s="6" t="s">
        <v>29</v>
      </c>
      <c r="D1173" s="6" t="str">
        <f>CONCATENATE(financials[[#This Row],[Segment]],",",financials[[#This Row],[Country]],",",financials[[#This Row],[Product]])</f>
        <v>Enterprise,USA,Velo</v>
      </c>
      <c r="E1173" s="6" t="s">
        <v>34</v>
      </c>
      <c r="F1173">
        <f t="shared" ca="1" si="36"/>
        <v>548</v>
      </c>
      <c r="G1173" s="1">
        <f ca="1">VLOOKUP(financials[[#This Row],[ID]],Prices!D:F,2,FALSE)</f>
        <v>20</v>
      </c>
      <c r="H1173" s="1">
        <f ca="1">VLOOKUP(financials[[#This Row],[ID]],Prices!D:F,3,FALSE)</f>
        <v>24</v>
      </c>
      <c r="I1173" s="1">
        <f ca="1">financials[[#This Row],[Units Sold]]*financials[[#This Row],[Sale Price]]</f>
        <v>13152</v>
      </c>
      <c r="J11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657.6</v>
      </c>
      <c r="K1173" s="1">
        <f ca="1">financials[[#This Row],[Gross Sales]]-financials[[#This Row],[Discounts]]</f>
        <v>12494.4</v>
      </c>
      <c r="L1173" s="1">
        <f ca="1">financials[[#This Row],[Units Sold]]*financials[[#This Row],[Manufacturing Price]]</f>
        <v>10960</v>
      </c>
      <c r="M1173" s="1">
        <f ca="1">financials[[#This Row],[Sales]]-financials[[#This Row],[COGS]]</f>
        <v>1534.3999999999996</v>
      </c>
      <c r="N1173" s="7">
        <f t="shared" ca="1" si="37"/>
        <v>45738</v>
      </c>
      <c r="O1173" s="8">
        <f ca="1">MONTH(financials[[#This Row],[Date]])</f>
        <v>3</v>
      </c>
      <c r="P1173" s="6" t="str">
        <f ca="1">TEXT(financials[[#This Row],[Date]],"MMM")</f>
        <v>Mar</v>
      </c>
      <c r="Q1173">
        <f ca="1">YEAR(financials[[#This Row],[Date]])</f>
        <v>2025</v>
      </c>
    </row>
    <row r="1174" spans="1:17" x14ac:dyDescent="0.3">
      <c r="A1174" t="s">
        <v>27</v>
      </c>
      <c r="B1174" t="s">
        <v>36</v>
      </c>
      <c r="C1174" s="6" t="s">
        <v>29</v>
      </c>
      <c r="D1174" s="6" t="str">
        <f>CONCATENATE(financials[[#This Row],[Segment]],",",financials[[#This Row],[Country]],",",financials[[#This Row],[Product]])</f>
        <v>Small Business,USA,Velo</v>
      </c>
      <c r="E1174" s="6" t="s">
        <v>34</v>
      </c>
      <c r="F1174">
        <f t="shared" ca="1" si="36"/>
        <v>366</v>
      </c>
      <c r="G1174" s="1">
        <f ca="1">VLOOKUP(financials[[#This Row],[ID]],Prices!D:F,2,FALSE)</f>
        <v>13</v>
      </c>
      <c r="H1174" s="1">
        <f ca="1">VLOOKUP(financials[[#This Row],[ID]],Prices!D:F,3,FALSE)</f>
        <v>22</v>
      </c>
      <c r="I1174" s="1">
        <f ca="1">financials[[#This Row],[Units Sold]]*financials[[#This Row],[Sale Price]]</f>
        <v>8052</v>
      </c>
      <c r="J11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402.6</v>
      </c>
      <c r="K1174" s="1">
        <f ca="1">financials[[#This Row],[Gross Sales]]-financials[[#This Row],[Discounts]]</f>
        <v>7649.4</v>
      </c>
      <c r="L1174" s="1">
        <f ca="1">financials[[#This Row],[Units Sold]]*financials[[#This Row],[Manufacturing Price]]</f>
        <v>4758</v>
      </c>
      <c r="M1174" s="1">
        <f ca="1">financials[[#This Row],[Sales]]-financials[[#This Row],[COGS]]</f>
        <v>2891.3999999999996</v>
      </c>
      <c r="N1174" s="7">
        <f t="shared" ca="1" si="37"/>
        <v>45288</v>
      </c>
      <c r="O1174" s="8">
        <f ca="1">MONTH(financials[[#This Row],[Date]])</f>
        <v>12</v>
      </c>
      <c r="P1174" s="6" t="str">
        <f ca="1">TEXT(financials[[#This Row],[Date]],"MMM")</f>
        <v>Dec</v>
      </c>
      <c r="Q1174">
        <f ca="1">YEAR(financials[[#This Row],[Date]])</f>
        <v>2023</v>
      </c>
    </row>
    <row r="1175" spans="1:17" x14ac:dyDescent="0.3">
      <c r="A1175" t="s">
        <v>16</v>
      </c>
      <c r="B1175" t="s">
        <v>20</v>
      </c>
      <c r="C1175" s="6" t="s">
        <v>29</v>
      </c>
      <c r="D1175" s="6" t="str">
        <f>CONCATENATE(financials[[#This Row],[Segment]],",",financials[[#This Row],[Country]],",",financials[[#This Row],[Product]])</f>
        <v>Government,Germany,Velo</v>
      </c>
      <c r="E1175" s="6" t="s">
        <v>34</v>
      </c>
      <c r="F1175">
        <f t="shared" ca="1" si="36"/>
        <v>902</v>
      </c>
      <c r="G1175" s="1">
        <f ca="1">VLOOKUP(financials[[#This Row],[ID]],Prices!D:F,2,FALSE)</f>
        <v>13</v>
      </c>
      <c r="H1175" s="1">
        <f ca="1">VLOOKUP(financials[[#This Row],[ID]],Prices!D:F,3,FALSE)</f>
        <v>19</v>
      </c>
      <c r="I1175" s="1">
        <f ca="1">financials[[#This Row],[Units Sold]]*financials[[#This Row],[Sale Price]]</f>
        <v>17138</v>
      </c>
      <c r="J11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856.90000000000009</v>
      </c>
      <c r="K1175" s="1">
        <f ca="1">financials[[#This Row],[Gross Sales]]-financials[[#This Row],[Discounts]]</f>
        <v>16281.1</v>
      </c>
      <c r="L1175" s="1">
        <f ca="1">financials[[#This Row],[Units Sold]]*financials[[#This Row],[Manufacturing Price]]</f>
        <v>11726</v>
      </c>
      <c r="M1175" s="1">
        <f ca="1">financials[[#This Row],[Sales]]-financials[[#This Row],[COGS]]</f>
        <v>4555.1000000000004</v>
      </c>
      <c r="N1175" s="7">
        <f t="shared" ca="1" si="37"/>
        <v>45553</v>
      </c>
      <c r="O1175" s="8">
        <f ca="1">MONTH(financials[[#This Row],[Date]])</f>
        <v>9</v>
      </c>
      <c r="P1175" s="6" t="str">
        <f ca="1">TEXT(financials[[#This Row],[Date]],"MMM")</f>
        <v>Sep</v>
      </c>
      <c r="Q1175">
        <f ca="1">YEAR(financials[[#This Row],[Date]])</f>
        <v>2024</v>
      </c>
    </row>
    <row r="1176" spans="1:17" x14ac:dyDescent="0.3">
      <c r="A1176" t="s">
        <v>16</v>
      </c>
      <c r="B1176" t="s">
        <v>20</v>
      </c>
      <c r="C1176" s="6" t="s">
        <v>29</v>
      </c>
      <c r="D1176" s="6" t="str">
        <f>CONCATENATE(financials[[#This Row],[Segment]],",",financials[[#This Row],[Country]],",",financials[[#This Row],[Product]])</f>
        <v>Government,Germany,Velo</v>
      </c>
      <c r="E1176" s="6" t="s">
        <v>34</v>
      </c>
      <c r="F1176">
        <f t="shared" ca="1" si="36"/>
        <v>720</v>
      </c>
      <c r="G1176" s="1">
        <f ca="1">VLOOKUP(financials[[#This Row],[ID]],Prices!D:F,2,FALSE)</f>
        <v>13</v>
      </c>
      <c r="H1176" s="1">
        <f ca="1">VLOOKUP(financials[[#This Row],[ID]],Prices!D:F,3,FALSE)</f>
        <v>19</v>
      </c>
      <c r="I1176" s="1">
        <f ca="1">financials[[#This Row],[Units Sold]]*financials[[#This Row],[Sale Price]]</f>
        <v>13680</v>
      </c>
      <c r="J11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684</v>
      </c>
      <c r="K1176" s="1">
        <f ca="1">financials[[#This Row],[Gross Sales]]-financials[[#This Row],[Discounts]]</f>
        <v>12996</v>
      </c>
      <c r="L1176" s="1">
        <f ca="1">financials[[#This Row],[Units Sold]]*financials[[#This Row],[Manufacturing Price]]</f>
        <v>9360</v>
      </c>
      <c r="M1176" s="1">
        <f ca="1">financials[[#This Row],[Sales]]-financials[[#This Row],[COGS]]</f>
        <v>3636</v>
      </c>
      <c r="N1176" s="7">
        <f t="shared" ca="1" si="37"/>
        <v>45534</v>
      </c>
      <c r="O1176" s="8">
        <f ca="1">MONTH(financials[[#This Row],[Date]])</f>
        <v>8</v>
      </c>
      <c r="P1176" s="6" t="str">
        <f ca="1">TEXT(financials[[#This Row],[Date]],"MMM")</f>
        <v>Aug</v>
      </c>
      <c r="Q1176">
        <f ca="1">YEAR(financials[[#This Row],[Date]])</f>
        <v>2024</v>
      </c>
    </row>
    <row r="1177" spans="1:17" x14ac:dyDescent="0.3">
      <c r="A1177" t="s">
        <v>26</v>
      </c>
      <c r="B1177" t="s">
        <v>17</v>
      </c>
      <c r="C1177" s="6" t="s">
        <v>29</v>
      </c>
      <c r="D1177" s="6" t="str">
        <f>CONCATENATE(financials[[#This Row],[Segment]],",",financials[[#This Row],[Country]],",",financials[[#This Row],[Product]])</f>
        <v>Enterprise,Canada,Velo</v>
      </c>
      <c r="E1177" s="6" t="s">
        <v>34</v>
      </c>
      <c r="F1177">
        <f t="shared" ca="1" si="36"/>
        <v>464</v>
      </c>
      <c r="G1177" s="1">
        <f ca="1">VLOOKUP(financials[[#This Row],[ID]],Prices!D:F,2,FALSE)</f>
        <v>11</v>
      </c>
      <c r="H1177" s="1">
        <f ca="1">VLOOKUP(financials[[#This Row],[ID]],Prices!D:F,3,FALSE)</f>
        <v>34</v>
      </c>
      <c r="I1177" s="1">
        <f ca="1">financials[[#This Row],[Units Sold]]*financials[[#This Row],[Sale Price]]</f>
        <v>15776</v>
      </c>
      <c r="J11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788.80000000000007</v>
      </c>
      <c r="K1177" s="1">
        <f ca="1">financials[[#This Row],[Gross Sales]]-financials[[#This Row],[Discounts]]</f>
        <v>14987.2</v>
      </c>
      <c r="L1177" s="1">
        <f ca="1">financials[[#This Row],[Units Sold]]*financials[[#This Row],[Manufacturing Price]]</f>
        <v>5104</v>
      </c>
      <c r="M1177" s="1">
        <f ca="1">financials[[#This Row],[Sales]]-financials[[#This Row],[COGS]]</f>
        <v>9883.2000000000007</v>
      </c>
      <c r="N1177" s="7">
        <f t="shared" ca="1" si="37"/>
        <v>45144</v>
      </c>
      <c r="O1177" s="8">
        <f ca="1">MONTH(financials[[#This Row],[Date]])</f>
        <v>8</v>
      </c>
      <c r="P1177" s="6" t="str">
        <f ca="1">TEXT(financials[[#This Row],[Date]],"MMM")</f>
        <v>Aug</v>
      </c>
      <c r="Q1177">
        <f ca="1">YEAR(financials[[#This Row],[Date]])</f>
        <v>2023</v>
      </c>
    </row>
    <row r="1178" spans="1:17" x14ac:dyDescent="0.3">
      <c r="A1178" t="s">
        <v>27</v>
      </c>
      <c r="B1178" t="s">
        <v>22</v>
      </c>
      <c r="C1178" s="6" t="s">
        <v>29</v>
      </c>
      <c r="D1178" s="6" t="str">
        <f>CONCATENATE(financials[[#This Row],[Segment]],",",financials[[#This Row],[Country]],",",financials[[#This Row],[Product]])</f>
        <v>Small Business,France,Velo</v>
      </c>
      <c r="E1178" s="6" t="s">
        <v>34</v>
      </c>
      <c r="F1178">
        <f t="shared" ca="1" si="36"/>
        <v>660</v>
      </c>
      <c r="G1178" s="1">
        <f ca="1">VLOOKUP(financials[[#This Row],[ID]],Prices!D:F,2,FALSE)</f>
        <v>17</v>
      </c>
      <c r="H1178" s="1">
        <f ca="1">VLOOKUP(financials[[#This Row],[ID]],Prices!D:F,3,FALSE)</f>
        <v>22</v>
      </c>
      <c r="I1178" s="1">
        <f ca="1">financials[[#This Row],[Units Sold]]*financials[[#This Row],[Sale Price]]</f>
        <v>14520</v>
      </c>
      <c r="J11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726</v>
      </c>
      <c r="K1178" s="1">
        <f ca="1">financials[[#This Row],[Gross Sales]]-financials[[#This Row],[Discounts]]</f>
        <v>13794</v>
      </c>
      <c r="L1178" s="1">
        <f ca="1">financials[[#This Row],[Units Sold]]*financials[[#This Row],[Manufacturing Price]]</f>
        <v>11220</v>
      </c>
      <c r="M1178" s="1">
        <f ca="1">financials[[#This Row],[Sales]]-financials[[#This Row],[COGS]]</f>
        <v>2574</v>
      </c>
      <c r="N1178" s="7">
        <f t="shared" ca="1" si="37"/>
        <v>45259</v>
      </c>
      <c r="O1178" s="8">
        <f ca="1">MONTH(financials[[#This Row],[Date]])</f>
        <v>11</v>
      </c>
      <c r="P1178" s="6" t="str">
        <f ca="1">TEXT(financials[[#This Row],[Date]],"MMM")</f>
        <v>Nov</v>
      </c>
      <c r="Q1178">
        <f ca="1">YEAR(financials[[#This Row],[Date]])</f>
        <v>2023</v>
      </c>
    </row>
    <row r="1179" spans="1:17" x14ac:dyDescent="0.3">
      <c r="A1179" t="s">
        <v>26</v>
      </c>
      <c r="B1179" t="s">
        <v>23</v>
      </c>
      <c r="C1179" s="6" t="s">
        <v>30</v>
      </c>
      <c r="D1179" s="6" t="str">
        <f>CONCATENATE(financials[[#This Row],[Segment]],",",financials[[#This Row],[Country]],",",financials[[#This Row],[Product]])</f>
        <v>Enterprise,Mexico,VTT</v>
      </c>
      <c r="E1179" s="6" t="s">
        <v>34</v>
      </c>
      <c r="F1179">
        <f t="shared" ca="1" si="36"/>
        <v>602</v>
      </c>
      <c r="G1179" s="1">
        <f ca="1">VLOOKUP(financials[[#This Row],[ID]],Prices!D:F,2,FALSE)</f>
        <v>15</v>
      </c>
      <c r="H1179" s="1">
        <f ca="1">VLOOKUP(financials[[#This Row],[ID]],Prices!D:F,3,FALSE)</f>
        <v>38</v>
      </c>
      <c r="I1179" s="1">
        <f ca="1">financials[[#This Row],[Units Sold]]*financials[[#This Row],[Sale Price]]</f>
        <v>22876</v>
      </c>
      <c r="J11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1143.8</v>
      </c>
      <c r="K1179" s="1">
        <f ca="1">financials[[#This Row],[Gross Sales]]-financials[[#This Row],[Discounts]]</f>
        <v>21732.2</v>
      </c>
      <c r="L1179" s="1">
        <f ca="1">financials[[#This Row],[Units Sold]]*financials[[#This Row],[Manufacturing Price]]</f>
        <v>9030</v>
      </c>
      <c r="M1179" s="1">
        <f ca="1">financials[[#This Row],[Sales]]-financials[[#This Row],[COGS]]</f>
        <v>12702.2</v>
      </c>
      <c r="N1179" s="7">
        <f t="shared" ca="1" si="37"/>
        <v>45570</v>
      </c>
      <c r="O1179" s="8">
        <f ca="1">MONTH(financials[[#This Row],[Date]])</f>
        <v>10</v>
      </c>
      <c r="P1179" s="6" t="str">
        <f ca="1">TEXT(financials[[#This Row],[Date]],"MMM")</f>
        <v>Oct</v>
      </c>
      <c r="Q1179">
        <f ca="1">YEAR(financials[[#This Row],[Date]])</f>
        <v>2024</v>
      </c>
    </row>
    <row r="1180" spans="1:17" x14ac:dyDescent="0.3">
      <c r="A1180" t="s">
        <v>21</v>
      </c>
      <c r="B1180" t="s">
        <v>23</v>
      </c>
      <c r="C1180" s="6" t="s">
        <v>30</v>
      </c>
      <c r="D1180" s="6" t="str">
        <f>CONCATENATE(financials[[#This Row],[Segment]],",",financials[[#This Row],[Country]],",",financials[[#This Row],[Product]])</f>
        <v>Midmarket,Mexico,VTT</v>
      </c>
      <c r="E1180" s="6" t="s">
        <v>34</v>
      </c>
      <c r="F1180">
        <f t="shared" ca="1" si="36"/>
        <v>931</v>
      </c>
      <c r="G1180" s="1">
        <f ca="1">VLOOKUP(financials[[#This Row],[ID]],Prices!D:F,2,FALSE)</f>
        <v>19</v>
      </c>
      <c r="H1180" s="1">
        <f ca="1">VLOOKUP(financials[[#This Row],[ID]],Prices!D:F,3,FALSE)</f>
        <v>20</v>
      </c>
      <c r="I1180" s="1">
        <f ca="1">financials[[#This Row],[Units Sold]]*financials[[#This Row],[Sale Price]]</f>
        <v>18620</v>
      </c>
      <c r="J11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931</v>
      </c>
      <c r="K1180" s="1">
        <f ca="1">financials[[#This Row],[Gross Sales]]-financials[[#This Row],[Discounts]]</f>
        <v>17689</v>
      </c>
      <c r="L1180" s="1">
        <f ca="1">financials[[#This Row],[Units Sold]]*financials[[#This Row],[Manufacturing Price]]</f>
        <v>17689</v>
      </c>
      <c r="M1180" s="1">
        <f ca="1">financials[[#This Row],[Sales]]-financials[[#This Row],[COGS]]</f>
        <v>0</v>
      </c>
      <c r="N1180" s="7">
        <f t="shared" ca="1" si="37"/>
        <v>45726</v>
      </c>
      <c r="O1180" s="8">
        <f ca="1">MONTH(financials[[#This Row],[Date]])</f>
        <v>3</v>
      </c>
      <c r="P1180" s="6" t="str">
        <f ca="1">TEXT(financials[[#This Row],[Date]],"MMM")</f>
        <v>Mar</v>
      </c>
      <c r="Q1180">
        <f ca="1">YEAR(financials[[#This Row],[Date]])</f>
        <v>2025</v>
      </c>
    </row>
    <row r="1181" spans="1:17" x14ac:dyDescent="0.3">
      <c r="A1181" t="s">
        <v>16</v>
      </c>
      <c r="B1181" t="s">
        <v>36</v>
      </c>
      <c r="C1181" s="6" t="s">
        <v>30</v>
      </c>
      <c r="D1181" s="6" t="str">
        <f>CONCATENATE(financials[[#This Row],[Segment]],",",financials[[#This Row],[Country]],",",financials[[#This Row],[Product]])</f>
        <v>Government,USA,VTT</v>
      </c>
      <c r="E1181" s="6" t="s">
        <v>34</v>
      </c>
      <c r="F1181">
        <f t="shared" ca="1" si="36"/>
        <v>738</v>
      </c>
      <c r="G1181" s="1">
        <f ca="1">VLOOKUP(financials[[#This Row],[ID]],Prices!D:F,2,FALSE)</f>
        <v>13</v>
      </c>
      <c r="H1181" s="1">
        <f ca="1">VLOOKUP(financials[[#This Row],[ID]],Prices!D:F,3,FALSE)</f>
        <v>31</v>
      </c>
      <c r="I1181" s="1">
        <f ca="1">financials[[#This Row],[Units Sold]]*financials[[#This Row],[Sale Price]]</f>
        <v>22878</v>
      </c>
      <c r="J11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1143.9000000000001</v>
      </c>
      <c r="K1181" s="1">
        <f ca="1">financials[[#This Row],[Gross Sales]]-financials[[#This Row],[Discounts]]</f>
        <v>21734.1</v>
      </c>
      <c r="L1181" s="1">
        <f ca="1">financials[[#This Row],[Units Sold]]*financials[[#This Row],[Manufacturing Price]]</f>
        <v>9594</v>
      </c>
      <c r="M1181" s="1">
        <f ca="1">financials[[#This Row],[Sales]]-financials[[#This Row],[COGS]]</f>
        <v>12140.099999999999</v>
      </c>
      <c r="N1181" s="7">
        <f t="shared" ca="1" si="37"/>
        <v>45095</v>
      </c>
      <c r="O1181" s="8">
        <f ca="1">MONTH(financials[[#This Row],[Date]])</f>
        <v>6</v>
      </c>
      <c r="P1181" s="6" t="str">
        <f ca="1">TEXT(financials[[#This Row],[Date]],"MMM")</f>
        <v>Jun</v>
      </c>
      <c r="Q1181">
        <f ca="1">YEAR(financials[[#This Row],[Date]])</f>
        <v>2023</v>
      </c>
    </row>
    <row r="1182" spans="1:17" x14ac:dyDescent="0.3">
      <c r="A1182" t="s">
        <v>27</v>
      </c>
      <c r="B1182" t="s">
        <v>23</v>
      </c>
      <c r="C1182" s="6" t="s">
        <v>30</v>
      </c>
      <c r="D1182" s="6" t="str">
        <f>CONCATENATE(financials[[#This Row],[Segment]],",",financials[[#This Row],[Country]],",",financials[[#This Row],[Product]])</f>
        <v>Small Business,Mexico,VTT</v>
      </c>
      <c r="E1182" s="6" t="s">
        <v>34</v>
      </c>
      <c r="F1182">
        <f t="shared" ca="1" si="36"/>
        <v>456</v>
      </c>
      <c r="G1182" s="1">
        <f ca="1">VLOOKUP(financials[[#This Row],[ID]],Prices!D:F,2,FALSE)</f>
        <v>17</v>
      </c>
      <c r="H1182" s="1">
        <f ca="1">VLOOKUP(financials[[#This Row],[ID]],Prices!D:F,3,FALSE)</f>
        <v>36</v>
      </c>
      <c r="I1182" s="1">
        <f ca="1">financials[[#This Row],[Units Sold]]*financials[[#This Row],[Sale Price]]</f>
        <v>16416</v>
      </c>
      <c r="J11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820.80000000000007</v>
      </c>
      <c r="K1182" s="1">
        <f ca="1">financials[[#This Row],[Gross Sales]]-financials[[#This Row],[Discounts]]</f>
        <v>15595.2</v>
      </c>
      <c r="L1182" s="1">
        <f ca="1">financials[[#This Row],[Units Sold]]*financials[[#This Row],[Manufacturing Price]]</f>
        <v>7752</v>
      </c>
      <c r="M1182" s="1">
        <f ca="1">financials[[#This Row],[Sales]]-financials[[#This Row],[COGS]]</f>
        <v>7843.2000000000007</v>
      </c>
      <c r="N1182" s="7">
        <f t="shared" ca="1" si="37"/>
        <v>45283</v>
      </c>
      <c r="O1182" s="8">
        <f ca="1">MONTH(financials[[#This Row],[Date]])</f>
        <v>12</v>
      </c>
      <c r="P1182" s="6" t="str">
        <f ca="1">TEXT(financials[[#This Row],[Date]],"MMM")</f>
        <v>Dec</v>
      </c>
      <c r="Q1182">
        <f ca="1">YEAR(financials[[#This Row],[Date]])</f>
        <v>2023</v>
      </c>
    </row>
    <row r="1183" spans="1:17" x14ac:dyDescent="0.3">
      <c r="A1183" t="s">
        <v>27</v>
      </c>
      <c r="B1183" t="s">
        <v>36</v>
      </c>
      <c r="C1183" s="6" t="s">
        <v>30</v>
      </c>
      <c r="D1183" s="6" t="str">
        <f>CONCATENATE(financials[[#This Row],[Segment]],",",financials[[#This Row],[Country]],",",financials[[#This Row],[Product]])</f>
        <v>Small Business,USA,VTT</v>
      </c>
      <c r="E1183" s="6" t="s">
        <v>34</v>
      </c>
      <c r="F1183">
        <f t="shared" ca="1" si="36"/>
        <v>76</v>
      </c>
      <c r="G1183" s="1">
        <f ca="1">VLOOKUP(financials[[#This Row],[ID]],Prices!D:F,2,FALSE)</f>
        <v>13</v>
      </c>
      <c r="H1183" s="1">
        <f ca="1">VLOOKUP(financials[[#This Row],[ID]],Prices!D:F,3,FALSE)</f>
        <v>19</v>
      </c>
      <c r="I1183" s="1">
        <f ca="1">financials[[#This Row],[Units Sold]]*financials[[#This Row],[Sale Price]]</f>
        <v>1444</v>
      </c>
      <c r="J11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72.2</v>
      </c>
      <c r="K1183" s="1">
        <f ca="1">financials[[#This Row],[Gross Sales]]-financials[[#This Row],[Discounts]]</f>
        <v>1371.8</v>
      </c>
      <c r="L1183" s="1">
        <f ca="1">financials[[#This Row],[Units Sold]]*financials[[#This Row],[Manufacturing Price]]</f>
        <v>988</v>
      </c>
      <c r="M1183" s="1">
        <f ca="1">financials[[#This Row],[Sales]]-financials[[#This Row],[COGS]]</f>
        <v>383.79999999999995</v>
      </c>
      <c r="N1183" s="7">
        <f t="shared" ca="1" si="37"/>
        <v>45662</v>
      </c>
      <c r="O1183" s="8">
        <f ca="1">MONTH(financials[[#This Row],[Date]])</f>
        <v>1</v>
      </c>
      <c r="P1183" s="6" t="str">
        <f ca="1">TEXT(financials[[#This Row],[Date]],"MMM")</f>
        <v>Jan</v>
      </c>
      <c r="Q1183">
        <f ca="1">YEAR(financials[[#This Row],[Date]])</f>
        <v>2025</v>
      </c>
    </row>
    <row r="1184" spans="1:17" x14ac:dyDescent="0.3">
      <c r="A1184" t="s">
        <v>21</v>
      </c>
      <c r="B1184" t="s">
        <v>22</v>
      </c>
      <c r="C1184" s="6" t="s">
        <v>30</v>
      </c>
      <c r="D1184" s="6" t="str">
        <f>CONCATENATE(financials[[#This Row],[Segment]],",",financials[[#This Row],[Country]],",",financials[[#This Row],[Product]])</f>
        <v>Midmarket,France,VTT</v>
      </c>
      <c r="E1184" s="6" t="s">
        <v>34</v>
      </c>
      <c r="F1184">
        <f t="shared" ca="1" si="36"/>
        <v>420</v>
      </c>
      <c r="G1184" s="1">
        <f ca="1">VLOOKUP(financials[[#This Row],[ID]],Prices!D:F,2,FALSE)</f>
        <v>11</v>
      </c>
      <c r="H1184" s="1">
        <f ca="1">VLOOKUP(financials[[#This Row],[ID]],Prices!D:F,3,FALSE)</f>
        <v>25</v>
      </c>
      <c r="I1184" s="1">
        <f ca="1">financials[[#This Row],[Units Sold]]*financials[[#This Row],[Sale Price]]</f>
        <v>10500</v>
      </c>
      <c r="J11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525</v>
      </c>
      <c r="K1184" s="1">
        <f ca="1">financials[[#This Row],[Gross Sales]]-financials[[#This Row],[Discounts]]</f>
        <v>9975</v>
      </c>
      <c r="L1184" s="1">
        <f ca="1">financials[[#This Row],[Units Sold]]*financials[[#This Row],[Manufacturing Price]]</f>
        <v>4620</v>
      </c>
      <c r="M1184" s="1">
        <f ca="1">financials[[#This Row],[Sales]]-financials[[#This Row],[COGS]]</f>
        <v>5355</v>
      </c>
      <c r="N1184" s="7">
        <f t="shared" ca="1" si="37"/>
        <v>45316</v>
      </c>
      <c r="O1184" s="8">
        <f ca="1">MONTH(financials[[#This Row],[Date]])</f>
        <v>1</v>
      </c>
      <c r="P1184" s="6" t="str">
        <f ca="1">TEXT(financials[[#This Row],[Date]],"MMM")</f>
        <v>Jan</v>
      </c>
      <c r="Q1184">
        <f ca="1">YEAR(financials[[#This Row],[Date]])</f>
        <v>2024</v>
      </c>
    </row>
    <row r="1185" spans="1:17" x14ac:dyDescent="0.3">
      <c r="A1185" t="s">
        <v>26</v>
      </c>
      <c r="B1185" t="s">
        <v>17</v>
      </c>
      <c r="C1185" s="6" t="s">
        <v>30</v>
      </c>
      <c r="D1185" s="6" t="str">
        <f>CONCATENATE(financials[[#This Row],[Segment]],",",financials[[#This Row],[Country]],",",financials[[#This Row],[Product]])</f>
        <v>Enterprise,Canada,VTT</v>
      </c>
      <c r="E1185" s="6" t="s">
        <v>34</v>
      </c>
      <c r="F1185">
        <f t="shared" ca="1" si="36"/>
        <v>827</v>
      </c>
      <c r="G1185" s="1">
        <f ca="1">VLOOKUP(financials[[#This Row],[ID]],Prices!D:F,2,FALSE)</f>
        <v>14</v>
      </c>
      <c r="H1185" s="1">
        <f ca="1">VLOOKUP(financials[[#This Row],[ID]],Prices!D:F,3,FALSE)</f>
        <v>29</v>
      </c>
      <c r="I1185" s="1">
        <f ca="1">financials[[#This Row],[Units Sold]]*financials[[#This Row],[Sale Price]]</f>
        <v>23983</v>
      </c>
      <c r="J11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1199.1500000000001</v>
      </c>
      <c r="K1185" s="1">
        <f ca="1">financials[[#This Row],[Gross Sales]]-financials[[#This Row],[Discounts]]</f>
        <v>22783.85</v>
      </c>
      <c r="L1185" s="1">
        <f ca="1">financials[[#This Row],[Units Sold]]*financials[[#This Row],[Manufacturing Price]]</f>
        <v>11578</v>
      </c>
      <c r="M1185" s="1">
        <f ca="1">financials[[#This Row],[Sales]]-financials[[#This Row],[COGS]]</f>
        <v>11205.849999999999</v>
      </c>
      <c r="N1185" s="7">
        <f t="shared" ca="1" si="37"/>
        <v>45653</v>
      </c>
      <c r="O1185" s="8">
        <f ca="1">MONTH(financials[[#This Row],[Date]])</f>
        <v>12</v>
      </c>
      <c r="P1185" s="6" t="str">
        <f ca="1">TEXT(financials[[#This Row],[Date]],"MMM")</f>
        <v>Dec</v>
      </c>
      <c r="Q1185">
        <f ca="1">YEAR(financials[[#This Row],[Date]])</f>
        <v>2024</v>
      </c>
    </row>
    <row r="1186" spans="1:17" x14ac:dyDescent="0.3">
      <c r="A1186" t="s">
        <v>16</v>
      </c>
      <c r="B1186" t="s">
        <v>20</v>
      </c>
      <c r="C1186" s="6" t="s">
        <v>30</v>
      </c>
      <c r="D1186" s="6" t="str">
        <f>CONCATENATE(financials[[#This Row],[Segment]],",",financials[[#This Row],[Country]],",",financials[[#This Row],[Product]])</f>
        <v>Government,Germany,VTT</v>
      </c>
      <c r="E1186" s="6" t="s">
        <v>34</v>
      </c>
      <c r="F1186">
        <f t="shared" ca="1" si="36"/>
        <v>168</v>
      </c>
      <c r="G1186" s="1">
        <f ca="1">VLOOKUP(financials[[#This Row],[ID]],Prices!D:F,2,FALSE)</f>
        <v>16</v>
      </c>
      <c r="H1186" s="1">
        <f ca="1">VLOOKUP(financials[[#This Row],[ID]],Prices!D:F,3,FALSE)</f>
        <v>20</v>
      </c>
      <c r="I1186" s="1">
        <f ca="1">financials[[#This Row],[Units Sold]]*financials[[#This Row],[Sale Price]]</f>
        <v>3360</v>
      </c>
      <c r="J11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168</v>
      </c>
      <c r="K1186" s="1">
        <f ca="1">financials[[#This Row],[Gross Sales]]-financials[[#This Row],[Discounts]]</f>
        <v>3192</v>
      </c>
      <c r="L1186" s="1">
        <f ca="1">financials[[#This Row],[Units Sold]]*financials[[#This Row],[Manufacturing Price]]</f>
        <v>2688</v>
      </c>
      <c r="M1186" s="1">
        <f ca="1">financials[[#This Row],[Sales]]-financials[[#This Row],[COGS]]</f>
        <v>504</v>
      </c>
      <c r="N1186" s="7">
        <f t="shared" ca="1" si="37"/>
        <v>45191</v>
      </c>
      <c r="O1186" s="8">
        <f ca="1">MONTH(financials[[#This Row],[Date]])</f>
        <v>9</v>
      </c>
      <c r="P1186" s="6" t="str">
        <f ca="1">TEXT(financials[[#This Row],[Date]],"MMM")</f>
        <v>Sep</v>
      </c>
      <c r="Q1186">
        <f ca="1">YEAR(financials[[#This Row],[Date]])</f>
        <v>2023</v>
      </c>
    </row>
    <row r="1187" spans="1:17" x14ac:dyDescent="0.3">
      <c r="A1187" t="s">
        <v>26</v>
      </c>
      <c r="B1187" t="s">
        <v>36</v>
      </c>
      <c r="C1187" s="6" t="s">
        <v>31</v>
      </c>
      <c r="D1187" s="6" t="str">
        <f>CONCATENATE(financials[[#This Row],[Segment]],",",financials[[#This Row],[Country]],",",financials[[#This Row],[Product]])</f>
        <v>Enterprise,USA,Amarilla</v>
      </c>
      <c r="E1187" s="6" t="s">
        <v>34</v>
      </c>
      <c r="F1187">
        <f t="shared" ca="1" si="36"/>
        <v>213</v>
      </c>
      <c r="G1187" s="1">
        <f ca="1">VLOOKUP(financials[[#This Row],[ID]],Prices!D:F,2,FALSE)</f>
        <v>15</v>
      </c>
      <c r="H1187" s="1">
        <f ca="1">VLOOKUP(financials[[#This Row],[ID]],Prices!D:F,3,FALSE)</f>
        <v>32</v>
      </c>
      <c r="I1187" s="1">
        <f ca="1">financials[[#This Row],[Units Sold]]*financials[[#This Row],[Sale Price]]</f>
        <v>6816</v>
      </c>
      <c r="J11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340.8</v>
      </c>
      <c r="K1187" s="1">
        <f ca="1">financials[[#This Row],[Gross Sales]]-financials[[#This Row],[Discounts]]</f>
        <v>6475.2</v>
      </c>
      <c r="L1187" s="1">
        <f ca="1">financials[[#This Row],[Units Sold]]*financials[[#This Row],[Manufacturing Price]]</f>
        <v>3195</v>
      </c>
      <c r="M1187" s="1">
        <f ca="1">financials[[#This Row],[Sales]]-financials[[#This Row],[COGS]]</f>
        <v>3280.2</v>
      </c>
      <c r="N1187" s="7">
        <f t="shared" ca="1" si="37"/>
        <v>45641</v>
      </c>
      <c r="O1187" s="8">
        <f ca="1">MONTH(financials[[#This Row],[Date]])</f>
        <v>12</v>
      </c>
      <c r="P1187" s="6" t="str">
        <f ca="1">TEXT(financials[[#This Row],[Date]],"MMM")</f>
        <v>Dec</v>
      </c>
      <c r="Q1187">
        <f ca="1">YEAR(financials[[#This Row],[Date]])</f>
        <v>2024</v>
      </c>
    </row>
    <row r="1188" spans="1:17" x14ac:dyDescent="0.3">
      <c r="A1188" t="s">
        <v>16</v>
      </c>
      <c r="B1188" t="s">
        <v>17</v>
      </c>
      <c r="C1188" s="6" t="s">
        <v>31</v>
      </c>
      <c r="D1188" s="6" t="str">
        <f>CONCATENATE(financials[[#This Row],[Segment]],",",financials[[#This Row],[Country]],",",financials[[#This Row],[Product]])</f>
        <v>Government,Canada,Amarilla</v>
      </c>
      <c r="E1188" s="6" t="s">
        <v>34</v>
      </c>
      <c r="F1188">
        <f t="shared" ca="1" si="36"/>
        <v>642</v>
      </c>
      <c r="G1188" s="1">
        <f ca="1">VLOOKUP(financials[[#This Row],[ID]],Prices!D:F,2,FALSE)</f>
        <v>11</v>
      </c>
      <c r="H1188" s="1">
        <f ca="1">VLOOKUP(financials[[#This Row],[ID]],Prices!D:F,3,FALSE)</f>
        <v>29</v>
      </c>
      <c r="I1188" s="1">
        <f ca="1">financials[[#This Row],[Units Sold]]*financials[[#This Row],[Sale Price]]</f>
        <v>18618</v>
      </c>
      <c r="J11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930.90000000000009</v>
      </c>
      <c r="K1188" s="1">
        <f ca="1">financials[[#This Row],[Gross Sales]]-financials[[#This Row],[Discounts]]</f>
        <v>17687.099999999999</v>
      </c>
      <c r="L1188" s="1">
        <f ca="1">financials[[#This Row],[Units Sold]]*financials[[#This Row],[Manufacturing Price]]</f>
        <v>7062</v>
      </c>
      <c r="M1188" s="1">
        <f ca="1">financials[[#This Row],[Sales]]-financials[[#This Row],[COGS]]</f>
        <v>10625.099999999999</v>
      </c>
      <c r="N1188" s="7">
        <f t="shared" ca="1" si="37"/>
        <v>45232</v>
      </c>
      <c r="O1188" s="8">
        <f ca="1">MONTH(financials[[#This Row],[Date]])</f>
        <v>11</v>
      </c>
      <c r="P1188" s="6" t="str">
        <f ca="1">TEXT(financials[[#This Row],[Date]],"MMM")</f>
        <v>Nov</v>
      </c>
      <c r="Q1188">
        <f ca="1">YEAR(financials[[#This Row],[Date]])</f>
        <v>2023</v>
      </c>
    </row>
    <row r="1189" spans="1:17" x14ac:dyDescent="0.3">
      <c r="A1189" t="s">
        <v>27</v>
      </c>
      <c r="B1189" t="s">
        <v>36</v>
      </c>
      <c r="C1189" s="6" t="s">
        <v>31</v>
      </c>
      <c r="D1189" s="6" t="str">
        <f>CONCATENATE(financials[[#This Row],[Segment]],",",financials[[#This Row],[Country]],",",financials[[#This Row],[Product]])</f>
        <v>Small Business,USA,Amarilla</v>
      </c>
      <c r="E1189" s="6" t="s">
        <v>34</v>
      </c>
      <c r="F1189">
        <f t="shared" ca="1" si="36"/>
        <v>640</v>
      </c>
      <c r="G1189" s="1">
        <f ca="1">VLOOKUP(financials[[#This Row],[ID]],Prices!D:F,2,FALSE)</f>
        <v>13</v>
      </c>
      <c r="H1189" s="1">
        <f ca="1">VLOOKUP(financials[[#This Row],[ID]],Prices!D:F,3,FALSE)</f>
        <v>33</v>
      </c>
      <c r="I1189" s="1">
        <f ca="1">financials[[#This Row],[Units Sold]]*financials[[#This Row],[Sale Price]]</f>
        <v>21120</v>
      </c>
      <c r="J11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1056</v>
      </c>
      <c r="K1189" s="1">
        <f ca="1">financials[[#This Row],[Gross Sales]]-financials[[#This Row],[Discounts]]</f>
        <v>20064</v>
      </c>
      <c r="L1189" s="1">
        <f ca="1">financials[[#This Row],[Units Sold]]*financials[[#This Row],[Manufacturing Price]]</f>
        <v>8320</v>
      </c>
      <c r="M1189" s="1">
        <f ca="1">financials[[#This Row],[Sales]]-financials[[#This Row],[COGS]]</f>
        <v>11744</v>
      </c>
      <c r="N1189" s="7">
        <f t="shared" ca="1" si="37"/>
        <v>45604</v>
      </c>
      <c r="O1189" s="8">
        <f ca="1">MONTH(financials[[#This Row],[Date]])</f>
        <v>11</v>
      </c>
      <c r="P1189" s="6" t="str">
        <f ca="1">TEXT(financials[[#This Row],[Date]],"MMM")</f>
        <v>Nov</v>
      </c>
      <c r="Q1189">
        <f ca="1">YEAR(financials[[#This Row],[Date]])</f>
        <v>2024</v>
      </c>
    </row>
    <row r="1190" spans="1:17" x14ac:dyDescent="0.3">
      <c r="A1190" t="s">
        <v>25</v>
      </c>
      <c r="B1190" t="s">
        <v>17</v>
      </c>
      <c r="C1190" s="6" t="s">
        <v>31</v>
      </c>
      <c r="D1190" s="6" t="str">
        <f>CONCATENATE(financials[[#This Row],[Segment]],",",financials[[#This Row],[Country]],",",financials[[#This Row],[Product]])</f>
        <v>Channel Partners,Canada,Amarilla</v>
      </c>
      <c r="E1190" s="6" t="s">
        <v>34</v>
      </c>
      <c r="F1190">
        <f t="shared" ca="1" si="36"/>
        <v>817</v>
      </c>
      <c r="G1190" s="1">
        <f ca="1">VLOOKUP(financials[[#This Row],[ID]],Prices!D:F,2,FALSE)</f>
        <v>13</v>
      </c>
      <c r="H1190" s="1">
        <f ca="1">VLOOKUP(financials[[#This Row],[ID]],Prices!D:F,3,FALSE)</f>
        <v>19</v>
      </c>
      <c r="I1190" s="1">
        <f ca="1">financials[[#This Row],[Units Sold]]*financials[[#This Row],[Sale Price]]</f>
        <v>15523</v>
      </c>
      <c r="J11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776.15000000000009</v>
      </c>
      <c r="K1190" s="1">
        <f ca="1">financials[[#This Row],[Gross Sales]]-financials[[#This Row],[Discounts]]</f>
        <v>14746.85</v>
      </c>
      <c r="L1190" s="1">
        <f ca="1">financials[[#This Row],[Units Sold]]*financials[[#This Row],[Manufacturing Price]]</f>
        <v>10621</v>
      </c>
      <c r="M1190" s="1">
        <f ca="1">financials[[#This Row],[Sales]]-financials[[#This Row],[COGS]]</f>
        <v>4125.8500000000004</v>
      </c>
      <c r="N1190" s="7">
        <f t="shared" ca="1" si="37"/>
        <v>45623</v>
      </c>
      <c r="O1190" s="8">
        <f ca="1">MONTH(financials[[#This Row],[Date]])</f>
        <v>11</v>
      </c>
      <c r="P1190" s="6" t="str">
        <f ca="1">TEXT(financials[[#This Row],[Date]],"MMM")</f>
        <v>Nov</v>
      </c>
      <c r="Q1190">
        <f ca="1">YEAR(financials[[#This Row],[Date]])</f>
        <v>2024</v>
      </c>
    </row>
    <row r="1191" spans="1:17" x14ac:dyDescent="0.3">
      <c r="A1191" t="s">
        <v>16</v>
      </c>
      <c r="B1191" t="s">
        <v>23</v>
      </c>
      <c r="C1191" s="6" t="s">
        <v>31</v>
      </c>
      <c r="D1191" s="6" t="str">
        <f>CONCATENATE(financials[[#This Row],[Segment]],",",financials[[#This Row],[Country]],",",financials[[#This Row],[Product]])</f>
        <v>Government,Mexico,Amarilla</v>
      </c>
      <c r="E1191" s="6" t="s">
        <v>34</v>
      </c>
      <c r="F1191">
        <f t="shared" ca="1" si="36"/>
        <v>296</v>
      </c>
      <c r="G1191" s="1">
        <f ca="1">VLOOKUP(financials[[#This Row],[ID]],Prices!D:F,2,FALSE)</f>
        <v>15</v>
      </c>
      <c r="H1191" s="1">
        <f ca="1">VLOOKUP(financials[[#This Row],[ID]],Prices!D:F,3,FALSE)</f>
        <v>32</v>
      </c>
      <c r="I1191" s="1">
        <f ca="1">financials[[#This Row],[Units Sold]]*financials[[#This Row],[Sale Price]]</f>
        <v>9472</v>
      </c>
      <c r="J11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473.6</v>
      </c>
      <c r="K1191" s="1">
        <f ca="1">financials[[#This Row],[Gross Sales]]-financials[[#This Row],[Discounts]]</f>
        <v>8998.4</v>
      </c>
      <c r="L1191" s="1">
        <f ca="1">financials[[#This Row],[Units Sold]]*financials[[#This Row],[Manufacturing Price]]</f>
        <v>4440</v>
      </c>
      <c r="M1191" s="1">
        <f ca="1">financials[[#This Row],[Sales]]-financials[[#This Row],[COGS]]</f>
        <v>4558.3999999999996</v>
      </c>
      <c r="N1191" s="7">
        <f t="shared" ca="1" si="37"/>
        <v>45383</v>
      </c>
      <c r="O1191" s="8">
        <f ca="1">MONTH(financials[[#This Row],[Date]])</f>
        <v>4</v>
      </c>
      <c r="P1191" s="6" t="str">
        <f ca="1">TEXT(financials[[#This Row],[Date]],"MMM")</f>
        <v>Apr</v>
      </c>
      <c r="Q1191">
        <f ca="1">YEAR(financials[[#This Row],[Date]])</f>
        <v>2024</v>
      </c>
    </row>
    <row r="1192" spans="1:17" x14ac:dyDescent="0.3">
      <c r="A1192" t="s">
        <v>25</v>
      </c>
      <c r="B1192" t="s">
        <v>20</v>
      </c>
      <c r="C1192" s="6" t="s">
        <v>31</v>
      </c>
      <c r="D1192" s="6" t="str">
        <f>CONCATENATE(financials[[#This Row],[Segment]],",",financials[[#This Row],[Country]],",",financials[[#This Row],[Product]])</f>
        <v>Channel Partners,Germany,Amarilla</v>
      </c>
      <c r="E1192" s="6" t="s">
        <v>34</v>
      </c>
      <c r="F1192">
        <f t="shared" ca="1" si="36"/>
        <v>946</v>
      </c>
      <c r="G1192" s="1">
        <f ca="1">VLOOKUP(financials[[#This Row],[ID]],Prices!D:F,2,FALSE)</f>
        <v>15</v>
      </c>
      <c r="H1192" s="1">
        <f ca="1">VLOOKUP(financials[[#This Row],[ID]],Prices!D:F,3,FALSE)</f>
        <v>22</v>
      </c>
      <c r="I1192" s="1">
        <f ca="1">financials[[#This Row],[Units Sold]]*financials[[#This Row],[Sale Price]]</f>
        <v>20812</v>
      </c>
      <c r="J11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1040.6000000000001</v>
      </c>
      <c r="K1192" s="1">
        <f ca="1">financials[[#This Row],[Gross Sales]]-financials[[#This Row],[Discounts]]</f>
        <v>19771.400000000001</v>
      </c>
      <c r="L1192" s="1">
        <f ca="1">financials[[#This Row],[Units Sold]]*financials[[#This Row],[Manufacturing Price]]</f>
        <v>14190</v>
      </c>
      <c r="M1192" s="1">
        <f ca="1">financials[[#This Row],[Sales]]-financials[[#This Row],[COGS]]</f>
        <v>5581.4000000000015</v>
      </c>
      <c r="N1192" s="7">
        <f t="shared" ca="1" si="37"/>
        <v>45603</v>
      </c>
      <c r="O1192" s="8">
        <f ca="1">MONTH(financials[[#This Row],[Date]])</f>
        <v>11</v>
      </c>
      <c r="P1192" s="6" t="str">
        <f ca="1">TEXT(financials[[#This Row],[Date]],"MMM")</f>
        <v>Nov</v>
      </c>
      <c r="Q1192">
        <f ca="1">YEAR(financials[[#This Row],[Date]])</f>
        <v>2024</v>
      </c>
    </row>
    <row r="1193" spans="1:17" x14ac:dyDescent="0.3">
      <c r="A1193" t="s">
        <v>16</v>
      </c>
      <c r="B1193" t="s">
        <v>17</v>
      </c>
      <c r="C1193" s="6" t="s">
        <v>31</v>
      </c>
      <c r="D1193" s="6" t="str">
        <f>CONCATENATE(financials[[#This Row],[Segment]],",",financials[[#This Row],[Country]],",",financials[[#This Row],[Product]])</f>
        <v>Government,Canada,Amarilla</v>
      </c>
      <c r="E1193" s="6" t="s">
        <v>34</v>
      </c>
      <c r="F1193">
        <f t="shared" ca="1" si="36"/>
        <v>752</v>
      </c>
      <c r="G1193" s="1">
        <f ca="1">VLOOKUP(financials[[#This Row],[ID]],Prices!D:F,2,FALSE)</f>
        <v>11</v>
      </c>
      <c r="H1193" s="1">
        <f ca="1">VLOOKUP(financials[[#This Row],[ID]],Prices!D:F,3,FALSE)</f>
        <v>29</v>
      </c>
      <c r="I1193" s="1">
        <f ca="1">financials[[#This Row],[Units Sold]]*financials[[#This Row],[Sale Price]]</f>
        <v>21808</v>
      </c>
      <c r="J11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1090.4000000000001</v>
      </c>
      <c r="K1193" s="1">
        <f ca="1">financials[[#This Row],[Gross Sales]]-financials[[#This Row],[Discounts]]</f>
        <v>20717.599999999999</v>
      </c>
      <c r="L1193" s="1">
        <f ca="1">financials[[#This Row],[Units Sold]]*financials[[#This Row],[Manufacturing Price]]</f>
        <v>8272</v>
      </c>
      <c r="M1193" s="1">
        <f ca="1">financials[[#This Row],[Sales]]-financials[[#This Row],[COGS]]</f>
        <v>12445.599999999999</v>
      </c>
      <c r="N1193" s="7">
        <f t="shared" ca="1" si="37"/>
        <v>45602</v>
      </c>
      <c r="O1193" s="8">
        <f ca="1">MONTH(financials[[#This Row],[Date]])</f>
        <v>11</v>
      </c>
      <c r="P1193" s="6" t="str">
        <f ca="1">TEXT(financials[[#This Row],[Date]],"MMM")</f>
        <v>Nov</v>
      </c>
      <c r="Q1193">
        <f ca="1">YEAR(financials[[#This Row],[Date]])</f>
        <v>2024</v>
      </c>
    </row>
    <row r="1194" spans="1:17" x14ac:dyDescent="0.3">
      <c r="A1194" t="s">
        <v>21</v>
      </c>
      <c r="B1194" t="s">
        <v>22</v>
      </c>
      <c r="C1194" s="6" t="s">
        <v>31</v>
      </c>
      <c r="D1194" s="6" t="str">
        <f>CONCATENATE(financials[[#This Row],[Segment]],",",financials[[#This Row],[Country]],",",financials[[#This Row],[Product]])</f>
        <v>Midmarket,France,Amarilla</v>
      </c>
      <c r="E1194" s="6" t="s">
        <v>34</v>
      </c>
      <c r="F1194">
        <f t="shared" ca="1" si="36"/>
        <v>439</v>
      </c>
      <c r="G1194" s="1">
        <f ca="1">VLOOKUP(financials[[#This Row],[ID]],Prices!D:F,2,FALSE)</f>
        <v>19</v>
      </c>
      <c r="H1194" s="1">
        <f ca="1">VLOOKUP(financials[[#This Row],[ID]],Prices!D:F,3,FALSE)</f>
        <v>38</v>
      </c>
      <c r="I1194" s="1">
        <f ca="1">financials[[#This Row],[Units Sold]]*financials[[#This Row],[Sale Price]]</f>
        <v>16682</v>
      </c>
      <c r="J11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834.1</v>
      </c>
      <c r="K1194" s="1">
        <f ca="1">financials[[#This Row],[Gross Sales]]-financials[[#This Row],[Discounts]]</f>
        <v>15847.9</v>
      </c>
      <c r="L1194" s="1">
        <f ca="1">financials[[#This Row],[Units Sold]]*financials[[#This Row],[Manufacturing Price]]</f>
        <v>8341</v>
      </c>
      <c r="M1194" s="1">
        <f ca="1">financials[[#This Row],[Sales]]-financials[[#This Row],[COGS]]</f>
        <v>7506.9</v>
      </c>
      <c r="N1194" s="7">
        <f t="shared" ca="1" si="37"/>
        <v>45593</v>
      </c>
      <c r="O1194" s="8">
        <f ca="1">MONTH(financials[[#This Row],[Date]])</f>
        <v>10</v>
      </c>
      <c r="P1194" s="6" t="str">
        <f ca="1">TEXT(financials[[#This Row],[Date]],"MMM")</f>
        <v>Oct</v>
      </c>
      <c r="Q1194">
        <f ca="1">YEAR(financials[[#This Row],[Date]])</f>
        <v>2024</v>
      </c>
    </row>
    <row r="1195" spans="1:17" x14ac:dyDescent="0.3">
      <c r="A1195" t="s">
        <v>27</v>
      </c>
      <c r="B1195" t="s">
        <v>22</v>
      </c>
      <c r="C1195" s="6" t="s">
        <v>31</v>
      </c>
      <c r="D1195" s="6" t="str">
        <f>CONCATENATE(financials[[#This Row],[Segment]],",",financials[[#This Row],[Country]],",",financials[[#This Row],[Product]])</f>
        <v>Small Business,France,Amarilla</v>
      </c>
      <c r="E1195" s="6" t="s">
        <v>34</v>
      </c>
      <c r="F1195">
        <f t="shared" ca="1" si="36"/>
        <v>342</v>
      </c>
      <c r="G1195" s="1">
        <f ca="1">VLOOKUP(financials[[#This Row],[ID]],Prices!D:F,2,FALSE)</f>
        <v>10</v>
      </c>
      <c r="H1195" s="1">
        <f ca="1">VLOOKUP(financials[[#This Row],[ID]],Prices!D:F,3,FALSE)</f>
        <v>38</v>
      </c>
      <c r="I1195" s="1">
        <f ca="1">financials[[#This Row],[Units Sold]]*financials[[#This Row],[Sale Price]]</f>
        <v>12996</v>
      </c>
      <c r="J11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649.80000000000007</v>
      </c>
      <c r="K1195" s="1">
        <f ca="1">financials[[#This Row],[Gross Sales]]-financials[[#This Row],[Discounts]]</f>
        <v>12346.2</v>
      </c>
      <c r="L1195" s="1">
        <f ca="1">financials[[#This Row],[Units Sold]]*financials[[#This Row],[Manufacturing Price]]</f>
        <v>3420</v>
      </c>
      <c r="M1195" s="1">
        <f ca="1">financials[[#This Row],[Sales]]-financials[[#This Row],[COGS]]</f>
        <v>8926.2000000000007</v>
      </c>
      <c r="N1195" s="7">
        <f t="shared" ca="1" si="37"/>
        <v>45564</v>
      </c>
      <c r="O1195" s="8">
        <f ca="1">MONTH(financials[[#This Row],[Date]])</f>
        <v>9</v>
      </c>
      <c r="P1195" s="6" t="str">
        <f ca="1">TEXT(financials[[#This Row],[Date]],"MMM")</f>
        <v>Sep</v>
      </c>
      <c r="Q1195">
        <f ca="1">YEAR(financials[[#This Row],[Date]])</f>
        <v>2024</v>
      </c>
    </row>
    <row r="1196" spans="1:17" x14ac:dyDescent="0.3">
      <c r="A1196" t="s">
        <v>25</v>
      </c>
      <c r="B1196" t="s">
        <v>22</v>
      </c>
      <c r="C1196" s="6" t="s">
        <v>18</v>
      </c>
      <c r="D1196" s="6" t="str">
        <f>CONCATENATE(financials[[#This Row],[Segment]],",",financials[[#This Row],[Country]],",",financials[[#This Row],[Product]])</f>
        <v>Channel Partners,France,Carretera</v>
      </c>
      <c r="E1196" s="6" t="s">
        <v>34</v>
      </c>
      <c r="F1196">
        <f t="shared" ca="1" si="36"/>
        <v>126</v>
      </c>
      <c r="G1196" s="1">
        <f ca="1">VLOOKUP(financials[[#This Row],[ID]],Prices!D:F,2,FALSE)</f>
        <v>10</v>
      </c>
      <c r="H1196" s="1">
        <f ca="1">VLOOKUP(financials[[#This Row],[ID]],Prices!D:F,3,FALSE)</f>
        <v>25</v>
      </c>
      <c r="I1196" s="1">
        <f ca="1">financials[[#This Row],[Units Sold]]*financials[[#This Row],[Sale Price]]</f>
        <v>3150</v>
      </c>
      <c r="J11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157.5</v>
      </c>
      <c r="K1196" s="1">
        <f ca="1">financials[[#This Row],[Gross Sales]]-financials[[#This Row],[Discounts]]</f>
        <v>2992.5</v>
      </c>
      <c r="L1196" s="1">
        <f ca="1">financials[[#This Row],[Units Sold]]*financials[[#This Row],[Manufacturing Price]]</f>
        <v>1260</v>
      </c>
      <c r="M1196" s="1">
        <f ca="1">financials[[#This Row],[Sales]]-financials[[#This Row],[COGS]]</f>
        <v>1732.5</v>
      </c>
      <c r="N1196" s="7">
        <f t="shared" ca="1" si="37"/>
        <v>45471</v>
      </c>
      <c r="O1196" s="8">
        <f ca="1">MONTH(financials[[#This Row],[Date]])</f>
        <v>6</v>
      </c>
      <c r="P1196" s="6" t="str">
        <f ca="1">TEXT(financials[[#This Row],[Date]],"MMM")</f>
        <v>Jun</v>
      </c>
      <c r="Q1196">
        <f ca="1">YEAR(financials[[#This Row],[Date]])</f>
        <v>2024</v>
      </c>
    </row>
    <row r="1197" spans="1:17" x14ac:dyDescent="0.3">
      <c r="A1197" t="s">
        <v>16</v>
      </c>
      <c r="B1197" t="s">
        <v>22</v>
      </c>
      <c r="C1197" s="6" t="s">
        <v>28</v>
      </c>
      <c r="D1197" s="6" t="str">
        <f>CONCATENATE(financials[[#This Row],[Segment]],",",financials[[#This Row],[Country]],",",financials[[#This Row],[Product]])</f>
        <v>Government,France,Paseo</v>
      </c>
      <c r="E1197" s="6" t="s">
        <v>34</v>
      </c>
      <c r="F1197">
        <f t="shared" ca="1" si="36"/>
        <v>185</v>
      </c>
      <c r="G1197" s="1">
        <f ca="1">VLOOKUP(financials[[#This Row],[ID]],Prices!D:F,2,FALSE)</f>
        <v>14</v>
      </c>
      <c r="H1197" s="1">
        <f ca="1">VLOOKUP(financials[[#This Row],[ID]],Prices!D:F,3,FALSE)</f>
        <v>18</v>
      </c>
      <c r="I1197" s="1">
        <f ca="1">financials[[#This Row],[Units Sold]]*financials[[#This Row],[Sale Price]]</f>
        <v>3330</v>
      </c>
      <c r="J11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166.5</v>
      </c>
      <c r="K1197" s="1">
        <f ca="1">financials[[#This Row],[Gross Sales]]-financials[[#This Row],[Discounts]]</f>
        <v>3163.5</v>
      </c>
      <c r="L1197" s="1">
        <f ca="1">financials[[#This Row],[Units Sold]]*financials[[#This Row],[Manufacturing Price]]</f>
        <v>2590</v>
      </c>
      <c r="M1197" s="1">
        <f ca="1">financials[[#This Row],[Sales]]-financials[[#This Row],[COGS]]</f>
        <v>573.5</v>
      </c>
      <c r="N1197" s="7">
        <f t="shared" ca="1" si="37"/>
        <v>45029</v>
      </c>
      <c r="O1197" s="8">
        <f ca="1">MONTH(financials[[#This Row],[Date]])</f>
        <v>4</v>
      </c>
      <c r="P1197" s="6" t="str">
        <f ca="1">TEXT(financials[[#This Row],[Date]],"MMM")</f>
        <v>Apr</v>
      </c>
      <c r="Q1197">
        <f ca="1">YEAR(financials[[#This Row],[Date]])</f>
        <v>2023</v>
      </c>
    </row>
    <row r="1198" spans="1:17" x14ac:dyDescent="0.3">
      <c r="A1198" t="s">
        <v>25</v>
      </c>
      <c r="B1198" t="s">
        <v>22</v>
      </c>
      <c r="C1198" s="6" t="s">
        <v>28</v>
      </c>
      <c r="D1198" s="6" t="str">
        <f>CONCATENATE(financials[[#This Row],[Segment]],",",financials[[#This Row],[Country]],",",financials[[#This Row],[Product]])</f>
        <v>Channel Partners,France,Paseo</v>
      </c>
      <c r="E1198" s="6" t="s">
        <v>34</v>
      </c>
      <c r="F1198">
        <f t="shared" ca="1" si="36"/>
        <v>922</v>
      </c>
      <c r="G1198" s="1">
        <f ca="1">VLOOKUP(financials[[#This Row],[ID]],Prices!D:F,2,FALSE)</f>
        <v>14</v>
      </c>
      <c r="H1198" s="1">
        <f ca="1">VLOOKUP(financials[[#This Row],[ID]],Prices!D:F,3,FALSE)</f>
        <v>30</v>
      </c>
      <c r="I1198" s="1">
        <f ca="1">financials[[#This Row],[Units Sold]]*financials[[#This Row],[Sale Price]]</f>
        <v>27660</v>
      </c>
      <c r="J11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1383</v>
      </c>
      <c r="K1198" s="1">
        <f ca="1">financials[[#This Row],[Gross Sales]]-financials[[#This Row],[Discounts]]</f>
        <v>26277</v>
      </c>
      <c r="L1198" s="1">
        <f ca="1">financials[[#This Row],[Units Sold]]*financials[[#This Row],[Manufacturing Price]]</f>
        <v>12908</v>
      </c>
      <c r="M1198" s="1">
        <f ca="1">financials[[#This Row],[Sales]]-financials[[#This Row],[COGS]]</f>
        <v>13369</v>
      </c>
      <c r="N1198" s="7">
        <f t="shared" ca="1" si="37"/>
        <v>45628</v>
      </c>
      <c r="O1198" s="8">
        <f ca="1">MONTH(financials[[#This Row],[Date]])</f>
        <v>12</v>
      </c>
      <c r="P1198" s="6" t="str">
        <f ca="1">TEXT(financials[[#This Row],[Date]],"MMM")</f>
        <v>Dec</v>
      </c>
      <c r="Q1198">
        <f ca="1">YEAR(financials[[#This Row],[Date]])</f>
        <v>2024</v>
      </c>
    </row>
    <row r="1199" spans="1:17" x14ac:dyDescent="0.3">
      <c r="A1199" t="s">
        <v>21</v>
      </c>
      <c r="B1199" t="s">
        <v>17</v>
      </c>
      <c r="C1199" s="6" t="s">
        <v>29</v>
      </c>
      <c r="D1199" s="6" t="str">
        <f>CONCATENATE(financials[[#This Row],[Segment]],",",financials[[#This Row],[Country]],",",financials[[#This Row],[Product]])</f>
        <v>Midmarket,Canada,Velo</v>
      </c>
      <c r="E1199" s="6" t="s">
        <v>34</v>
      </c>
      <c r="F1199">
        <f t="shared" ca="1" si="36"/>
        <v>778</v>
      </c>
      <c r="G1199" s="1">
        <f ca="1">VLOOKUP(financials[[#This Row],[ID]],Prices!D:F,2,FALSE)</f>
        <v>20</v>
      </c>
      <c r="H1199" s="1">
        <f ca="1">VLOOKUP(financials[[#This Row],[ID]],Prices!D:F,3,FALSE)</f>
        <v>23</v>
      </c>
      <c r="I1199" s="1">
        <f ca="1">financials[[#This Row],[Units Sold]]*financials[[#This Row],[Sale Price]]</f>
        <v>17894</v>
      </c>
      <c r="J11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894.7</v>
      </c>
      <c r="K1199" s="1">
        <f ca="1">financials[[#This Row],[Gross Sales]]-financials[[#This Row],[Discounts]]</f>
        <v>16999.3</v>
      </c>
      <c r="L1199" s="1">
        <f ca="1">financials[[#This Row],[Units Sold]]*financials[[#This Row],[Manufacturing Price]]</f>
        <v>15560</v>
      </c>
      <c r="M1199" s="1">
        <f ca="1">financials[[#This Row],[Sales]]-financials[[#This Row],[COGS]]</f>
        <v>1439.2999999999993</v>
      </c>
      <c r="N1199" s="7">
        <f t="shared" ca="1" si="37"/>
        <v>45738</v>
      </c>
      <c r="O1199" s="8">
        <f ca="1">MONTH(financials[[#This Row],[Date]])</f>
        <v>3</v>
      </c>
      <c r="P1199" s="6" t="str">
        <f ca="1">TEXT(financials[[#This Row],[Date]],"MMM")</f>
        <v>Mar</v>
      </c>
      <c r="Q1199">
        <f ca="1">YEAR(financials[[#This Row],[Date]])</f>
        <v>2025</v>
      </c>
    </row>
    <row r="1200" spans="1:17" x14ac:dyDescent="0.3">
      <c r="A1200" t="s">
        <v>25</v>
      </c>
      <c r="B1200" t="s">
        <v>20</v>
      </c>
      <c r="C1200" s="6" t="s">
        <v>29</v>
      </c>
      <c r="D1200" s="6" t="str">
        <f>CONCATENATE(financials[[#This Row],[Segment]],",",financials[[#This Row],[Country]],",",financials[[#This Row],[Product]])</f>
        <v>Channel Partners,Germany,Velo</v>
      </c>
      <c r="E1200" s="6" t="s">
        <v>34</v>
      </c>
      <c r="F1200">
        <f t="shared" ca="1" si="36"/>
        <v>644</v>
      </c>
      <c r="G1200" s="1">
        <f ca="1">VLOOKUP(financials[[#This Row],[ID]],Prices!D:F,2,FALSE)</f>
        <v>17</v>
      </c>
      <c r="H1200" s="1">
        <f ca="1">VLOOKUP(financials[[#This Row],[ID]],Prices!D:F,3,FALSE)</f>
        <v>23</v>
      </c>
      <c r="I1200" s="1">
        <f ca="1">financials[[#This Row],[Units Sold]]*financials[[#This Row],[Sale Price]]</f>
        <v>14812</v>
      </c>
      <c r="J12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740.6</v>
      </c>
      <c r="K1200" s="1">
        <f ca="1">financials[[#This Row],[Gross Sales]]-financials[[#This Row],[Discounts]]</f>
        <v>14071.4</v>
      </c>
      <c r="L1200" s="1">
        <f ca="1">financials[[#This Row],[Units Sold]]*financials[[#This Row],[Manufacturing Price]]</f>
        <v>10948</v>
      </c>
      <c r="M1200" s="1">
        <f ca="1">financials[[#This Row],[Sales]]-financials[[#This Row],[COGS]]</f>
        <v>3123.3999999999996</v>
      </c>
      <c r="N1200" s="7">
        <f t="shared" ca="1" si="37"/>
        <v>45527</v>
      </c>
      <c r="O1200" s="8">
        <f ca="1">MONTH(financials[[#This Row],[Date]])</f>
        <v>8</v>
      </c>
      <c r="P1200" s="6" t="str">
        <f ca="1">TEXT(financials[[#This Row],[Date]],"MMM")</f>
        <v>Aug</v>
      </c>
      <c r="Q1200">
        <f ca="1">YEAR(financials[[#This Row],[Date]])</f>
        <v>2024</v>
      </c>
    </row>
    <row r="1201" spans="1:17" x14ac:dyDescent="0.3">
      <c r="A1201" t="s">
        <v>16</v>
      </c>
      <c r="B1201" t="s">
        <v>36</v>
      </c>
      <c r="C1201" s="6" t="s">
        <v>30</v>
      </c>
      <c r="D1201" s="6" t="str">
        <f>CONCATENATE(financials[[#This Row],[Segment]],",",financials[[#This Row],[Country]],",",financials[[#This Row],[Product]])</f>
        <v>Government,USA,VTT</v>
      </c>
      <c r="E1201" s="6" t="s">
        <v>34</v>
      </c>
      <c r="F1201">
        <f t="shared" ca="1" si="36"/>
        <v>248</v>
      </c>
      <c r="G1201" s="1">
        <f ca="1">VLOOKUP(financials[[#This Row],[ID]],Prices!D:F,2,FALSE)</f>
        <v>13</v>
      </c>
      <c r="H1201" s="1">
        <f ca="1">VLOOKUP(financials[[#This Row],[ID]],Prices!D:F,3,FALSE)</f>
        <v>31</v>
      </c>
      <c r="I1201" s="1">
        <f ca="1">financials[[#This Row],[Units Sold]]*financials[[#This Row],[Sale Price]]</f>
        <v>7688</v>
      </c>
      <c r="J12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384.40000000000003</v>
      </c>
      <c r="K1201" s="1">
        <f ca="1">financials[[#This Row],[Gross Sales]]-financials[[#This Row],[Discounts]]</f>
        <v>7303.6</v>
      </c>
      <c r="L1201" s="1">
        <f ca="1">financials[[#This Row],[Units Sold]]*financials[[#This Row],[Manufacturing Price]]</f>
        <v>3224</v>
      </c>
      <c r="M1201" s="1">
        <f ca="1">financials[[#This Row],[Sales]]-financials[[#This Row],[COGS]]</f>
        <v>4079.6000000000004</v>
      </c>
      <c r="N1201" s="7">
        <f t="shared" ca="1" si="37"/>
        <v>45136</v>
      </c>
      <c r="O1201" s="8">
        <f ca="1">MONTH(financials[[#This Row],[Date]])</f>
        <v>7</v>
      </c>
      <c r="P1201" s="6" t="str">
        <f ca="1">TEXT(financials[[#This Row],[Date]],"MMM")</f>
        <v>Jul</v>
      </c>
      <c r="Q1201">
        <f ca="1">YEAR(financials[[#This Row],[Date]])</f>
        <v>2023</v>
      </c>
    </row>
    <row r="1202" spans="1:17" x14ac:dyDescent="0.3">
      <c r="A1202" t="s">
        <v>25</v>
      </c>
      <c r="B1202" t="s">
        <v>23</v>
      </c>
      <c r="C1202" s="6" t="s">
        <v>30</v>
      </c>
      <c r="D1202" s="6" t="str">
        <f>CONCATENATE(financials[[#This Row],[Segment]],",",financials[[#This Row],[Country]],",",financials[[#This Row],[Product]])</f>
        <v>Channel Partners,Mexico,VTT</v>
      </c>
      <c r="E1202" s="6" t="s">
        <v>34</v>
      </c>
      <c r="F1202">
        <f t="shared" ca="1" si="36"/>
        <v>130</v>
      </c>
      <c r="G1202" s="1">
        <f ca="1">VLOOKUP(financials[[#This Row],[ID]],Prices!D:F,2,FALSE)</f>
        <v>12</v>
      </c>
      <c r="H1202" s="1">
        <f ca="1">VLOOKUP(financials[[#This Row],[ID]],Prices!D:F,3,FALSE)</f>
        <v>38</v>
      </c>
      <c r="I1202" s="1">
        <f ca="1">financials[[#This Row],[Units Sold]]*financials[[#This Row],[Sale Price]]</f>
        <v>4940</v>
      </c>
      <c r="J12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247</v>
      </c>
      <c r="K1202" s="1">
        <f ca="1">financials[[#This Row],[Gross Sales]]-financials[[#This Row],[Discounts]]</f>
        <v>4693</v>
      </c>
      <c r="L1202" s="1">
        <f ca="1">financials[[#This Row],[Units Sold]]*financials[[#This Row],[Manufacturing Price]]</f>
        <v>1560</v>
      </c>
      <c r="M1202" s="1">
        <f ca="1">financials[[#This Row],[Sales]]-financials[[#This Row],[COGS]]</f>
        <v>3133</v>
      </c>
      <c r="N1202" s="7">
        <f t="shared" ca="1" si="37"/>
        <v>45083</v>
      </c>
      <c r="O1202" s="8">
        <f ca="1">MONTH(financials[[#This Row],[Date]])</f>
        <v>6</v>
      </c>
      <c r="P1202" s="6" t="str">
        <f ca="1">TEXT(financials[[#This Row],[Date]],"MMM")</f>
        <v>Jun</v>
      </c>
      <c r="Q1202">
        <f ca="1">YEAR(financials[[#This Row],[Date]])</f>
        <v>2023</v>
      </c>
    </row>
    <row r="1203" spans="1:17" x14ac:dyDescent="0.3">
      <c r="A1203" t="s">
        <v>21</v>
      </c>
      <c r="B1203" t="s">
        <v>36</v>
      </c>
      <c r="C1203" s="6" t="s">
        <v>31</v>
      </c>
      <c r="D1203" s="6" t="str">
        <f>CONCATENATE(financials[[#This Row],[Segment]],",",financials[[#This Row],[Country]],",",financials[[#This Row],[Product]])</f>
        <v>Midmarket,USA,Amarilla</v>
      </c>
      <c r="E1203" s="6" t="s">
        <v>34</v>
      </c>
      <c r="F1203">
        <f t="shared" ca="1" si="36"/>
        <v>717</v>
      </c>
      <c r="G1203" s="1">
        <f ca="1">VLOOKUP(financials[[#This Row],[ID]],Prices!D:F,2,FALSE)</f>
        <v>12</v>
      </c>
      <c r="H1203" s="1">
        <f ca="1">VLOOKUP(financials[[#This Row],[ID]],Prices!D:F,3,FALSE)</f>
        <v>21</v>
      </c>
      <c r="I1203" s="1">
        <f ca="1">financials[[#This Row],[Units Sold]]*financials[[#This Row],[Sale Price]]</f>
        <v>15057</v>
      </c>
      <c r="J12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752.85</v>
      </c>
      <c r="K1203" s="1">
        <f ca="1">financials[[#This Row],[Gross Sales]]-financials[[#This Row],[Discounts]]</f>
        <v>14304.15</v>
      </c>
      <c r="L1203" s="1">
        <f ca="1">financials[[#This Row],[Units Sold]]*financials[[#This Row],[Manufacturing Price]]</f>
        <v>8604</v>
      </c>
      <c r="M1203" s="1">
        <f ca="1">financials[[#This Row],[Sales]]-financials[[#This Row],[COGS]]</f>
        <v>5700.15</v>
      </c>
      <c r="N1203" s="7">
        <f t="shared" ca="1" si="37"/>
        <v>45122</v>
      </c>
      <c r="O1203" s="8">
        <f ca="1">MONTH(financials[[#This Row],[Date]])</f>
        <v>7</v>
      </c>
      <c r="P1203" s="6" t="str">
        <f ca="1">TEXT(financials[[#This Row],[Date]],"MMM")</f>
        <v>Jul</v>
      </c>
      <c r="Q1203">
        <f ca="1">YEAR(financials[[#This Row],[Date]])</f>
        <v>2023</v>
      </c>
    </row>
    <row r="1204" spans="1:17" x14ac:dyDescent="0.3">
      <c r="A1204" t="s">
        <v>25</v>
      </c>
      <c r="B1204" t="s">
        <v>20</v>
      </c>
      <c r="C1204" s="6" t="s">
        <v>31</v>
      </c>
      <c r="D1204" s="6" t="str">
        <f>CONCATENATE(financials[[#This Row],[Segment]],",",financials[[#This Row],[Country]],",",financials[[#This Row],[Product]])</f>
        <v>Channel Partners,Germany,Amarilla</v>
      </c>
      <c r="E1204" s="6" t="s">
        <v>34</v>
      </c>
      <c r="F1204">
        <f t="shared" ca="1" si="36"/>
        <v>864</v>
      </c>
      <c r="G1204" s="1">
        <f ca="1">VLOOKUP(financials[[#This Row],[ID]],Prices!D:F,2,FALSE)</f>
        <v>15</v>
      </c>
      <c r="H1204" s="1">
        <f ca="1">VLOOKUP(financials[[#This Row],[ID]],Prices!D:F,3,FALSE)</f>
        <v>22</v>
      </c>
      <c r="I1204" s="1">
        <f ca="1">financials[[#This Row],[Units Sold]]*financials[[#This Row],[Sale Price]]</f>
        <v>19008</v>
      </c>
      <c r="J12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950.40000000000009</v>
      </c>
      <c r="K1204" s="1">
        <f ca="1">financials[[#This Row],[Gross Sales]]-financials[[#This Row],[Discounts]]</f>
        <v>18057.599999999999</v>
      </c>
      <c r="L1204" s="1">
        <f ca="1">financials[[#This Row],[Units Sold]]*financials[[#This Row],[Manufacturing Price]]</f>
        <v>12960</v>
      </c>
      <c r="M1204" s="1">
        <f ca="1">financials[[#This Row],[Sales]]-financials[[#This Row],[COGS]]</f>
        <v>5097.5999999999985</v>
      </c>
      <c r="N1204" s="7">
        <f t="shared" ca="1" si="37"/>
        <v>45338</v>
      </c>
      <c r="O1204" s="8">
        <f ca="1">MONTH(financials[[#This Row],[Date]])</f>
        <v>2</v>
      </c>
      <c r="P1204" s="6" t="str">
        <f ca="1">TEXT(financials[[#This Row],[Date]],"MMM")</f>
        <v>Feb</v>
      </c>
      <c r="Q1204">
        <f ca="1">YEAR(financials[[#This Row],[Date]])</f>
        <v>2024</v>
      </c>
    </row>
    <row r="1205" spans="1:17" x14ac:dyDescent="0.3">
      <c r="A1205" t="s">
        <v>25</v>
      </c>
      <c r="B1205" t="s">
        <v>17</v>
      </c>
      <c r="C1205" s="6" t="s">
        <v>18</v>
      </c>
      <c r="D1205" s="6" t="str">
        <f>CONCATENATE(financials[[#This Row],[Segment]],",",financials[[#This Row],[Country]],",",financials[[#This Row],[Product]])</f>
        <v>Channel Partners,Canada,Carretera</v>
      </c>
      <c r="E1205" s="6" t="s">
        <v>34</v>
      </c>
      <c r="F1205">
        <f t="shared" ca="1" si="36"/>
        <v>537</v>
      </c>
      <c r="G1205" s="1">
        <f ca="1">VLOOKUP(financials[[#This Row],[ID]],Prices!D:F,2,FALSE)</f>
        <v>17</v>
      </c>
      <c r="H1205" s="1">
        <f ca="1">VLOOKUP(financials[[#This Row],[ID]],Prices!D:F,3,FALSE)</f>
        <v>24</v>
      </c>
      <c r="I1205" s="1">
        <f ca="1">financials[[#This Row],[Units Sold]]*financials[[#This Row],[Sale Price]]</f>
        <v>12888</v>
      </c>
      <c r="J12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644.40000000000009</v>
      </c>
      <c r="K1205" s="1">
        <f ca="1">financials[[#This Row],[Gross Sales]]-financials[[#This Row],[Discounts]]</f>
        <v>12243.6</v>
      </c>
      <c r="L1205" s="1">
        <f ca="1">financials[[#This Row],[Units Sold]]*financials[[#This Row],[Manufacturing Price]]</f>
        <v>9129</v>
      </c>
      <c r="M1205" s="1">
        <f ca="1">financials[[#This Row],[Sales]]-financials[[#This Row],[COGS]]</f>
        <v>3114.6000000000004</v>
      </c>
      <c r="N1205" s="7">
        <f t="shared" ca="1" si="37"/>
        <v>45738</v>
      </c>
      <c r="O1205" s="8">
        <f ca="1">MONTH(financials[[#This Row],[Date]])</f>
        <v>3</v>
      </c>
      <c r="P1205" s="6" t="str">
        <f ca="1">TEXT(financials[[#This Row],[Date]],"MMM")</f>
        <v>Mar</v>
      </c>
      <c r="Q1205">
        <f ca="1">YEAR(financials[[#This Row],[Date]])</f>
        <v>2025</v>
      </c>
    </row>
    <row r="1206" spans="1:17" x14ac:dyDescent="0.3">
      <c r="A1206" t="s">
        <v>16</v>
      </c>
      <c r="B1206" t="s">
        <v>20</v>
      </c>
      <c r="C1206" s="6" t="s">
        <v>18</v>
      </c>
      <c r="D1206" s="6" t="str">
        <f>CONCATENATE(financials[[#This Row],[Segment]],",",financials[[#This Row],[Country]],",",financials[[#This Row],[Product]])</f>
        <v>Government,Germany,Carretera</v>
      </c>
      <c r="E1206" s="6" t="s">
        <v>34</v>
      </c>
      <c r="F1206">
        <f t="shared" ca="1" si="36"/>
        <v>34</v>
      </c>
      <c r="G1206" s="1">
        <f ca="1">VLOOKUP(financials[[#This Row],[ID]],Prices!D:F,2,FALSE)</f>
        <v>13</v>
      </c>
      <c r="H1206" s="1">
        <f ca="1">VLOOKUP(financials[[#This Row],[ID]],Prices!D:F,3,FALSE)</f>
        <v>22</v>
      </c>
      <c r="I1206" s="1">
        <f ca="1">financials[[#This Row],[Units Sold]]*financials[[#This Row],[Sale Price]]</f>
        <v>748</v>
      </c>
      <c r="J12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7.48</v>
      </c>
      <c r="K1206" s="1">
        <f ca="1">financials[[#This Row],[Gross Sales]]-financials[[#This Row],[Discounts]]</f>
        <v>740.52</v>
      </c>
      <c r="L1206" s="1">
        <f ca="1">financials[[#This Row],[Units Sold]]*financials[[#This Row],[Manufacturing Price]]</f>
        <v>442</v>
      </c>
      <c r="M1206" s="1">
        <f ca="1">financials[[#This Row],[Sales]]-financials[[#This Row],[COGS]]</f>
        <v>298.52</v>
      </c>
      <c r="N1206" s="7">
        <f t="shared" ca="1" si="37"/>
        <v>45726</v>
      </c>
      <c r="O1206" s="8">
        <f ca="1">MONTH(financials[[#This Row],[Date]])</f>
        <v>3</v>
      </c>
      <c r="P1206" s="6" t="str">
        <f ca="1">TEXT(financials[[#This Row],[Date]],"MMM")</f>
        <v>Mar</v>
      </c>
      <c r="Q1206">
        <f ca="1">YEAR(financials[[#This Row],[Date]])</f>
        <v>2025</v>
      </c>
    </row>
    <row r="1207" spans="1:17" x14ac:dyDescent="0.3">
      <c r="A1207" t="s">
        <v>27</v>
      </c>
      <c r="B1207" t="s">
        <v>20</v>
      </c>
      <c r="C1207" s="6" t="s">
        <v>18</v>
      </c>
      <c r="D1207" s="6" t="str">
        <f>CONCATENATE(financials[[#This Row],[Segment]],",",financials[[#This Row],[Country]],",",financials[[#This Row],[Product]])</f>
        <v>Small Business,Germany,Carretera</v>
      </c>
      <c r="E1207" s="6" t="s">
        <v>34</v>
      </c>
      <c r="F1207">
        <f t="shared" ca="1" si="36"/>
        <v>762</v>
      </c>
      <c r="G1207" s="1">
        <f ca="1">VLOOKUP(financials[[#This Row],[ID]],Prices!D:F,2,FALSE)</f>
        <v>20</v>
      </c>
      <c r="H1207" s="1">
        <f ca="1">VLOOKUP(financials[[#This Row],[ID]],Prices!D:F,3,FALSE)</f>
        <v>30</v>
      </c>
      <c r="I1207" s="1">
        <f ca="1">financials[[#This Row],[Units Sold]]*financials[[#This Row],[Sale Price]]</f>
        <v>22860</v>
      </c>
      <c r="J12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1143</v>
      </c>
      <c r="K1207" s="1">
        <f ca="1">financials[[#This Row],[Gross Sales]]-financials[[#This Row],[Discounts]]</f>
        <v>21717</v>
      </c>
      <c r="L1207" s="1">
        <f ca="1">financials[[#This Row],[Units Sold]]*financials[[#This Row],[Manufacturing Price]]</f>
        <v>15240</v>
      </c>
      <c r="M1207" s="1">
        <f ca="1">financials[[#This Row],[Sales]]-financials[[#This Row],[COGS]]</f>
        <v>6477</v>
      </c>
      <c r="N1207" s="7">
        <f t="shared" ca="1" si="37"/>
        <v>45094</v>
      </c>
      <c r="O1207" s="8">
        <f ca="1">MONTH(financials[[#This Row],[Date]])</f>
        <v>6</v>
      </c>
      <c r="P1207" s="6" t="str">
        <f ca="1">TEXT(financials[[#This Row],[Date]],"MMM")</f>
        <v>Jun</v>
      </c>
      <c r="Q1207">
        <f ca="1">YEAR(financials[[#This Row],[Date]])</f>
        <v>2023</v>
      </c>
    </row>
    <row r="1208" spans="1:17" x14ac:dyDescent="0.3">
      <c r="A1208" t="s">
        <v>26</v>
      </c>
      <c r="B1208" t="s">
        <v>22</v>
      </c>
      <c r="C1208" s="6" t="s">
        <v>18</v>
      </c>
      <c r="D1208" s="6" t="str">
        <f>CONCATENATE(financials[[#This Row],[Segment]],",",financials[[#This Row],[Country]],",",financials[[#This Row],[Product]])</f>
        <v>Enterprise,France,Carretera</v>
      </c>
      <c r="E1208" s="6" t="s">
        <v>34</v>
      </c>
      <c r="F1208">
        <f t="shared" ca="1" si="36"/>
        <v>758</v>
      </c>
      <c r="G1208" s="1">
        <f ca="1">VLOOKUP(financials[[#This Row],[ID]],Prices!D:F,2,FALSE)</f>
        <v>12</v>
      </c>
      <c r="H1208" s="1">
        <f ca="1">VLOOKUP(financials[[#This Row],[ID]],Prices!D:F,3,FALSE)</f>
        <v>35</v>
      </c>
      <c r="I1208" s="1">
        <f ca="1">financials[[#This Row],[Units Sold]]*financials[[#This Row],[Sale Price]]</f>
        <v>26530</v>
      </c>
      <c r="J12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1326.5</v>
      </c>
      <c r="K1208" s="1">
        <f ca="1">financials[[#This Row],[Gross Sales]]-financials[[#This Row],[Discounts]]</f>
        <v>25203.5</v>
      </c>
      <c r="L1208" s="1">
        <f ca="1">financials[[#This Row],[Units Sold]]*financials[[#This Row],[Manufacturing Price]]</f>
        <v>9096</v>
      </c>
      <c r="M1208" s="1">
        <f ca="1">financials[[#This Row],[Sales]]-financials[[#This Row],[COGS]]</f>
        <v>16107.5</v>
      </c>
      <c r="N1208" s="7">
        <f t="shared" ca="1" si="37"/>
        <v>45599</v>
      </c>
      <c r="O1208" s="8">
        <f ca="1">MONTH(financials[[#This Row],[Date]])</f>
        <v>11</v>
      </c>
      <c r="P1208" s="6" t="str">
        <f ca="1">TEXT(financials[[#This Row],[Date]],"MMM")</f>
        <v>Nov</v>
      </c>
      <c r="Q1208">
        <f ca="1">YEAR(financials[[#This Row],[Date]])</f>
        <v>2024</v>
      </c>
    </row>
    <row r="1209" spans="1:17" x14ac:dyDescent="0.3">
      <c r="A1209" t="s">
        <v>21</v>
      </c>
      <c r="B1209" t="s">
        <v>17</v>
      </c>
      <c r="C1209" s="6" t="s">
        <v>18</v>
      </c>
      <c r="D1209" s="6" t="str">
        <f>CONCATENATE(financials[[#This Row],[Segment]],",",financials[[#This Row],[Country]],",",financials[[#This Row],[Product]])</f>
        <v>Midmarket,Canada,Carretera</v>
      </c>
      <c r="E1209" s="6" t="s">
        <v>34</v>
      </c>
      <c r="F1209">
        <f t="shared" ca="1" si="36"/>
        <v>373</v>
      </c>
      <c r="G1209" s="1">
        <f ca="1">VLOOKUP(financials[[#This Row],[ID]],Prices!D:F,2,FALSE)</f>
        <v>10</v>
      </c>
      <c r="H1209" s="1">
        <f ca="1">VLOOKUP(financials[[#This Row],[ID]],Prices!D:F,3,FALSE)</f>
        <v>29</v>
      </c>
      <c r="I1209" s="1">
        <f ca="1">financials[[#This Row],[Units Sold]]*financials[[#This Row],[Sale Price]]</f>
        <v>10817</v>
      </c>
      <c r="J12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540.85</v>
      </c>
      <c r="K1209" s="1">
        <f ca="1">financials[[#This Row],[Gross Sales]]-financials[[#This Row],[Discounts]]</f>
        <v>10276.15</v>
      </c>
      <c r="L1209" s="1">
        <f ca="1">financials[[#This Row],[Units Sold]]*financials[[#This Row],[Manufacturing Price]]</f>
        <v>3730</v>
      </c>
      <c r="M1209" s="1">
        <f ca="1">financials[[#This Row],[Sales]]-financials[[#This Row],[COGS]]</f>
        <v>6546.15</v>
      </c>
      <c r="N1209" s="7">
        <f t="shared" ca="1" si="37"/>
        <v>45449</v>
      </c>
      <c r="O1209" s="8">
        <f ca="1">MONTH(financials[[#This Row],[Date]])</f>
        <v>6</v>
      </c>
      <c r="P1209" s="6" t="str">
        <f ca="1">TEXT(financials[[#This Row],[Date]],"MMM")</f>
        <v>Jun</v>
      </c>
      <c r="Q1209">
        <f ca="1">YEAR(financials[[#This Row],[Date]])</f>
        <v>2024</v>
      </c>
    </row>
    <row r="1210" spans="1:17" x14ac:dyDescent="0.3">
      <c r="A1210" t="s">
        <v>16</v>
      </c>
      <c r="B1210" t="s">
        <v>23</v>
      </c>
      <c r="C1210" s="6" t="s">
        <v>18</v>
      </c>
      <c r="D1210" s="6" t="str">
        <f>CONCATENATE(financials[[#This Row],[Segment]],",",financials[[#This Row],[Country]],",",financials[[#This Row],[Product]])</f>
        <v>Government,Mexico,Carretera</v>
      </c>
      <c r="E1210" s="6" t="s">
        <v>34</v>
      </c>
      <c r="F1210">
        <f t="shared" ca="1" si="36"/>
        <v>748</v>
      </c>
      <c r="G1210" s="1">
        <f ca="1">VLOOKUP(financials[[#This Row],[ID]],Prices!D:F,2,FALSE)</f>
        <v>16</v>
      </c>
      <c r="H1210" s="1">
        <f ca="1">VLOOKUP(financials[[#This Row],[ID]],Prices!D:F,3,FALSE)</f>
        <v>31</v>
      </c>
      <c r="I1210" s="1">
        <f ca="1">financials[[#This Row],[Units Sold]]*financials[[#This Row],[Sale Price]]</f>
        <v>23188</v>
      </c>
      <c r="J12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1159.4000000000001</v>
      </c>
      <c r="K1210" s="1">
        <f ca="1">financials[[#This Row],[Gross Sales]]-financials[[#This Row],[Discounts]]</f>
        <v>22028.6</v>
      </c>
      <c r="L1210" s="1">
        <f ca="1">financials[[#This Row],[Units Sold]]*financials[[#This Row],[Manufacturing Price]]</f>
        <v>11968</v>
      </c>
      <c r="M1210" s="1">
        <f ca="1">financials[[#This Row],[Sales]]-financials[[#This Row],[COGS]]</f>
        <v>10060.599999999999</v>
      </c>
      <c r="N1210" s="7">
        <f t="shared" ca="1" si="37"/>
        <v>45433</v>
      </c>
      <c r="O1210" s="8">
        <f ca="1">MONTH(financials[[#This Row],[Date]])</f>
        <v>5</v>
      </c>
      <c r="P1210" s="6" t="str">
        <f ca="1">TEXT(financials[[#This Row],[Date]],"MMM")</f>
        <v>May</v>
      </c>
      <c r="Q1210">
        <f ca="1">YEAR(financials[[#This Row],[Date]])</f>
        <v>2024</v>
      </c>
    </row>
    <row r="1211" spans="1:17" x14ac:dyDescent="0.3">
      <c r="A1211" t="s">
        <v>16</v>
      </c>
      <c r="B1211" t="s">
        <v>20</v>
      </c>
      <c r="C1211" s="6" t="s">
        <v>24</v>
      </c>
      <c r="D1211" s="6" t="str">
        <f>CONCATENATE(financials[[#This Row],[Segment]],",",financials[[#This Row],[Country]],",",financials[[#This Row],[Product]])</f>
        <v>Government,Germany,Montana</v>
      </c>
      <c r="E1211" s="6" t="s">
        <v>34</v>
      </c>
      <c r="F1211">
        <f t="shared" ca="1" si="36"/>
        <v>156</v>
      </c>
      <c r="G1211" s="1">
        <f ca="1">VLOOKUP(financials[[#This Row],[ID]],Prices!D:F,2,FALSE)</f>
        <v>20</v>
      </c>
      <c r="H1211" s="1">
        <f ca="1">VLOOKUP(financials[[#This Row],[ID]],Prices!D:F,3,FALSE)</f>
        <v>27</v>
      </c>
      <c r="I1211" s="1">
        <f ca="1">financials[[#This Row],[Units Sold]]*financials[[#This Row],[Sale Price]]</f>
        <v>4212</v>
      </c>
      <c r="J12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210.60000000000002</v>
      </c>
      <c r="K1211" s="1">
        <f ca="1">financials[[#This Row],[Gross Sales]]-financials[[#This Row],[Discounts]]</f>
        <v>4001.4</v>
      </c>
      <c r="L1211" s="1">
        <f ca="1">financials[[#This Row],[Units Sold]]*financials[[#This Row],[Manufacturing Price]]</f>
        <v>3120</v>
      </c>
      <c r="M1211" s="1">
        <f ca="1">financials[[#This Row],[Sales]]-financials[[#This Row],[COGS]]</f>
        <v>881.40000000000009</v>
      </c>
      <c r="N1211" s="7">
        <f t="shared" ca="1" si="37"/>
        <v>45321</v>
      </c>
      <c r="O1211" s="8">
        <f ca="1">MONTH(financials[[#This Row],[Date]])</f>
        <v>1</v>
      </c>
      <c r="P1211" s="6" t="str">
        <f ca="1">TEXT(financials[[#This Row],[Date]],"MMM")</f>
        <v>Jan</v>
      </c>
      <c r="Q1211">
        <f ca="1">YEAR(financials[[#This Row],[Date]])</f>
        <v>2024</v>
      </c>
    </row>
    <row r="1212" spans="1:17" x14ac:dyDescent="0.3">
      <c r="A1212" t="s">
        <v>16</v>
      </c>
      <c r="B1212" t="s">
        <v>20</v>
      </c>
      <c r="C1212" s="6" t="s">
        <v>24</v>
      </c>
      <c r="D1212" s="6" t="str">
        <f>CONCATENATE(financials[[#This Row],[Segment]],",",financials[[#This Row],[Country]],",",financials[[#This Row],[Product]])</f>
        <v>Government,Germany,Montana</v>
      </c>
      <c r="E1212" s="6" t="s">
        <v>34</v>
      </c>
      <c r="F1212">
        <f t="shared" ca="1" si="36"/>
        <v>929</v>
      </c>
      <c r="G1212" s="1">
        <f ca="1">VLOOKUP(financials[[#This Row],[ID]],Prices!D:F,2,FALSE)</f>
        <v>20</v>
      </c>
      <c r="H1212" s="1">
        <f ca="1">VLOOKUP(financials[[#This Row],[ID]],Prices!D:F,3,FALSE)</f>
        <v>27</v>
      </c>
      <c r="I1212" s="1">
        <f ca="1">financials[[#This Row],[Units Sold]]*financials[[#This Row],[Sale Price]]</f>
        <v>25083</v>
      </c>
      <c r="J12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1254.1500000000001</v>
      </c>
      <c r="K1212" s="1">
        <f ca="1">financials[[#This Row],[Gross Sales]]-financials[[#This Row],[Discounts]]</f>
        <v>23828.85</v>
      </c>
      <c r="L1212" s="1">
        <f ca="1">financials[[#This Row],[Units Sold]]*financials[[#This Row],[Manufacturing Price]]</f>
        <v>18580</v>
      </c>
      <c r="M1212" s="1">
        <f ca="1">financials[[#This Row],[Sales]]-financials[[#This Row],[COGS]]</f>
        <v>5248.8499999999985</v>
      </c>
      <c r="N1212" s="7">
        <f t="shared" ca="1" si="37"/>
        <v>45332</v>
      </c>
      <c r="O1212" s="8">
        <f ca="1">MONTH(financials[[#This Row],[Date]])</f>
        <v>2</v>
      </c>
      <c r="P1212" s="6" t="str">
        <f ca="1">TEXT(financials[[#This Row],[Date]],"MMM")</f>
        <v>Feb</v>
      </c>
      <c r="Q1212">
        <f ca="1">YEAR(financials[[#This Row],[Date]])</f>
        <v>2024</v>
      </c>
    </row>
    <row r="1213" spans="1:17" x14ac:dyDescent="0.3">
      <c r="A1213" t="s">
        <v>21</v>
      </c>
      <c r="B1213" t="s">
        <v>23</v>
      </c>
      <c r="C1213" s="6" t="s">
        <v>24</v>
      </c>
      <c r="D1213" s="6" t="str">
        <f>CONCATENATE(financials[[#This Row],[Segment]],",",financials[[#This Row],[Country]],",",financials[[#This Row],[Product]])</f>
        <v>Midmarket,Mexico,Montana</v>
      </c>
      <c r="E1213" s="6" t="s">
        <v>34</v>
      </c>
      <c r="F1213">
        <f t="shared" ca="1" si="36"/>
        <v>714</v>
      </c>
      <c r="G1213" s="1">
        <f ca="1">VLOOKUP(financials[[#This Row],[ID]],Prices!D:F,2,FALSE)</f>
        <v>19</v>
      </c>
      <c r="H1213" s="1">
        <f ca="1">VLOOKUP(financials[[#This Row],[ID]],Prices!D:F,3,FALSE)</f>
        <v>17</v>
      </c>
      <c r="I1213" s="1">
        <f ca="1">financials[[#This Row],[Units Sold]]*financials[[#This Row],[Sale Price]]</f>
        <v>12138</v>
      </c>
      <c r="J12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606.9</v>
      </c>
      <c r="K1213" s="1">
        <f ca="1">financials[[#This Row],[Gross Sales]]-financials[[#This Row],[Discounts]]</f>
        <v>11531.1</v>
      </c>
      <c r="L1213" s="1">
        <f ca="1">financials[[#This Row],[Units Sold]]*financials[[#This Row],[Manufacturing Price]]</f>
        <v>13566</v>
      </c>
      <c r="M1213" s="1">
        <f ca="1">financials[[#This Row],[Sales]]-financials[[#This Row],[COGS]]</f>
        <v>-2034.8999999999996</v>
      </c>
      <c r="N1213" s="7">
        <f t="shared" ca="1" si="37"/>
        <v>45050</v>
      </c>
      <c r="O1213" s="8">
        <f ca="1">MONTH(financials[[#This Row],[Date]])</f>
        <v>5</v>
      </c>
      <c r="P1213" s="6" t="str">
        <f ca="1">TEXT(financials[[#This Row],[Date]],"MMM")</f>
        <v>May</v>
      </c>
      <c r="Q1213">
        <f ca="1">YEAR(financials[[#This Row],[Date]])</f>
        <v>2023</v>
      </c>
    </row>
    <row r="1214" spans="1:17" x14ac:dyDescent="0.3">
      <c r="A1214" t="s">
        <v>27</v>
      </c>
      <c r="B1214" t="s">
        <v>17</v>
      </c>
      <c r="C1214" s="6" t="s">
        <v>28</v>
      </c>
      <c r="D1214" s="6" t="str">
        <f>CONCATENATE(financials[[#This Row],[Segment]],",",financials[[#This Row],[Country]],",",financials[[#This Row],[Product]])</f>
        <v>Small Business,Canada,Paseo</v>
      </c>
      <c r="E1214" s="6" t="s">
        <v>34</v>
      </c>
      <c r="F1214">
        <f t="shared" ca="1" si="36"/>
        <v>753</v>
      </c>
      <c r="G1214" s="1">
        <f ca="1">VLOOKUP(financials[[#This Row],[ID]],Prices!D:F,2,FALSE)</f>
        <v>20</v>
      </c>
      <c r="H1214" s="1">
        <f ca="1">VLOOKUP(financials[[#This Row],[ID]],Prices!D:F,3,FALSE)</f>
        <v>31</v>
      </c>
      <c r="I1214" s="1">
        <f ca="1">financials[[#This Row],[Units Sold]]*financials[[#This Row],[Sale Price]]</f>
        <v>23343</v>
      </c>
      <c r="J12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1167.1500000000001</v>
      </c>
      <c r="K1214" s="1">
        <f ca="1">financials[[#This Row],[Gross Sales]]-financials[[#This Row],[Discounts]]</f>
        <v>22175.85</v>
      </c>
      <c r="L1214" s="1">
        <f ca="1">financials[[#This Row],[Units Sold]]*financials[[#This Row],[Manufacturing Price]]</f>
        <v>15060</v>
      </c>
      <c r="M1214" s="1">
        <f ca="1">financials[[#This Row],[Sales]]-financials[[#This Row],[COGS]]</f>
        <v>7115.8499999999985</v>
      </c>
      <c r="N1214" s="7">
        <f t="shared" ca="1" si="37"/>
        <v>45315</v>
      </c>
      <c r="O1214" s="8">
        <f ca="1">MONTH(financials[[#This Row],[Date]])</f>
        <v>1</v>
      </c>
      <c r="P1214" s="6" t="str">
        <f ca="1">TEXT(financials[[#This Row],[Date]],"MMM")</f>
        <v>Jan</v>
      </c>
      <c r="Q1214">
        <f ca="1">YEAR(financials[[#This Row],[Date]])</f>
        <v>2024</v>
      </c>
    </row>
    <row r="1215" spans="1:17" x14ac:dyDescent="0.3">
      <c r="A1215" t="s">
        <v>16</v>
      </c>
      <c r="B1215" t="s">
        <v>23</v>
      </c>
      <c r="C1215" s="6" t="s">
        <v>28</v>
      </c>
      <c r="D1215" s="6" t="str">
        <f>CONCATENATE(financials[[#This Row],[Segment]],",",financials[[#This Row],[Country]],",",financials[[#This Row],[Product]])</f>
        <v>Government,Mexico,Paseo</v>
      </c>
      <c r="E1215" s="6" t="s">
        <v>34</v>
      </c>
      <c r="F1215">
        <f t="shared" ca="1" si="36"/>
        <v>976</v>
      </c>
      <c r="G1215" s="1">
        <f ca="1">VLOOKUP(financials[[#This Row],[ID]],Prices!D:F,2,FALSE)</f>
        <v>18</v>
      </c>
      <c r="H1215" s="1">
        <f ca="1">VLOOKUP(financials[[#This Row],[ID]],Prices!D:F,3,FALSE)</f>
        <v>19</v>
      </c>
      <c r="I1215" s="1">
        <f ca="1">financials[[#This Row],[Units Sold]]*financials[[#This Row],[Sale Price]]</f>
        <v>18544</v>
      </c>
      <c r="J12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927.2</v>
      </c>
      <c r="K1215" s="1">
        <f ca="1">financials[[#This Row],[Gross Sales]]-financials[[#This Row],[Discounts]]</f>
        <v>17616.8</v>
      </c>
      <c r="L1215" s="1">
        <f ca="1">financials[[#This Row],[Units Sold]]*financials[[#This Row],[Manufacturing Price]]</f>
        <v>17568</v>
      </c>
      <c r="M1215" s="1">
        <f ca="1">financials[[#This Row],[Sales]]-financials[[#This Row],[COGS]]</f>
        <v>48.799999999999272</v>
      </c>
      <c r="N1215" s="7">
        <f t="shared" ca="1" si="37"/>
        <v>45080</v>
      </c>
      <c r="O1215" s="8">
        <f ca="1">MONTH(financials[[#This Row],[Date]])</f>
        <v>6</v>
      </c>
      <c r="P1215" s="6" t="str">
        <f ca="1">TEXT(financials[[#This Row],[Date]],"MMM")</f>
        <v>Jun</v>
      </c>
      <c r="Q1215">
        <f ca="1">YEAR(financials[[#This Row],[Date]])</f>
        <v>2023</v>
      </c>
    </row>
    <row r="1216" spans="1:17" x14ac:dyDescent="0.3">
      <c r="A1216" t="s">
        <v>16</v>
      </c>
      <c r="B1216" t="s">
        <v>17</v>
      </c>
      <c r="C1216" s="6" t="s">
        <v>28</v>
      </c>
      <c r="D1216" s="6" t="str">
        <f>CONCATENATE(financials[[#This Row],[Segment]],",",financials[[#This Row],[Country]],",",financials[[#This Row],[Product]])</f>
        <v>Government,Canada,Paseo</v>
      </c>
      <c r="E1216" s="6" t="s">
        <v>34</v>
      </c>
      <c r="F1216">
        <f t="shared" ca="1" si="36"/>
        <v>766</v>
      </c>
      <c r="G1216" s="1">
        <f ca="1">VLOOKUP(financials[[#This Row],[ID]],Prices!D:F,2,FALSE)</f>
        <v>10</v>
      </c>
      <c r="H1216" s="1">
        <f ca="1">VLOOKUP(financials[[#This Row],[ID]],Prices!D:F,3,FALSE)</f>
        <v>23</v>
      </c>
      <c r="I1216" s="1">
        <f ca="1">financials[[#This Row],[Units Sold]]*financials[[#This Row],[Sale Price]]</f>
        <v>17618</v>
      </c>
      <c r="J12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880.90000000000009</v>
      </c>
      <c r="K1216" s="1">
        <f ca="1">financials[[#This Row],[Gross Sales]]-financials[[#This Row],[Discounts]]</f>
        <v>16737.099999999999</v>
      </c>
      <c r="L1216" s="1">
        <f ca="1">financials[[#This Row],[Units Sold]]*financials[[#This Row],[Manufacturing Price]]</f>
        <v>7660</v>
      </c>
      <c r="M1216" s="1">
        <f ca="1">financials[[#This Row],[Sales]]-financials[[#This Row],[COGS]]</f>
        <v>9077.0999999999985</v>
      </c>
      <c r="N1216" s="7">
        <f t="shared" ca="1" si="37"/>
        <v>45422</v>
      </c>
      <c r="O1216" s="8">
        <f ca="1">MONTH(financials[[#This Row],[Date]])</f>
        <v>5</v>
      </c>
      <c r="P1216" s="6" t="str">
        <f ca="1">TEXT(financials[[#This Row],[Date]],"MMM")</f>
        <v>May</v>
      </c>
      <c r="Q1216">
        <f ca="1">YEAR(financials[[#This Row],[Date]])</f>
        <v>2024</v>
      </c>
    </row>
    <row r="1217" spans="1:17" x14ac:dyDescent="0.3">
      <c r="A1217" t="s">
        <v>25</v>
      </c>
      <c r="B1217" t="s">
        <v>17</v>
      </c>
      <c r="C1217" s="6" t="s">
        <v>28</v>
      </c>
      <c r="D1217" s="6" t="str">
        <f>CONCATENATE(financials[[#This Row],[Segment]],",",financials[[#This Row],[Country]],",",financials[[#This Row],[Product]])</f>
        <v>Channel Partners,Canada,Paseo</v>
      </c>
      <c r="E1217" s="6" t="s">
        <v>34</v>
      </c>
      <c r="F1217">
        <f t="shared" ca="1" si="36"/>
        <v>406</v>
      </c>
      <c r="G1217" s="1">
        <f ca="1">VLOOKUP(financials[[#This Row],[ID]],Prices!D:F,2,FALSE)</f>
        <v>13</v>
      </c>
      <c r="H1217" s="1">
        <f ca="1">VLOOKUP(financials[[#This Row],[ID]],Prices!D:F,3,FALSE)</f>
        <v>26</v>
      </c>
      <c r="I1217" s="1">
        <f ca="1">financials[[#This Row],[Units Sold]]*financials[[#This Row],[Sale Price]]</f>
        <v>10556</v>
      </c>
      <c r="J12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527.80000000000007</v>
      </c>
      <c r="K1217" s="1">
        <f ca="1">financials[[#This Row],[Gross Sales]]-financials[[#This Row],[Discounts]]</f>
        <v>10028.200000000001</v>
      </c>
      <c r="L1217" s="1">
        <f ca="1">financials[[#This Row],[Units Sold]]*financials[[#This Row],[Manufacturing Price]]</f>
        <v>5278</v>
      </c>
      <c r="M1217" s="1">
        <f ca="1">financials[[#This Row],[Sales]]-financials[[#This Row],[COGS]]</f>
        <v>4750.2000000000007</v>
      </c>
      <c r="N1217" s="7">
        <f t="shared" ca="1" si="37"/>
        <v>45271</v>
      </c>
      <c r="O1217" s="8">
        <f ca="1">MONTH(financials[[#This Row],[Date]])</f>
        <v>12</v>
      </c>
      <c r="P1217" s="6" t="str">
        <f ca="1">TEXT(financials[[#This Row],[Date]],"MMM")</f>
        <v>Dec</v>
      </c>
      <c r="Q1217">
        <f ca="1">YEAR(financials[[#This Row],[Date]])</f>
        <v>2023</v>
      </c>
    </row>
    <row r="1218" spans="1:17" x14ac:dyDescent="0.3">
      <c r="A1218" t="s">
        <v>25</v>
      </c>
      <c r="B1218" t="s">
        <v>22</v>
      </c>
      <c r="C1218" s="6" t="s">
        <v>28</v>
      </c>
      <c r="D1218" s="6" t="str">
        <f>CONCATENATE(financials[[#This Row],[Segment]],",",financials[[#This Row],[Country]],",",financials[[#This Row],[Product]])</f>
        <v>Channel Partners,France,Paseo</v>
      </c>
      <c r="E1218" s="6" t="s">
        <v>34</v>
      </c>
      <c r="F1218">
        <f t="shared" ca="1" si="36"/>
        <v>994</v>
      </c>
      <c r="G1218" s="1">
        <f ca="1">VLOOKUP(financials[[#This Row],[ID]],Prices!D:F,2,FALSE)</f>
        <v>14</v>
      </c>
      <c r="H1218" s="1">
        <f ca="1">VLOOKUP(financials[[#This Row],[ID]],Prices!D:F,3,FALSE)</f>
        <v>30</v>
      </c>
      <c r="I1218" s="1">
        <f ca="1">financials[[#This Row],[Units Sold]]*financials[[#This Row],[Sale Price]]</f>
        <v>29820</v>
      </c>
      <c r="J12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1491</v>
      </c>
      <c r="K1218" s="1">
        <f ca="1">financials[[#This Row],[Gross Sales]]-financials[[#This Row],[Discounts]]</f>
        <v>28329</v>
      </c>
      <c r="L1218" s="1">
        <f ca="1">financials[[#This Row],[Units Sold]]*financials[[#This Row],[Manufacturing Price]]</f>
        <v>13916</v>
      </c>
      <c r="M1218" s="1">
        <f ca="1">financials[[#This Row],[Sales]]-financials[[#This Row],[COGS]]</f>
        <v>14413</v>
      </c>
      <c r="N1218" s="7">
        <f t="shared" ca="1" si="37"/>
        <v>45711</v>
      </c>
      <c r="O1218" s="8">
        <f ca="1">MONTH(financials[[#This Row],[Date]])</f>
        <v>2</v>
      </c>
      <c r="P1218" s="6" t="str">
        <f ca="1">TEXT(financials[[#This Row],[Date]],"MMM")</f>
        <v>Feb</v>
      </c>
      <c r="Q1218">
        <f ca="1">YEAR(financials[[#This Row],[Date]])</f>
        <v>2025</v>
      </c>
    </row>
    <row r="1219" spans="1:17" x14ac:dyDescent="0.3">
      <c r="A1219" t="s">
        <v>16</v>
      </c>
      <c r="B1219" t="s">
        <v>17</v>
      </c>
      <c r="C1219" s="6" t="s">
        <v>28</v>
      </c>
      <c r="D1219" s="6" t="str">
        <f>CONCATENATE(financials[[#This Row],[Segment]],",",financials[[#This Row],[Country]],",",financials[[#This Row],[Product]])</f>
        <v>Government,Canada,Paseo</v>
      </c>
      <c r="E1219" s="6" t="s">
        <v>34</v>
      </c>
      <c r="F1219">
        <f t="shared" ref="F1219:F1282" ca="1" si="38">RANDBETWEEN(10,1000)</f>
        <v>866</v>
      </c>
      <c r="G1219" s="1">
        <f ca="1">VLOOKUP(financials[[#This Row],[ID]],Prices!D:F,2,FALSE)</f>
        <v>10</v>
      </c>
      <c r="H1219" s="1">
        <f ca="1">VLOOKUP(financials[[#This Row],[ID]],Prices!D:F,3,FALSE)</f>
        <v>23</v>
      </c>
      <c r="I1219" s="1">
        <f ca="1">financials[[#This Row],[Units Sold]]*financials[[#This Row],[Sale Price]]</f>
        <v>19918</v>
      </c>
      <c r="J12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995.90000000000009</v>
      </c>
      <c r="K1219" s="1">
        <f ca="1">financials[[#This Row],[Gross Sales]]-financials[[#This Row],[Discounts]]</f>
        <v>18922.099999999999</v>
      </c>
      <c r="L1219" s="1">
        <f ca="1">financials[[#This Row],[Units Sold]]*financials[[#This Row],[Manufacturing Price]]</f>
        <v>8660</v>
      </c>
      <c r="M1219" s="1">
        <f ca="1">financials[[#This Row],[Sales]]-financials[[#This Row],[COGS]]</f>
        <v>10262.099999999999</v>
      </c>
      <c r="N1219" s="7">
        <f t="shared" ref="N1219:N1282" ca="1" si="39">TODAY()-RANDBETWEEN(1,732)</f>
        <v>45281</v>
      </c>
      <c r="O1219" s="8">
        <f ca="1">MONTH(financials[[#This Row],[Date]])</f>
        <v>12</v>
      </c>
      <c r="P1219" s="6" t="str">
        <f ca="1">TEXT(financials[[#This Row],[Date]],"MMM")</f>
        <v>Dec</v>
      </c>
      <c r="Q1219">
        <f ca="1">YEAR(financials[[#This Row],[Date]])</f>
        <v>2023</v>
      </c>
    </row>
    <row r="1220" spans="1:17" x14ac:dyDescent="0.3">
      <c r="A1220" t="s">
        <v>21</v>
      </c>
      <c r="B1220" t="s">
        <v>23</v>
      </c>
      <c r="C1220" s="6" t="s">
        <v>28</v>
      </c>
      <c r="D1220" s="6" t="str">
        <f>CONCATENATE(financials[[#This Row],[Segment]],",",financials[[#This Row],[Country]],",",financials[[#This Row],[Product]])</f>
        <v>Midmarket,Mexico,Paseo</v>
      </c>
      <c r="E1220" s="6" t="s">
        <v>34</v>
      </c>
      <c r="F1220">
        <f t="shared" ca="1" si="38"/>
        <v>10</v>
      </c>
      <c r="G1220" s="1">
        <f ca="1">VLOOKUP(financials[[#This Row],[ID]],Prices!D:F,2,FALSE)</f>
        <v>11</v>
      </c>
      <c r="H1220" s="1">
        <f ca="1">VLOOKUP(financials[[#This Row],[ID]],Prices!D:F,3,FALSE)</f>
        <v>21</v>
      </c>
      <c r="I1220" s="1">
        <f ca="1">financials[[#This Row],[Units Sold]]*financials[[#This Row],[Sale Price]]</f>
        <v>210</v>
      </c>
      <c r="J12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2.1</v>
      </c>
      <c r="K1220" s="1">
        <f ca="1">financials[[#This Row],[Gross Sales]]-financials[[#This Row],[Discounts]]</f>
        <v>207.9</v>
      </c>
      <c r="L1220" s="1">
        <f ca="1">financials[[#This Row],[Units Sold]]*financials[[#This Row],[Manufacturing Price]]</f>
        <v>110</v>
      </c>
      <c r="M1220" s="1">
        <f ca="1">financials[[#This Row],[Sales]]-financials[[#This Row],[COGS]]</f>
        <v>97.9</v>
      </c>
      <c r="N1220" s="7">
        <f t="shared" ca="1" si="39"/>
        <v>45494</v>
      </c>
      <c r="O1220" s="8">
        <f ca="1">MONTH(financials[[#This Row],[Date]])</f>
        <v>7</v>
      </c>
      <c r="P1220" s="6" t="str">
        <f ca="1">TEXT(financials[[#This Row],[Date]],"MMM")</f>
        <v>Jul</v>
      </c>
      <c r="Q1220">
        <f ca="1">YEAR(financials[[#This Row],[Date]])</f>
        <v>2024</v>
      </c>
    </row>
    <row r="1221" spans="1:17" x14ac:dyDescent="0.3">
      <c r="A1221" t="s">
        <v>26</v>
      </c>
      <c r="B1221" t="s">
        <v>22</v>
      </c>
      <c r="C1221" s="6" t="s">
        <v>28</v>
      </c>
      <c r="D1221" s="6" t="str">
        <f>CONCATENATE(financials[[#This Row],[Segment]],",",financials[[#This Row],[Country]],",",financials[[#This Row],[Product]])</f>
        <v>Enterprise,France,Paseo</v>
      </c>
      <c r="E1221" s="6" t="s">
        <v>34</v>
      </c>
      <c r="F1221">
        <f t="shared" ca="1" si="38"/>
        <v>261</v>
      </c>
      <c r="G1221" s="1">
        <f ca="1">VLOOKUP(financials[[#This Row],[ID]],Prices!D:F,2,FALSE)</f>
        <v>11</v>
      </c>
      <c r="H1221" s="1">
        <f ca="1">VLOOKUP(financials[[#This Row],[ID]],Prices!D:F,3,FALSE)</f>
        <v>21</v>
      </c>
      <c r="I1221" s="1">
        <f ca="1">financials[[#This Row],[Units Sold]]*financials[[#This Row],[Sale Price]]</f>
        <v>5481</v>
      </c>
      <c r="J12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274.05</v>
      </c>
      <c r="K1221" s="1">
        <f ca="1">financials[[#This Row],[Gross Sales]]-financials[[#This Row],[Discounts]]</f>
        <v>5206.95</v>
      </c>
      <c r="L1221" s="1">
        <f ca="1">financials[[#This Row],[Units Sold]]*financials[[#This Row],[Manufacturing Price]]</f>
        <v>2871</v>
      </c>
      <c r="M1221" s="1">
        <f ca="1">financials[[#This Row],[Sales]]-financials[[#This Row],[COGS]]</f>
        <v>2335.9499999999998</v>
      </c>
      <c r="N1221" s="7">
        <f t="shared" ca="1" si="39"/>
        <v>45466</v>
      </c>
      <c r="O1221" s="8">
        <f ca="1">MONTH(financials[[#This Row],[Date]])</f>
        <v>6</v>
      </c>
      <c r="P1221" s="6" t="str">
        <f ca="1">TEXT(financials[[#This Row],[Date]],"MMM")</f>
        <v>Jun</v>
      </c>
      <c r="Q1221">
        <f ca="1">YEAR(financials[[#This Row],[Date]])</f>
        <v>2024</v>
      </c>
    </row>
    <row r="1222" spans="1:17" x14ac:dyDescent="0.3">
      <c r="A1222" t="s">
        <v>16</v>
      </c>
      <c r="B1222" t="s">
        <v>20</v>
      </c>
      <c r="C1222" s="6" t="s">
        <v>28</v>
      </c>
      <c r="D1222" s="6" t="str">
        <f>CONCATENATE(financials[[#This Row],[Segment]],",",financials[[#This Row],[Country]],",",financials[[#This Row],[Product]])</f>
        <v>Government,Germany,Paseo</v>
      </c>
      <c r="E1222" s="6" t="s">
        <v>34</v>
      </c>
      <c r="F1222">
        <f t="shared" ca="1" si="38"/>
        <v>108</v>
      </c>
      <c r="G1222" s="1">
        <f ca="1">VLOOKUP(financials[[#This Row],[ID]],Prices!D:F,2,FALSE)</f>
        <v>19</v>
      </c>
      <c r="H1222" s="1">
        <f ca="1">VLOOKUP(financials[[#This Row],[ID]],Prices!D:F,3,FALSE)</f>
        <v>37</v>
      </c>
      <c r="I1222" s="1">
        <f ca="1">financials[[#This Row],[Units Sold]]*financials[[#This Row],[Sale Price]]</f>
        <v>3996</v>
      </c>
      <c r="J12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199.8</v>
      </c>
      <c r="K1222" s="1">
        <f ca="1">financials[[#This Row],[Gross Sales]]-financials[[#This Row],[Discounts]]</f>
        <v>3796.2</v>
      </c>
      <c r="L1222" s="1">
        <f ca="1">financials[[#This Row],[Units Sold]]*financials[[#This Row],[Manufacturing Price]]</f>
        <v>2052</v>
      </c>
      <c r="M1222" s="1">
        <f ca="1">financials[[#This Row],[Sales]]-financials[[#This Row],[COGS]]</f>
        <v>1744.1999999999998</v>
      </c>
      <c r="N1222" s="7">
        <f t="shared" ca="1" si="39"/>
        <v>45753</v>
      </c>
      <c r="O1222" s="8">
        <f ca="1">MONTH(financials[[#This Row],[Date]])</f>
        <v>4</v>
      </c>
      <c r="P1222" s="6" t="str">
        <f ca="1">TEXT(financials[[#This Row],[Date]],"MMM")</f>
        <v>Apr</v>
      </c>
      <c r="Q1222">
        <f ca="1">YEAR(financials[[#This Row],[Date]])</f>
        <v>2025</v>
      </c>
    </row>
    <row r="1223" spans="1:17" x14ac:dyDescent="0.3">
      <c r="A1223" t="s">
        <v>27</v>
      </c>
      <c r="B1223" t="s">
        <v>17</v>
      </c>
      <c r="C1223" s="6" t="s">
        <v>28</v>
      </c>
      <c r="D1223" s="6" t="str">
        <f>CONCATENATE(financials[[#This Row],[Segment]],",",financials[[#This Row],[Country]],",",financials[[#This Row],[Product]])</f>
        <v>Small Business,Canada,Paseo</v>
      </c>
      <c r="E1223" s="6" t="s">
        <v>34</v>
      </c>
      <c r="F1223">
        <f t="shared" ca="1" si="38"/>
        <v>714</v>
      </c>
      <c r="G1223" s="1">
        <f ca="1">VLOOKUP(financials[[#This Row],[ID]],Prices!D:F,2,FALSE)</f>
        <v>20</v>
      </c>
      <c r="H1223" s="1">
        <f ca="1">VLOOKUP(financials[[#This Row],[ID]],Prices!D:F,3,FALSE)</f>
        <v>31</v>
      </c>
      <c r="I1223" s="1">
        <f ca="1">financials[[#This Row],[Units Sold]]*financials[[#This Row],[Sale Price]]</f>
        <v>22134</v>
      </c>
      <c r="J12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1106.7</v>
      </c>
      <c r="K1223" s="1">
        <f ca="1">financials[[#This Row],[Gross Sales]]-financials[[#This Row],[Discounts]]</f>
        <v>21027.3</v>
      </c>
      <c r="L1223" s="1">
        <f ca="1">financials[[#This Row],[Units Sold]]*financials[[#This Row],[Manufacturing Price]]</f>
        <v>14280</v>
      </c>
      <c r="M1223" s="1">
        <f ca="1">financials[[#This Row],[Sales]]-financials[[#This Row],[COGS]]</f>
        <v>6747.2999999999993</v>
      </c>
      <c r="N1223" s="7">
        <f t="shared" ca="1" si="39"/>
        <v>45417</v>
      </c>
      <c r="O1223" s="8">
        <f ca="1">MONTH(financials[[#This Row],[Date]])</f>
        <v>5</v>
      </c>
      <c r="P1223" s="6" t="str">
        <f ca="1">TEXT(financials[[#This Row],[Date]],"MMM")</f>
        <v>May</v>
      </c>
      <c r="Q1223">
        <f ca="1">YEAR(financials[[#This Row],[Date]])</f>
        <v>2024</v>
      </c>
    </row>
    <row r="1224" spans="1:17" x14ac:dyDescent="0.3">
      <c r="A1224" t="s">
        <v>16</v>
      </c>
      <c r="B1224" t="s">
        <v>22</v>
      </c>
      <c r="C1224" s="6" t="s">
        <v>29</v>
      </c>
      <c r="D1224" s="6" t="str">
        <f>CONCATENATE(financials[[#This Row],[Segment]],",",financials[[#This Row],[Country]],",",financials[[#This Row],[Product]])</f>
        <v>Government,France,Velo</v>
      </c>
      <c r="E1224" s="6" t="s">
        <v>34</v>
      </c>
      <c r="F1224">
        <f t="shared" ca="1" si="38"/>
        <v>276</v>
      </c>
      <c r="G1224" s="1">
        <f ca="1">VLOOKUP(financials[[#This Row],[ID]],Prices!D:F,2,FALSE)</f>
        <v>20</v>
      </c>
      <c r="H1224" s="1">
        <f ca="1">VLOOKUP(financials[[#This Row],[ID]],Prices!D:F,3,FALSE)</f>
        <v>36</v>
      </c>
      <c r="I1224" s="1">
        <f ca="1">financials[[#This Row],[Units Sold]]*financials[[#This Row],[Sale Price]]</f>
        <v>9936</v>
      </c>
      <c r="J12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496.8</v>
      </c>
      <c r="K1224" s="1">
        <f ca="1">financials[[#This Row],[Gross Sales]]-financials[[#This Row],[Discounts]]</f>
        <v>9439.2000000000007</v>
      </c>
      <c r="L1224" s="1">
        <f ca="1">financials[[#This Row],[Units Sold]]*financials[[#This Row],[Manufacturing Price]]</f>
        <v>5520</v>
      </c>
      <c r="M1224" s="1">
        <f ca="1">financials[[#This Row],[Sales]]-financials[[#This Row],[COGS]]</f>
        <v>3919.2000000000007</v>
      </c>
      <c r="N1224" s="7">
        <f t="shared" ca="1" si="39"/>
        <v>45611</v>
      </c>
      <c r="O1224" s="8">
        <f ca="1">MONTH(financials[[#This Row],[Date]])</f>
        <v>11</v>
      </c>
      <c r="P1224" s="6" t="str">
        <f ca="1">TEXT(financials[[#This Row],[Date]],"MMM")</f>
        <v>Nov</v>
      </c>
      <c r="Q1224">
        <f ca="1">YEAR(financials[[#This Row],[Date]])</f>
        <v>2024</v>
      </c>
    </row>
    <row r="1225" spans="1:17" x14ac:dyDescent="0.3">
      <c r="A1225" t="s">
        <v>21</v>
      </c>
      <c r="B1225" t="s">
        <v>23</v>
      </c>
      <c r="C1225" s="6" t="s">
        <v>29</v>
      </c>
      <c r="D1225" s="6" t="str">
        <f>CONCATENATE(financials[[#This Row],[Segment]],",",financials[[#This Row],[Country]],",",financials[[#This Row],[Product]])</f>
        <v>Midmarket,Mexico,Velo</v>
      </c>
      <c r="E1225" s="6" t="s">
        <v>34</v>
      </c>
      <c r="F1225">
        <f t="shared" ca="1" si="38"/>
        <v>846</v>
      </c>
      <c r="G1225" s="1">
        <f ca="1">VLOOKUP(financials[[#This Row],[ID]],Prices!D:F,2,FALSE)</f>
        <v>20</v>
      </c>
      <c r="H1225" s="1">
        <f ca="1">VLOOKUP(financials[[#This Row],[ID]],Prices!D:F,3,FALSE)</f>
        <v>35</v>
      </c>
      <c r="I1225" s="1">
        <f ca="1">financials[[#This Row],[Units Sold]]*financials[[#This Row],[Sale Price]]</f>
        <v>29610</v>
      </c>
      <c r="J12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1480.5</v>
      </c>
      <c r="K1225" s="1">
        <f ca="1">financials[[#This Row],[Gross Sales]]-financials[[#This Row],[Discounts]]</f>
        <v>28129.5</v>
      </c>
      <c r="L1225" s="1">
        <f ca="1">financials[[#This Row],[Units Sold]]*financials[[#This Row],[Manufacturing Price]]</f>
        <v>16920</v>
      </c>
      <c r="M1225" s="1">
        <f ca="1">financials[[#This Row],[Sales]]-financials[[#This Row],[COGS]]</f>
        <v>11209.5</v>
      </c>
      <c r="N1225" s="7">
        <f t="shared" ca="1" si="39"/>
        <v>45681</v>
      </c>
      <c r="O1225" s="8">
        <f ca="1">MONTH(financials[[#This Row],[Date]])</f>
        <v>1</v>
      </c>
      <c r="P1225" s="6" t="str">
        <f ca="1">TEXT(financials[[#This Row],[Date]],"MMM")</f>
        <v>Jan</v>
      </c>
      <c r="Q1225">
        <f ca="1">YEAR(financials[[#This Row],[Date]])</f>
        <v>2025</v>
      </c>
    </row>
    <row r="1226" spans="1:17" x14ac:dyDescent="0.3">
      <c r="A1226" t="s">
        <v>16</v>
      </c>
      <c r="B1226" t="s">
        <v>23</v>
      </c>
      <c r="C1226" s="6" t="s">
        <v>29</v>
      </c>
      <c r="D1226" s="6" t="str">
        <f>CONCATENATE(financials[[#This Row],[Segment]],",",financials[[#This Row],[Country]],",",financials[[#This Row],[Product]])</f>
        <v>Government,Mexico,Velo</v>
      </c>
      <c r="E1226" s="6" t="s">
        <v>34</v>
      </c>
      <c r="F1226">
        <f t="shared" ca="1" si="38"/>
        <v>922</v>
      </c>
      <c r="G1226" s="1">
        <f ca="1">VLOOKUP(financials[[#This Row],[ID]],Prices!D:F,2,FALSE)</f>
        <v>18</v>
      </c>
      <c r="H1226" s="1">
        <f ca="1">VLOOKUP(financials[[#This Row],[ID]],Prices!D:F,3,FALSE)</f>
        <v>36</v>
      </c>
      <c r="I1226" s="1">
        <f ca="1">financials[[#This Row],[Units Sold]]*financials[[#This Row],[Sale Price]]</f>
        <v>33192</v>
      </c>
      <c r="J12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1659.6000000000001</v>
      </c>
      <c r="K1226" s="1">
        <f ca="1">financials[[#This Row],[Gross Sales]]-financials[[#This Row],[Discounts]]</f>
        <v>31532.400000000001</v>
      </c>
      <c r="L1226" s="1">
        <f ca="1">financials[[#This Row],[Units Sold]]*financials[[#This Row],[Manufacturing Price]]</f>
        <v>16596</v>
      </c>
      <c r="M1226" s="1">
        <f ca="1">financials[[#This Row],[Sales]]-financials[[#This Row],[COGS]]</f>
        <v>14936.400000000001</v>
      </c>
      <c r="N1226" s="7">
        <f t="shared" ca="1" si="39"/>
        <v>45355</v>
      </c>
      <c r="O1226" s="8">
        <f ca="1">MONTH(financials[[#This Row],[Date]])</f>
        <v>3</v>
      </c>
      <c r="P1226" s="6" t="str">
        <f ca="1">TEXT(financials[[#This Row],[Date]],"MMM")</f>
        <v>Mar</v>
      </c>
      <c r="Q1226">
        <f ca="1">YEAR(financials[[#This Row],[Date]])</f>
        <v>2024</v>
      </c>
    </row>
    <row r="1227" spans="1:17" x14ac:dyDescent="0.3">
      <c r="A1227" t="s">
        <v>16</v>
      </c>
      <c r="B1227" t="s">
        <v>17</v>
      </c>
      <c r="C1227" s="6" t="s">
        <v>29</v>
      </c>
      <c r="D1227" s="6" t="str">
        <f>CONCATENATE(financials[[#This Row],[Segment]],",",financials[[#This Row],[Country]],",",financials[[#This Row],[Product]])</f>
        <v>Government,Canada,Velo</v>
      </c>
      <c r="E1227" s="6" t="s">
        <v>34</v>
      </c>
      <c r="F1227">
        <f t="shared" ca="1" si="38"/>
        <v>267</v>
      </c>
      <c r="G1227" s="1">
        <f ca="1">VLOOKUP(financials[[#This Row],[ID]],Prices!D:F,2,FALSE)</f>
        <v>19</v>
      </c>
      <c r="H1227" s="1">
        <f ca="1">VLOOKUP(financials[[#This Row],[ID]],Prices!D:F,3,FALSE)</f>
        <v>37</v>
      </c>
      <c r="I1227" s="1">
        <f ca="1">financials[[#This Row],[Units Sold]]*financials[[#This Row],[Sale Price]]</f>
        <v>9879</v>
      </c>
      <c r="J12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493.95000000000005</v>
      </c>
      <c r="K1227" s="1">
        <f ca="1">financials[[#This Row],[Gross Sales]]-financials[[#This Row],[Discounts]]</f>
        <v>9385.0499999999993</v>
      </c>
      <c r="L1227" s="1">
        <f ca="1">financials[[#This Row],[Units Sold]]*financials[[#This Row],[Manufacturing Price]]</f>
        <v>5073</v>
      </c>
      <c r="M1227" s="1">
        <f ca="1">financials[[#This Row],[Sales]]-financials[[#This Row],[COGS]]</f>
        <v>4312.0499999999993</v>
      </c>
      <c r="N1227" s="7">
        <f t="shared" ca="1" si="39"/>
        <v>45413</v>
      </c>
      <c r="O1227" s="8">
        <f ca="1">MONTH(financials[[#This Row],[Date]])</f>
        <v>5</v>
      </c>
      <c r="P1227" s="6" t="str">
        <f ca="1">TEXT(financials[[#This Row],[Date]],"MMM")</f>
        <v>May</v>
      </c>
      <c r="Q1227">
        <f ca="1">YEAR(financials[[#This Row],[Date]])</f>
        <v>2024</v>
      </c>
    </row>
    <row r="1228" spans="1:17" x14ac:dyDescent="0.3">
      <c r="A1228" t="s">
        <v>25</v>
      </c>
      <c r="B1228" t="s">
        <v>22</v>
      </c>
      <c r="C1228" s="6" t="s">
        <v>30</v>
      </c>
      <c r="D1228" s="6" t="str">
        <f>CONCATENATE(financials[[#This Row],[Segment]],",",financials[[#This Row],[Country]],",",financials[[#This Row],[Product]])</f>
        <v>Channel Partners,France,VTT</v>
      </c>
      <c r="E1228" s="6" t="s">
        <v>34</v>
      </c>
      <c r="F1228">
        <f t="shared" ca="1" si="38"/>
        <v>526</v>
      </c>
      <c r="G1228" s="1">
        <f ca="1">VLOOKUP(financials[[#This Row],[ID]],Prices!D:F,2,FALSE)</f>
        <v>11</v>
      </c>
      <c r="H1228" s="1">
        <f ca="1">VLOOKUP(financials[[#This Row],[ID]],Prices!D:F,3,FALSE)</f>
        <v>38</v>
      </c>
      <c r="I1228" s="1">
        <f ca="1">financials[[#This Row],[Units Sold]]*financials[[#This Row],[Sale Price]]</f>
        <v>19988</v>
      </c>
      <c r="J12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999.40000000000009</v>
      </c>
      <c r="K1228" s="1">
        <f ca="1">financials[[#This Row],[Gross Sales]]-financials[[#This Row],[Discounts]]</f>
        <v>18988.599999999999</v>
      </c>
      <c r="L1228" s="1">
        <f ca="1">financials[[#This Row],[Units Sold]]*financials[[#This Row],[Manufacturing Price]]</f>
        <v>5786</v>
      </c>
      <c r="M1228" s="1">
        <f ca="1">financials[[#This Row],[Sales]]-financials[[#This Row],[COGS]]</f>
        <v>13202.599999999999</v>
      </c>
      <c r="N1228" s="7">
        <f t="shared" ca="1" si="39"/>
        <v>45429</v>
      </c>
      <c r="O1228" s="8">
        <f ca="1">MONTH(financials[[#This Row],[Date]])</f>
        <v>5</v>
      </c>
      <c r="P1228" s="6" t="str">
        <f ca="1">TEXT(financials[[#This Row],[Date]],"MMM")</f>
        <v>May</v>
      </c>
      <c r="Q1228">
        <f ca="1">YEAR(financials[[#This Row],[Date]])</f>
        <v>2024</v>
      </c>
    </row>
    <row r="1229" spans="1:17" x14ac:dyDescent="0.3">
      <c r="A1229" t="s">
        <v>26</v>
      </c>
      <c r="B1229" t="s">
        <v>23</v>
      </c>
      <c r="C1229" s="6" t="s">
        <v>30</v>
      </c>
      <c r="D1229" s="6" t="str">
        <f>CONCATENATE(financials[[#This Row],[Segment]],",",financials[[#This Row],[Country]],",",financials[[#This Row],[Product]])</f>
        <v>Enterprise,Mexico,VTT</v>
      </c>
      <c r="E1229" s="6" t="s">
        <v>34</v>
      </c>
      <c r="F1229">
        <f t="shared" ca="1" si="38"/>
        <v>672</v>
      </c>
      <c r="G1229" s="1">
        <f ca="1">VLOOKUP(financials[[#This Row],[ID]],Prices!D:F,2,FALSE)</f>
        <v>15</v>
      </c>
      <c r="H1229" s="1">
        <f ca="1">VLOOKUP(financials[[#This Row],[ID]],Prices!D:F,3,FALSE)</f>
        <v>38</v>
      </c>
      <c r="I1229" s="1">
        <f ca="1">financials[[#This Row],[Units Sold]]*financials[[#This Row],[Sale Price]]</f>
        <v>25536</v>
      </c>
      <c r="J12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1276.8000000000002</v>
      </c>
      <c r="K1229" s="1">
        <f ca="1">financials[[#This Row],[Gross Sales]]-financials[[#This Row],[Discounts]]</f>
        <v>24259.200000000001</v>
      </c>
      <c r="L1229" s="1">
        <f ca="1">financials[[#This Row],[Units Sold]]*financials[[#This Row],[Manufacturing Price]]</f>
        <v>10080</v>
      </c>
      <c r="M1229" s="1">
        <f ca="1">financials[[#This Row],[Sales]]-financials[[#This Row],[COGS]]</f>
        <v>14179.2</v>
      </c>
      <c r="N1229" s="7">
        <f t="shared" ca="1" si="39"/>
        <v>45379</v>
      </c>
      <c r="O1229" s="8">
        <f ca="1">MONTH(financials[[#This Row],[Date]])</f>
        <v>3</v>
      </c>
      <c r="P1229" s="6" t="str">
        <f ca="1">TEXT(financials[[#This Row],[Date]],"MMM")</f>
        <v>Mar</v>
      </c>
      <c r="Q1229">
        <f ca="1">YEAR(financials[[#This Row],[Date]])</f>
        <v>2024</v>
      </c>
    </row>
    <row r="1230" spans="1:17" x14ac:dyDescent="0.3">
      <c r="A1230" t="s">
        <v>16</v>
      </c>
      <c r="B1230" t="s">
        <v>17</v>
      </c>
      <c r="C1230" s="6" t="s">
        <v>30</v>
      </c>
      <c r="D1230" s="6" t="str">
        <f>CONCATENATE(financials[[#This Row],[Segment]],",",financials[[#This Row],[Country]],",",financials[[#This Row],[Product]])</f>
        <v>Government,Canada,VTT</v>
      </c>
      <c r="E1230" s="6" t="s">
        <v>34</v>
      </c>
      <c r="F1230">
        <f t="shared" ca="1" si="38"/>
        <v>672</v>
      </c>
      <c r="G1230" s="1">
        <f ca="1">VLOOKUP(financials[[#This Row],[ID]],Prices!D:F,2,FALSE)</f>
        <v>17</v>
      </c>
      <c r="H1230" s="1">
        <f ca="1">VLOOKUP(financials[[#This Row],[ID]],Prices!D:F,3,FALSE)</f>
        <v>38</v>
      </c>
      <c r="I1230" s="1">
        <f ca="1">financials[[#This Row],[Units Sold]]*financials[[#This Row],[Sale Price]]</f>
        <v>25536</v>
      </c>
      <c r="J12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1276.8000000000002</v>
      </c>
      <c r="K1230" s="1">
        <f ca="1">financials[[#This Row],[Gross Sales]]-financials[[#This Row],[Discounts]]</f>
        <v>24259.200000000001</v>
      </c>
      <c r="L1230" s="1">
        <f ca="1">financials[[#This Row],[Units Sold]]*financials[[#This Row],[Manufacturing Price]]</f>
        <v>11424</v>
      </c>
      <c r="M1230" s="1">
        <f ca="1">financials[[#This Row],[Sales]]-financials[[#This Row],[COGS]]</f>
        <v>12835.2</v>
      </c>
      <c r="N1230" s="7">
        <f t="shared" ca="1" si="39"/>
        <v>45496</v>
      </c>
      <c r="O1230" s="8">
        <f ca="1">MONTH(financials[[#This Row],[Date]])</f>
        <v>7</v>
      </c>
      <c r="P1230" s="6" t="str">
        <f ca="1">TEXT(financials[[#This Row],[Date]],"MMM")</f>
        <v>Jul</v>
      </c>
      <c r="Q1230">
        <f ca="1">YEAR(financials[[#This Row],[Date]])</f>
        <v>2024</v>
      </c>
    </row>
    <row r="1231" spans="1:17" x14ac:dyDescent="0.3">
      <c r="A1231" t="s">
        <v>26</v>
      </c>
      <c r="B1231" t="s">
        <v>20</v>
      </c>
      <c r="C1231" s="6" t="s">
        <v>31</v>
      </c>
      <c r="D1231" s="6" t="str">
        <f>CONCATENATE(financials[[#This Row],[Segment]],",",financials[[#This Row],[Country]],",",financials[[#This Row],[Product]])</f>
        <v>Enterprise,Germany,Amarilla</v>
      </c>
      <c r="E1231" s="6" t="s">
        <v>34</v>
      </c>
      <c r="F1231">
        <f t="shared" ca="1" si="38"/>
        <v>797</v>
      </c>
      <c r="G1231" s="1">
        <f ca="1">VLOOKUP(financials[[#This Row],[ID]],Prices!D:F,2,FALSE)</f>
        <v>13</v>
      </c>
      <c r="H1231" s="1">
        <f ca="1">VLOOKUP(financials[[#This Row],[ID]],Prices!D:F,3,FALSE)</f>
        <v>21</v>
      </c>
      <c r="I1231" s="1">
        <f ca="1">financials[[#This Row],[Units Sold]]*financials[[#This Row],[Sale Price]]</f>
        <v>16737</v>
      </c>
      <c r="J12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836.85</v>
      </c>
      <c r="K1231" s="1">
        <f ca="1">financials[[#This Row],[Gross Sales]]-financials[[#This Row],[Discounts]]</f>
        <v>15900.15</v>
      </c>
      <c r="L1231" s="1">
        <f ca="1">financials[[#This Row],[Units Sold]]*financials[[#This Row],[Manufacturing Price]]</f>
        <v>10361</v>
      </c>
      <c r="M1231" s="1">
        <f ca="1">financials[[#This Row],[Sales]]-financials[[#This Row],[COGS]]</f>
        <v>5539.15</v>
      </c>
      <c r="N1231" s="7">
        <f t="shared" ca="1" si="39"/>
        <v>45641</v>
      </c>
      <c r="O1231" s="8">
        <f ca="1">MONTH(financials[[#This Row],[Date]])</f>
        <v>12</v>
      </c>
      <c r="P1231" s="6" t="str">
        <f ca="1">TEXT(financials[[#This Row],[Date]],"MMM")</f>
        <v>Dec</v>
      </c>
      <c r="Q1231">
        <f ca="1">YEAR(financials[[#This Row],[Date]])</f>
        <v>2024</v>
      </c>
    </row>
    <row r="1232" spans="1:17" x14ac:dyDescent="0.3">
      <c r="A1232" t="s">
        <v>16</v>
      </c>
      <c r="B1232" t="s">
        <v>23</v>
      </c>
      <c r="C1232" s="6" t="s">
        <v>31</v>
      </c>
      <c r="D1232" s="6" t="str">
        <f>CONCATENATE(financials[[#This Row],[Segment]],",",financials[[#This Row],[Country]],",",financials[[#This Row],[Product]])</f>
        <v>Government,Mexico,Amarilla</v>
      </c>
      <c r="E1232" s="6" t="s">
        <v>34</v>
      </c>
      <c r="F1232">
        <f t="shared" ca="1" si="38"/>
        <v>849</v>
      </c>
      <c r="G1232" s="1">
        <f ca="1">VLOOKUP(financials[[#This Row],[ID]],Prices!D:F,2,FALSE)</f>
        <v>15</v>
      </c>
      <c r="H1232" s="1">
        <f ca="1">VLOOKUP(financials[[#This Row],[ID]],Prices!D:F,3,FALSE)</f>
        <v>32</v>
      </c>
      <c r="I1232" s="1">
        <f ca="1">financials[[#This Row],[Units Sold]]*financials[[#This Row],[Sale Price]]</f>
        <v>27168</v>
      </c>
      <c r="J12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1358.4</v>
      </c>
      <c r="K1232" s="1">
        <f ca="1">financials[[#This Row],[Gross Sales]]-financials[[#This Row],[Discounts]]</f>
        <v>25809.599999999999</v>
      </c>
      <c r="L1232" s="1">
        <f ca="1">financials[[#This Row],[Units Sold]]*financials[[#This Row],[Manufacturing Price]]</f>
        <v>12735</v>
      </c>
      <c r="M1232" s="1">
        <f ca="1">financials[[#This Row],[Sales]]-financials[[#This Row],[COGS]]</f>
        <v>13074.599999999999</v>
      </c>
      <c r="N1232" s="7">
        <f t="shared" ca="1" si="39"/>
        <v>45549</v>
      </c>
      <c r="O1232" s="8">
        <f ca="1">MONTH(financials[[#This Row],[Date]])</f>
        <v>9</v>
      </c>
      <c r="P1232" s="6" t="str">
        <f ca="1">TEXT(financials[[#This Row],[Date]],"MMM")</f>
        <v>Sep</v>
      </c>
      <c r="Q1232">
        <f ca="1">YEAR(financials[[#This Row],[Date]])</f>
        <v>2024</v>
      </c>
    </row>
    <row r="1233" spans="1:17" x14ac:dyDescent="0.3">
      <c r="A1233" t="s">
        <v>26</v>
      </c>
      <c r="B1233" t="s">
        <v>22</v>
      </c>
      <c r="C1233" s="6" t="s">
        <v>31</v>
      </c>
      <c r="D1233" s="6" t="str">
        <f>CONCATENATE(financials[[#This Row],[Segment]],",",financials[[#This Row],[Country]],",",financials[[#This Row],[Product]])</f>
        <v>Enterprise,France,Amarilla</v>
      </c>
      <c r="E1233" s="6" t="s">
        <v>34</v>
      </c>
      <c r="F1233">
        <f t="shared" ca="1" si="38"/>
        <v>679</v>
      </c>
      <c r="G1233" s="1">
        <f ca="1">VLOOKUP(financials[[#This Row],[ID]],Prices!D:F,2,FALSE)</f>
        <v>12</v>
      </c>
      <c r="H1233" s="1">
        <f ca="1">VLOOKUP(financials[[#This Row],[ID]],Prices!D:F,3,FALSE)</f>
        <v>34</v>
      </c>
      <c r="I1233" s="1">
        <f ca="1">financials[[#This Row],[Units Sold]]*financials[[#This Row],[Sale Price]]</f>
        <v>23086</v>
      </c>
      <c r="J12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1154.3</v>
      </c>
      <c r="K1233" s="1">
        <f ca="1">financials[[#This Row],[Gross Sales]]-financials[[#This Row],[Discounts]]</f>
        <v>21931.7</v>
      </c>
      <c r="L1233" s="1">
        <f ca="1">financials[[#This Row],[Units Sold]]*financials[[#This Row],[Manufacturing Price]]</f>
        <v>8148</v>
      </c>
      <c r="M1233" s="1">
        <f ca="1">financials[[#This Row],[Sales]]-financials[[#This Row],[COGS]]</f>
        <v>13783.7</v>
      </c>
      <c r="N1233" s="7">
        <f t="shared" ca="1" si="39"/>
        <v>45326</v>
      </c>
      <c r="O1233" s="8">
        <f ca="1">MONTH(financials[[#This Row],[Date]])</f>
        <v>2</v>
      </c>
      <c r="P1233" s="6" t="str">
        <f ca="1">TEXT(financials[[#This Row],[Date]],"MMM")</f>
        <v>Feb</v>
      </c>
      <c r="Q1233">
        <f ca="1">YEAR(financials[[#This Row],[Date]])</f>
        <v>2024</v>
      </c>
    </row>
    <row r="1234" spans="1:17" x14ac:dyDescent="0.3">
      <c r="A1234" t="s">
        <v>26</v>
      </c>
      <c r="B1234" t="s">
        <v>23</v>
      </c>
      <c r="C1234" s="6" t="s">
        <v>31</v>
      </c>
      <c r="D1234" s="6" t="str">
        <f>CONCATENATE(financials[[#This Row],[Segment]],",",financials[[#This Row],[Country]],",",financials[[#This Row],[Product]])</f>
        <v>Enterprise,Mexico,Amarilla</v>
      </c>
      <c r="E1234" s="6" t="s">
        <v>34</v>
      </c>
      <c r="F1234">
        <f t="shared" ca="1" si="38"/>
        <v>237</v>
      </c>
      <c r="G1234" s="1">
        <f ca="1">VLOOKUP(financials[[#This Row],[ID]],Prices!D:F,2,FALSE)</f>
        <v>11</v>
      </c>
      <c r="H1234" s="1">
        <f ca="1">VLOOKUP(financials[[#This Row],[ID]],Prices!D:F,3,FALSE)</f>
        <v>30</v>
      </c>
      <c r="I1234" s="1">
        <f ca="1">financials[[#This Row],[Units Sold]]*financials[[#This Row],[Sale Price]]</f>
        <v>7110</v>
      </c>
      <c r="J12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355.5</v>
      </c>
      <c r="K1234" s="1">
        <f ca="1">financials[[#This Row],[Gross Sales]]-financials[[#This Row],[Discounts]]</f>
        <v>6754.5</v>
      </c>
      <c r="L1234" s="1">
        <f ca="1">financials[[#This Row],[Units Sold]]*financials[[#This Row],[Manufacturing Price]]</f>
        <v>2607</v>
      </c>
      <c r="M1234" s="1">
        <f ca="1">financials[[#This Row],[Sales]]-financials[[#This Row],[COGS]]</f>
        <v>4147.5</v>
      </c>
      <c r="N1234" s="7">
        <f t="shared" ca="1" si="39"/>
        <v>45646</v>
      </c>
      <c r="O1234" s="8">
        <f ca="1">MONTH(financials[[#This Row],[Date]])</f>
        <v>12</v>
      </c>
      <c r="P1234" s="6" t="str">
        <f ca="1">TEXT(financials[[#This Row],[Date]],"MMM")</f>
        <v>Dec</v>
      </c>
      <c r="Q1234">
        <f ca="1">YEAR(financials[[#This Row],[Date]])</f>
        <v>2024</v>
      </c>
    </row>
    <row r="1235" spans="1:17" x14ac:dyDescent="0.3">
      <c r="A1235" t="s">
        <v>16</v>
      </c>
      <c r="B1235" t="s">
        <v>23</v>
      </c>
      <c r="C1235" s="6" t="s">
        <v>31</v>
      </c>
      <c r="D1235" s="6" t="str">
        <f>CONCATENATE(financials[[#This Row],[Segment]],",",financials[[#This Row],[Country]],",",financials[[#This Row],[Product]])</f>
        <v>Government,Mexico,Amarilla</v>
      </c>
      <c r="E1235" s="6" t="s">
        <v>34</v>
      </c>
      <c r="F1235">
        <f t="shared" ca="1" si="38"/>
        <v>407</v>
      </c>
      <c r="G1235" s="1">
        <f ca="1">VLOOKUP(financials[[#This Row],[ID]],Prices!D:F,2,FALSE)</f>
        <v>15</v>
      </c>
      <c r="H1235" s="1">
        <f ca="1">VLOOKUP(financials[[#This Row],[ID]],Prices!D:F,3,FALSE)</f>
        <v>32</v>
      </c>
      <c r="I1235" s="1">
        <f ca="1">financials[[#This Row],[Units Sold]]*financials[[#This Row],[Sale Price]]</f>
        <v>13024</v>
      </c>
      <c r="J12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651.20000000000005</v>
      </c>
      <c r="K1235" s="1">
        <f ca="1">financials[[#This Row],[Gross Sales]]-financials[[#This Row],[Discounts]]</f>
        <v>12372.8</v>
      </c>
      <c r="L1235" s="1">
        <f ca="1">financials[[#This Row],[Units Sold]]*financials[[#This Row],[Manufacturing Price]]</f>
        <v>6105</v>
      </c>
      <c r="M1235" s="1">
        <f ca="1">financials[[#This Row],[Sales]]-financials[[#This Row],[COGS]]</f>
        <v>6267.7999999999993</v>
      </c>
      <c r="N1235" s="7">
        <f t="shared" ca="1" si="39"/>
        <v>45269</v>
      </c>
      <c r="O1235" s="8">
        <f ca="1">MONTH(financials[[#This Row],[Date]])</f>
        <v>12</v>
      </c>
      <c r="P1235" s="6" t="str">
        <f ca="1">TEXT(financials[[#This Row],[Date]],"MMM")</f>
        <v>Dec</v>
      </c>
      <c r="Q1235">
        <f ca="1">YEAR(financials[[#This Row],[Date]])</f>
        <v>2023</v>
      </c>
    </row>
    <row r="1236" spans="1:17" x14ac:dyDescent="0.3">
      <c r="A1236" t="s">
        <v>21</v>
      </c>
      <c r="B1236" t="s">
        <v>23</v>
      </c>
      <c r="C1236" s="6" t="s">
        <v>31</v>
      </c>
      <c r="D1236" s="6" t="str">
        <f>CONCATENATE(financials[[#This Row],[Segment]],",",financials[[#This Row],[Country]],",",financials[[#This Row],[Product]])</f>
        <v>Midmarket,Mexico,Amarilla</v>
      </c>
      <c r="E1236" s="6" t="s">
        <v>34</v>
      </c>
      <c r="F1236">
        <f t="shared" ca="1" si="38"/>
        <v>109</v>
      </c>
      <c r="G1236" s="1">
        <f ca="1">VLOOKUP(financials[[#This Row],[ID]],Prices!D:F,2,FALSE)</f>
        <v>13</v>
      </c>
      <c r="H1236" s="1">
        <f ca="1">VLOOKUP(financials[[#This Row],[ID]],Prices!D:F,3,FALSE)</f>
        <v>29</v>
      </c>
      <c r="I1236" s="1">
        <f ca="1">financials[[#This Row],[Units Sold]]*financials[[#This Row],[Sale Price]]</f>
        <v>3161</v>
      </c>
      <c r="J12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158.05000000000001</v>
      </c>
      <c r="K1236" s="1">
        <f ca="1">financials[[#This Row],[Gross Sales]]-financials[[#This Row],[Discounts]]</f>
        <v>3002.95</v>
      </c>
      <c r="L1236" s="1">
        <f ca="1">financials[[#This Row],[Units Sold]]*financials[[#This Row],[Manufacturing Price]]</f>
        <v>1417</v>
      </c>
      <c r="M1236" s="1">
        <f ca="1">financials[[#This Row],[Sales]]-financials[[#This Row],[COGS]]</f>
        <v>1585.9499999999998</v>
      </c>
      <c r="N1236" s="7">
        <f t="shared" ca="1" si="39"/>
        <v>45593</v>
      </c>
      <c r="O1236" s="8">
        <f ca="1">MONTH(financials[[#This Row],[Date]])</f>
        <v>10</v>
      </c>
      <c r="P1236" s="6" t="str">
        <f ca="1">TEXT(financials[[#This Row],[Date]],"MMM")</f>
        <v>Oct</v>
      </c>
      <c r="Q1236">
        <f ca="1">YEAR(financials[[#This Row],[Date]])</f>
        <v>2024</v>
      </c>
    </row>
    <row r="1237" spans="1:17" x14ac:dyDescent="0.3">
      <c r="A1237" t="s">
        <v>16</v>
      </c>
      <c r="B1237" t="s">
        <v>36</v>
      </c>
      <c r="C1237" s="6" t="s">
        <v>28</v>
      </c>
      <c r="D1237" s="6" t="str">
        <f>CONCATENATE(financials[[#This Row],[Segment]],",",financials[[#This Row],[Country]],",",financials[[#This Row],[Product]])</f>
        <v>Government,USA,Paseo</v>
      </c>
      <c r="E1237" s="6" t="s">
        <v>34</v>
      </c>
      <c r="F1237">
        <f t="shared" ca="1" si="38"/>
        <v>364</v>
      </c>
      <c r="G1237" s="1">
        <f ca="1">VLOOKUP(financials[[#This Row],[ID]],Prices!D:F,2,FALSE)</f>
        <v>17</v>
      </c>
      <c r="H1237" s="1">
        <f ca="1">VLOOKUP(financials[[#This Row],[ID]],Prices!D:F,3,FALSE)</f>
        <v>36</v>
      </c>
      <c r="I1237" s="1">
        <f ca="1">financials[[#This Row],[Units Sold]]*financials[[#This Row],[Sale Price]]</f>
        <v>13104</v>
      </c>
      <c r="J12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655.20000000000005</v>
      </c>
      <c r="K1237" s="1">
        <f ca="1">financials[[#This Row],[Gross Sales]]-financials[[#This Row],[Discounts]]</f>
        <v>12448.8</v>
      </c>
      <c r="L1237" s="1">
        <f ca="1">financials[[#This Row],[Units Sold]]*financials[[#This Row],[Manufacturing Price]]</f>
        <v>6188</v>
      </c>
      <c r="M1237" s="1">
        <f ca="1">financials[[#This Row],[Sales]]-financials[[#This Row],[COGS]]</f>
        <v>6260.7999999999993</v>
      </c>
      <c r="N1237" s="7">
        <f t="shared" ca="1" si="39"/>
        <v>45075</v>
      </c>
      <c r="O1237" s="8">
        <f ca="1">MONTH(financials[[#This Row],[Date]])</f>
        <v>5</v>
      </c>
      <c r="P1237" s="6" t="str">
        <f ca="1">TEXT(financials[[#This Row],[Date]],"MMM")</f>
        <v>May</v>
      </c>
      <c r="Q1237">
        <f ca="1">YEAR(financials[[#This Row],[Date]])</f>
        <v>2023</v>
      </c>
    </row>
    <row r="1238" spans="1:17" x14ac:dyDescent="0.3">
      <c r="A1238" t="s">
        <v>16</v>
      </c>
      <c r="B1238" t="s">
        <v>23</v>
      </c>
      <c r="C1238" s="6" t="s">
        <v>18</v>
      </c>
      <c r="D1238" s="6" t="str">
        <f>CONCATENATE(financials[[#This Row],[Segment]],",",financials[[#This Row],[Country]],",",financials[[#This Row],[Product]])</f>
        <v>Government,Mexico,Carretera</v>
      </c>
      <c r="E1238" s="6" t="s">
        <v>34</v>
      </c>
      <c r="F1238">
        <f t="shared" ca="1" si="38"/>
        <v>599</v>
      </c>
      <c r="G1238" s="1">
        <f ca="1">VLOOKUP(financials[[#This Row],[ID]],Prices!D:F,2,FALSE)</f>
        <v>16</v>
      </c>
      <c r="H1238" s="1">
        <f ca="1">VLOOKUP(financials[[#This Row],[ID]],Prices!D:F,3,FALSE)</f>
        <v>31</v>
      </c>
      <c r="I1238" s="1">
        <f ca="1">financials[[#This Row],[Units Sold]]*financials[[#This Row],[Sale Price]]</f>
        <v>18569</v>
      </c>
      <c r="J12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928.45</v>
      </c>
      <c r="K1238" s="1">
        <f ca="1">financials[[#This Row],[Gross Sales]]-financials[[#This Row],[Discounts]]</f>
        <v>17640.55</v>
      </c>
      <c r="L1238" s="1">
        <f ca="1">financials[[#This Row],[Units Sold]]*financials[[#This Row],[Manufacturing Price]]</f>
        <v>9584</v>
      </c>
      <c r="M1238" s="1">
        <f ca="1">financials[[#This Row],[Sales]]-financials[[#This Row],[COGS]]</f>
        <v>8056.5499999999993</v>
      </c>
      <c r="N1238" s="7">
        <f t="shared" ca="1" si="39"/>
        <v>45542</v>
      </c>
      <c r="O1238" s="8">
        <f ca="1">MONTH(financials[[#This Row],[Date]])</f>
        <v>9</v>
      </c>
      <c r="P1238" s="6" t="str">
        <f ca="1">TEXT(financials[[#This Row],[Date]],"MMM")</f>
        <v>Sep</v>
      </c>
      <c r="Q1238">
        <f ca="1">YEAR(financials[[#This Row],[Date]])</f>
        <v>2024</v>
      </c>
    </row>
    <row r="1239" spans="1:17" x14ac:dyDescent="0.3">
      <c r="A1239" t="s">
        <v>26</v>
      </c>
      <c r="B1239" t="s">
        <v>17</v>
      </c>
      <c r="C1239" s="6" t="s">
        <v>18</v>
      </c>
      <c r="D1239" s="6" t="str">
        <f>CONCATENATE(financials[[#This Row],[Segment]],",",financials[[#This Row],[Country]],",",financials[[#This Row],[Product]])</f>
        <v>Enterprise,Canada,Carretera</v>
      </c>
      <c r="E1239" s="6" t="s">
        <v>34</v>
      </c>
      <c r="F1239">
        <f t="shared" ca="1" si="38"/>
        <v>317</v>
      </c>
      <c r="G1239" s="1">
        <f ca="1">VLOOKUP(financials[[#This Row],[ID]],Prices!D:F,2,FALSE)</f>
        <v>11</v>
      </c>
      <c r="H1239" s="1">
        <f ca="1">VLOOKUP(financials[[#This Row],[ID]],Prices!D:F,3,FALSE)</f>
        <v>30</v>
      </c>
      <c r="I1239" s="1">
        <f ca="1">financials[[#This Row],[Units Sold]]*financials[[#This Row],[Sale Price]]</f>
        <v>9510</v>
      </c>
      <c r="J12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475.5</v>
      </c>
      <c r="K1239" s="1">
        <f ca="1">financials[[#This Row],[Gross Sales]]-financials[[#This Row],[Discounts]]</f>
        <v>9034.5</v>
      </c>
      <c r="L1239" s="1">
        <f ca="1">financials[[#This Row],[Units Sold]]*financials[[#This Row],[Manufacturing Price]]</f>
        <v>3487</v>
      </c>
      <c r="M1239" s="1">
        <f ca="1">financials[[#This Row],[Sales]]-financials[[#This Row],[COGS]]</f>
        <v>5547.5</v>
      </c>
      <c r="N1239" s="7">
        <f t="shared" ca="1" si="39"/>
        <v>45486</v>
      </c>
      <c r="O1239" s="8">
        <f ca="1">MONTH(financials[[#This Row],[Date]])</f>
        <v>7</v>
      </c>
      <c r="P1239" s="6" t="str">
        <f ca="1">TEXT(financials[[#This Row],[Date]],"MMM")</f>
        <v>Jul</v>
      </c>
      <c r="Q1239">
        <f ca="1">YEAR(financials[[#This Row],[Date]])</f>
        <v>2024</v>
      </c>
    </row>
    <row r="1240" spans="1:17" x14ac:dyDescent="0.3">
      <c r="A1240" t="s">
        <v>26</v>
      </c>
      <c r="B1240" t="s">
        <v>23</v>
      </c>
      <c r="C1240" s="6" t="s">
        <v>18</v>
      </c>
      <c r="D1240" s="6" t="str">
        <f>CONCATENATE(financials[[#This Row],[Segment]],",",financials[[#This Row],[Country]],",",financials[[#This Row],[Product]])</f>
        <v>Enterprise,Mexico,Carretera</v>
      </c>
      <c r="E1240" s="6" t="s">
        <v>34</v>
      </c>
      <c r="F1240">
        <f t="shared" ca="1" si="38"/>
        <v>83</v>
      </c>
      <c r="G1240" s="1">
        <f ca="1">VLOOKUP(financials[[#This Row],[ID]],Prices!D:F,2,FALSE)</f>
        <v>17</v>
      </c>
      <c r="H1240" s="1">
        <f ca="1">VLOOKUP(financials[[#This Row],[ID]],Prices!D:F,3,FALSE)</f>
        <v>23</v>
      </c>
      <c r="I1240" s="1">
        <f ca="1">financials[[#This Row],[Units Sold]]*financials[[#This Row],[Sale Price]]</f>
        <v>1909</v>
      </c>
      <c r="J12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95.45</v>
      </c>
      <c r="K1240" s="1">
        <f ca="1">financials[[#This Row],[Gross Sales]]-financials[[#This Row],[Discounts]]</f>
        <v>1813.55</v>
      </c>
      <c r="L1240" s="1">
        <f ca="1">financials[[#This Row],[Units Sold]]*financials[[#This Row],[Manufacturing Price]]</f>
        <v>1411</v>
      </c>
      <c r="M1240" s="1">
        <f ca="1">financials[[#This Row],[Sales]]-financials[[#This Row],[COGS]]</f>
        <v>402.54999999999995</v>
      </c>
      <c r="N1240" s="7">
        <f t="shared" ca="1" si="39"/>
        <v>45250</v>
      </c>
      <c r="O1240" s="8">
        <f ca="1">MONTH(financials[[#This Row],[Date]])</f>
        <v>11</v>
      </c>
      <c r="P1240" s="6" t="str">
        <f ca="1">TEXT(financials[[#This Row],[Date]],"MMM")</f>
        <v>Nov</v>
      </c>
      <c r="Q1240">
        <f ca="1">YEAR(financials[[#This Row],[Date]])</f>
        <v>2023</v>
      </c>
    </row>
    <row r="1241" spans="1:17" x14ac:dyDescent="0.3">
      <c r="A1241" t="s">
        <v>21</v>
      </c>
      <c r="B1241" t="s">
        <v>17</v>
      </c>
      <c r="C1241" s="6" t="s">
        <v>18</v>
      </c>
      <c r="D1241" s="6" t="str">
        <f>CONCATENATE(financials[[#This Row],[Segment]],",",financials[[#This Row],[Country]],",",financials[[#This Row],[Product]])</f>
        <v>Midmarket,Canada,Carretera</v>
      </c>
      <c r="E1241" s="6" t="s">
        <v>34</v>
      </c>
      <c r="F1241">
        <f t="shared" ca="1" si="38"/>
        <v>878</v>
      </c>
      <c r="G1241" s="1">
        <f ca="1">VLOOKUP(financials[[#This Row],[ID]],Prices!D:F,2,FALSE)</f>
        <v>10</v>
      </c>
      <c r="H1241" s="1">
        <f ca="1">VLOOKUP(financials[[#This Row],[ID]],Prices!D:F,3,FALSE)</f>
        <v>29</v>
      </c>
      <c r="I1241" s="1">
        <f ca="1">financials[[#This Row],[Units Sold]]*financials[[#This Row],[Sale Price]]</f>
        <v>25462</v>
      </c>
      <c r="J12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1273.1000000000001</v>
      </c>
      <c r="K1241" s="1">
        <f ca="1">financials[[#This Row],[Gross Sales]]-financials[[#This Row],[Discounts]]</f>
        <v>24188.9</v>
      </c>
      <c r="L1241" s="1">
        <f ca="1">financials[[#This Row],[Units Sold]]*financials[[#This Row],[Manufacturing Price]]</f>
        <v>8780</v>
      </c>
      <c r="M1241" s="1">
        <f ca="1">financials[[#This Row],[Sales]]-financials[[#This Row],[COGS]]</f>
        <v>15408.900000000001</v>
      </c>
      <c r="N1241" s="7">
        <f t="shared" ca="1" si="39"/>
        <v>45529</v>
      </c>
      <c r="O1241" s="8">
        <f ca="1">MONTH(financials[[#This Row],[Date]])</f>
        <v>8</v>
      </c>
      <c r="P1241" s="6" t="str">
        <f ca="1">TEXT(financials[[#This Row],[Date]],"MMM")</f>
        <v>Aug</v>
      </c>
      <c r="Q1241">
        <f ca="1">YEAR(financials[[#This Row],[Date]])</f>
        <v>2024</v>
      </c>
    </row>
    <row r="1242" spans="1:17" x14ac:dyDescent="0.3">
      <c r="A1242" t="s">
        <v>21</v>
      </c>
      <c r="B1242" t="s">
        <v>36</v>
      </c>
      <c r="C1242" s="6" t="s">
        <v>24</v>
      </c>
      <c r="D1242" s="6" t="str">
        <f>CONCATENATE(financials[[#This Row],[Segment]],",",financials[[#This Row],[Country]],",",financials[[#This Row],[Product]])</f>
        <v>Midmarket,USA,Montana</v>
      </c>
      <c r="E1242" s="6" t="s">
        <v>34</v>
      </c>
      <c r="F1242">
        <f t="shared" ca="1" si="38"/>
        <v>712</v>
      </c>
      <c r="G1242" s="1">
        <f ca="1">VLOOKUP(financials[[#This Row],[ID]],Prices!D:F,2,FALSE)</f>
        <v>10</v>
      </c>
      <c r="H1242" s="1">
        <f ca="1">VLOOKUP(financials[[#This Row],[ID]],Prices!D:F,3,FALSE)</f>
        <v>24</v>
      </c>
      <c r="I1242" s="1">
        <f ca="1">financials[[#This Row],[Units Sold]]*financials[[#This Row],[Sale Price]]</f>
        <v>17088</v>
      </c>
      <c r="J12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854.40000000000009</v>
      </c>
      <c r="K1242" s="1">
        <f ca="1">financials[[#This Row],[Gross Sales]]-financials[[#This Row],[Discounts]]</f>
        <v>16233.6</v>
      </c>
      <c r="L1242" s="1">
        <f ca="1">financials[[#This Row],[Units Sold]]*financials[[#This Row],[Manufacturing Price]]</f>
        <v>7120</v>
      </c>
      <c r="M1242" s="1">
        <f ca="1">financials[[#This Row],[Sales]]-financials[[#This Row],[COGS]]</f>
        <v>9113.6</v>
      </c>
      <c r="N1242" s="7">
        <f t="shared" ca="1" si="39"/>
        <v>45551</v>
      </c>
      <c r="O1242" s="8">
        <f ca="1">MONTH(financials[[#This Row],[Date]])</f>
        <v>9</v>
      </c>
      <c r="P1242" s="6" t="str">
        <f ca="1">TEXT(financials[[#This Row],[Date]],"MMM")</f>
        <v>Sep</v>
      </c>
      <c r="Q1242">
        <f ca="1">YEAR(financials[[#This Row],[Date]])</f>
        <v>2024</v>
      </c>
    </row>
    <row r="1243" spans="1:17" x14ac:dyDescent="0.3">
      <c r="A1243" t="s">
        <v>27</v>
      </c>
      <c r="B1243" t="s">
        <v>22</v>
      </c>
      <c r="C1243" s="6" t="s">
        <v>24</v>
      </c>
      <c r="D1243" s="6" t="str">
        <f>CONCATENATE(financials[[#This Row],[Segment]],",",financials[[#This Row],[Country]],",",financials[[#This Row],[Product]])</f>
        <v>Small Business,France,Montana</v>
      </c>
      <c r="E1243" s="6" t="s">
        <v>34</v>
      </c>
      <c r="F1243">
        <f t="shared" ca="1" si="38"/>
        <v>397</v>
      </c>
      <c r="G1243" s="1">
        <f ca="1">VLOOKUP(financials[[#This Row],[ID]],Prices!D:F,2,FALSE)</f>
        <v>14</v>
      </c>
      <c r="H1243" s="1">
        <f ca="1">VLOOKUP(financials[[#This Row],[ID]],Prices!D:F,3,FALSE)</f>
        <v>35</v>
      </c>
      <c r="I1243" s="1">
        <f ca="1">financials[[#This Row],[Units Sold]]*financials[[#This Row],[Sale Price]]</f>
        <v>13895</v>
      </c>
      <c r="J12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694.75</v>
      </c>
      <c r="K1243" s="1">
        <f ca="1">financials[[#This Row],[Gross Sales]]-financials[[#This Row],[Discounts]]</f>
        <v>13200.25</v>
      </c>
      <c r="L1243" s="1">
        <f ca="1">financials[[#This Row],[Units Sold]]*financials[[#This Row],[Manufacturing Price]]</f>
        <v>5558</v>
      </c>
      <c r="M1243" s="1">
        <f ca="1">financials[[#This Row],[Sales]]-financials[[#This Row],[COGS]]</f>
        <v>7642.25</v>
      </c>
      <c r="N1243" s="7">
        <f t="shared" ca="1" si="39"/>
        <v>45212</v>
      </c>
      <c r="O1243" s="8">
        <f ca="1">MONTH(financials[[#This Row],[Date]])</f>
        <v>10</v>
      </c>
      <c r="P1243" s="6" t="str">
        <f ca="1">TEXT(financials[[#This Row],[Date]],"MMM")</f>
        <v>Oct</v>
      </c>
      <c r="Q1243">
        <f ca="1">YEAR(financials[[#This Row],[Date]])</f>
        <v>2023</v>
      </c>
    </row>
    <row r="1244" spans="1:17" x14ac:dyDescent="0.3">
      <c r="A1244" t="s">
        <v>16</v>
      </c>
      <c r="B1244" t="s">
        <v>23</v>
      </c>
      <c r="C1244" s="6" t="s">
        <v>24</v>
      </c>
      <c r="D1244" s="6" t="str">
        <f>CONCATENATE(financials[[#This Row],[Segment]],",",financials[[#This Row],[Country]],",",financials[[#This Row],[Product]])</f>
        <v>Government,Mexico,Montana</v>
      </c>
      <c r="E1244" s="6" t="s">
        <v>34</v>
      </c>
      <c r="F1244">
        <f t="shared" ca="1" si="38"/>
        <v>994</v>
      </c>
      <c r="G1244" s="1">
        <f ca="1">VLOOKUP(financials[[#This Row],[ID]],Prices!D:F,2,FALSE)</f>
        <v>19</v>
      </c>
      <c r="H1244" s="1">
        <f ca="1">VLOOKUP(financials[[#This Row],[ID]],Prices!D:F,3,FALSE)</f>
        <v>20</v>
      </c>
      <c r="I1244" s="1">
        <f ca="1">financials[[#This Row],[Units Sold]]*financials[[#This Row],[Sale Price]]</f>
        <v>19880</v>
      </c>
      <c r="J12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994</v>
      </c>
      <c r="K1244" s="1">
        <f ca="1">financials[[#This Row],[Gross Sales]]-financials[[#This Row],[Discounts]]</f>
        <v>18886</v>
      </c>
      <c r="L1244" s="1">
        <f ca="1">financials[[#This Row],[Units Sold]]*financials[[#This Row],[Manufacturing Price]]</f>
        <v>18886</v>
      </c>
      <c r="M1244" s="1">
        <f ca="1">financials[[#This Row],[Sales]]-financials[[#This Row],[COGS]]</f>
        <v>0</v>
      </c>
      <c r="N1244" s="7">
        <f t="shared" ca="1" si="39"/>
        <v>45339</v>
      </c>
      <c r="O1244" s="8">
        <f ca="1">MONTH(financials[[#This Row],[Date]])</f>
        <v>2</v>
      </c>
      <c r="P1244" s="6" t="str">
        <f ca="1">TEXT(financials[[#This Row],[Date]],"MMM")</f>
        <v>Feb</v>
      </c>
      <c r="Q1244">
        <f ca="1">YEAR(financials[[#This Row],[Date]])</f>
        <v>2024</v>
      </c>
    </row>
    <row r="1245" spans="1:17" x14ac:dyDescent="0.3">
      <c r="A1245" t="s">
        <v>16</v>
      </c>
      <c r="B1245" t="s">
        <v>17</v>
      </c>
      <c r="C1245" s="6" t="s">
        <v>24</v>
      </c>
      <c r="D1245" s="6" t="str">
        <f>CONCATENATE(financials[[#This Row],[Segment]],",",financials[[#This Row],[Country]],",",financials[[#This Row],[Product]])</f>
        <v>Government,Canada,Montana</v>
      </c>
      <c r="E1245" s="6" t="s">
        <v>34</v>
      </c>
      <c r="F1245">
        <f t="shared" ca="1" si="38"/>
        <v>404</v>
      </c>
      <c r="G1245" s="1">
        <f ca="1">VLOOKUP(financials[[#This Row],[ID]],Prices!D:F,2,FALSE)</f>
        <v>12</v>
      </c>
      <c r="H1245" s="1">
        <f ca="1">VLOOKUP(financials[[#This Row],[ID]],Prices!D:F,3,FALSE)</f>
        <v>30</v>
      </c>
      <c r="I1245" s="1">
        <f ca="1">financials[[#This Row],[Units Sold]]*financials[[#This Row],[Sale Price]]</f>
        <v>12120</v>
      </c>
      <c r="J12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606</v>
      </c>
      <c r="K1245" s="1">
        <f ca="1">financials[[#This Row],[Gross Sales]]-financials[[#This Row],[Discounts]]</f>
        <v>11514</v>
      </c>
      <c r="L1245" s="1">
        <f ca="1">financials[[#This Row],[Units Sold]]*financials[[#This Row],[Manufacturing Price]]</f>
        <v>4848</v>
      </c>
      <c r="M1245" s="1">
        <f ca="1">financials[[#This Row],[Sales]]-financials[[#This Row],[COGS]]</f>
        <v>6666</v>
      </c>
      <c r="N1245" s="7">
        <f t="shared" ca="1" si="39"/>
        <v>45185</v>
      </c>
      <c r="O1245" s="8">
        <f ca="1">MONTH(financials[[#This Row],[Date]])</f>
        <v>9</v>
      </c>
      <c r="P1245" s="6" t="str">
        <f ca="1">TEXT(financials[[#This Row],[Date]],"MMM")</f>
        <v>Sep</v>
      </c>
      <c r="Q1245">
        <f ca="1">YEAR(financials[[#This Row],[Date]])</f>
        <v>2023</v>
      </c>
    </row>
    <row r="1246" spans="1:17" x14ac:dyDescent="0.3">
      <c r="A1246" t="s">
        <v>16</v>
      </c>
      <c r="B1246" t="s">
        <v>23</v>
      </c>
      <c r="C1246" s="6" t="s">
        <v>24</v>
      </c>
      <c r="D1246" s="6" t="str">
        <f>CONCATENATE(financials[[#This Row],[Segment]],",",financials[[#This Row],[Country]],",",financials[[#This Row],[Product]])</f>
        <v>Government,Mexico,Montana</v>
      </c>
      <c r="E1246" s="6" t="s">
        <v>34</v>
      </c>
      <c r="F1246">
        <f t="shared" ca="1" si="38"/>
        <v>821</v>
      </c>
      <c r="G1246" s="1">
        <f ca="1">VLOOKUP(financials[[#This Row],[ID]],Prices!D:F,2,FALSE)</f>
        <v>19</v>
      </c>
      <c r="H1246" s="1">
        <f ca="1">VLOOKUP(financials[[#This Row],[ID]],Prices!D:F,3,FALSE)</f>
        <v>20</v>
      </c>
      <c r="I1246" s="1">
        <f ca="1">financials[[#This Row],[Units Sold]]*financials[[#This Row],[Sale Price]]</f>
        <v>16420</v>
      </c>
      <c r="J12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821</v>
      </c>
      <c r="K1246" s="1">
        <f ca="1">financials[[#This Row],[Gross Sales]]-financials[[#This Row],[Discounts]]</f>
        <v>15599</v>
      </c>
      <c r="L1246" s="1">
        <f ca="1">financials[[#This Row],[Units Sold]]*financials[[#This Row],[Manufacturing Price]]</f>
        <v>15599</v>
      </c>
      <c r="M1246" s="1">
        <f ca="1">financials[[#This Row],[Sales]]-financials[[#This Row],[COGS]]</f>
        <v>0</v>
      </c>
      <c r="N1246" s="7">
        <f t="shared" ca="1" si="39"/>
        <v>45443</v>
      </c>
      <c r="O1246" s="8">
        <f ca="1">MONTH(financials[[#This Row],[Date]])</f>
        <v>5</v>
      </c>
      <c r="P1246" s="6" t="str">
        <f ca="1">TEXT(financials[[#This Row],[Date]],"MMM")</f>
        <v>May</v>
      </c>
      <c r="Q1246">
        <f ca="1">YEAR(financials[[#This Row],[Date]])</f>
        <v>2024</v>
      </c>
    </row>
    <row r="1247" spans="1:17" x14ac:dyDescent="0.3">
      <c r="A1247" t="s">
        <v>27</v>
      </c>
      <c r="B1247" t="s">
        <v>22</v>
      </c>
      <c r="C1247" s="6" t="s">
        <v>24</v>
      </c>
      <c r="D1247" s="6" t="str">
        <f>CONCATENATE(financials[[#This Row],[Segment]],",",financials[[#This Row],[Country]],",",financials[[#This Row],[Product]])</f>
        <v>Small Business,France,Montana</v>
      </c>
      <c r="E1247" s="6" t="s">
        <v>34</v>
      </c>
      <c r="F1247">
        <f t="shared" ca="1" si="38"/>
        <v>816</v>
      </c>
      <c r="G1247" s="1">
        <f ca="1">VLOOKUP(financials[[#This Row],[ID]],Prices!D:F,2,FALSE)</f>
        <v>14</v>
      </c>
      <c r="H1247" s="1">
        <f ca="1">VLOOKUP(financials[[#This Row],[ID]],Prices!D:F,3,FALSE)</f>
        <v>35</v>
      </c>
      <c r="I1247" s="1">
        <f ca="1">financials[[#This Row],[Units Sold]]*financials[[#This Row],[Sale Price]]</f>
        <v>28560</v>
      </c>
      <c r="J12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1428</v>
      </c>
      <c r="K1247" s="1">
        <f ca="1">financials[[#This Row],[Gross Sales]]-financials[[#This Row],[Discounts]]</f>
        <v>27132</v>
      </c>
      <c r="L1247" s="1">
        <f ca="1">financials[[#This Row],[Units Sold]]*financials[[#This Row],[Manufacturing Price]]</f>
        <v>11424</v>
      </c>
      <c r="M1247" s="1">
        <f ca="1">financials[[#This Row],[Sales]]-financials[[#This Row],[COGS]]</f>
        <v>15708</v>
      </c>
      <c r="N1247" s="7">
        <f t="shared" ca="1" si="39"/>
        <v>45679</v>
      </c>
      <c r="O1247" s="8">
        <f ca="1">MONTH(financials[[#This Row],[Date]])</f>
        <v>1</v>
      </c>
      <c r="P1247" s="6" t="str">
        <f ca="1">TEXT(financials[[#This Row],[Date]],"MMM")</f>
        <v>Jan</v>
      </c>
      <c r="Q1247">
        <f ca="1">YEAR(financials[[#This Row],[Date]])</f>
        <v>2025</v>
      </c>
    </row>
    <row r="1248" spans="1:17" x14ac:dyDescent="0.3">
      <c r="A1248" t="s">
        <v>27</v>
      </c>
      <c r="B1248" t="s">
        <v>36</v>
      </c>
      <c r="C1248" s="6" t="s">
        <v>28</v>
      </c>
      <c r="D1248" s="6" t="str">
        <f>CONCATENATE(financials[[#This Row],[Segment]],",",financials[[#This Row],[Country]],",",financials[[#This Row],[Product]])</f>
        <v>Small Business,USA,Paseo</v>
      </c>
      <c r="E1248" s="6" t="s">
        <v>34</v>
      </c>
      <c r="F1248">
        <f t="shared" ca="1" si="38"/>
        <v>576</v>
      </c>
      <c r="G1248" s="1">
        <f ca="1">VLOOKUP(financials[[#This Row],[ID]],Prices!D:F,2,FALSE)</f>
        <v>17</v>
      </c>
      <c r="H1248" s="1">
        <f ca="1">VLOOKUP(financials[[#This Row],[ID]],Prices!D:F,3,FALSE)</f>
        <v>23</v>
      </c>
      <c r="I1248" s="1">
        <f ca="1">financials[[#This Row],[Units Sold]]*financials[[#This Row],[Sale Price]]</f>
        <v>13248</v>
      </c>
      <c r="J12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662.40000000000009</v>
      </c>
      <c r="K1248" s="1">
        <f ca="1">financials[[#This Row],[Gross Sales]]-financials[[#This Row],[Discounts]]</f>
        <v>12585.6</v>
      </c>
      <c r="L1248" s="1">
        <f ca="1">financials[[#This Row],[Units Sold]]*financials[[#This Row],[Manufacturing Price]]</f>
        <v>9792</v>
      </c>
      <c r="M1248" s="1">
        <f ca="1">financials[[#This Row],[Sales]]-financials[[#This Row],[COGS]]</f>
        <v>2793.6000000000004</v>
      </c>
      <c r="N1248" s="7">
        <f t="shared" ca="1" si="39"/>
        <v>45549</v>
      </c>
      <c r="O1248" s="8">
        <f ca="1">MONTH(financials[[#This Row],[Date]])</f>
        <v>9</v>
      </c>
      <c r="P1248" s="6" t="str">
        <f ca="1">TEXT(financials[[#This Row],[Date]],"MMM")</f>
        <v>Sep</v>
      </c>
      <c r="Q1248">
        <f ca="1">YEAR(financials[[#This Row],[Date]])</f>
        <v>2024</v>
      </c>
    </row>
    <row r="1249" spans="1:17" x14ac:dyDescent="0.3">
      <c r="A1249" t="s">
        <v>16</v>
      </c>
      <c r="B1249" t="s">
        <v>23</v>
      </c>
      <c r="C1249" s="6" t="s">
        <v>28</v>
      </c>
      <c r="D1249" s="6" t="str">
        <f>CONCATENATE(financials[[#This Row],[Segment]],",",financials[[#This Row],[Country]],",",financials[[#This Row],[Product]])</f>
        <v>Government,Mexico,Paseo</v>
      </c>
      <c r="E1249" s="6" t="s">
        <v>34</v>
      </c>
      <c r="F1249">
        <f t="shared" ca="1" si="38"/>
        <v>892</v>
      </c>
      <c r="G1249" s="1">
        <f ca="1">VLOOKUP(financials[[#This Row],[ID]],Prices!D:F,2,FALSE)</f>
        <v>18</v>
      </c>
      <c r="H1249" s="1">
        <f ca="1">VLOOKUP(financials[[#This Row],[ID]],Prices!D:F,3,FALSE)</f>
        <v>19</v>
      </c>
      <c r="I1249" s="1">
        <f ca="1">financials[[#This Row],[Units Sold]]*financials[[#This Row],[Sale Price]]</f>
        <v>16948</v>
      </c>
      <c r="J12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847.40000000000009</v>
      </c>
      <c r="K1249" s="1">
        <f ca="1">financials[[#This Row],[Gross Sales]]-financials[[#This Row],[Discounts]]</f>
        <v>16100.6</v>
      </c>
      <c r="L1249" s="1">
        <f ca="1">financials[[#This Row],[Units Sold]]*financials[[#This Row],[Manufacturing Price]]</f>
        <v>16056</v>
      </c>
      <c r="M1249" s="1">
        <f ca="1">financials[[#This Row],[Sales]]-financials[[#This Row],[COGS]]</f>
        <v>44.600000000000364</v>
      </c>
      <c r="N1249" s="7">
        <f t="shared" ca="1" si="39"/>
        <v>45232</v>
      </c>
      <c r="O1249" s="8">
        <f ca="1">MONTH(financials[[#This Row],[Date]])</f>
        <v>11</v>
      </c>
      <c r="P1249" s="6" t="str">
        <f ca="1">TEXT(financials[[#This Row],[Date]],"MMM")</f>
        <v>Nov</v>
      </c>
      <c r="Q1249">
        <f ca="1">YEAR(financials[[#This Row],[Date]])</f>
        <v>2023</v>
      </c>
    </row>
    <row r="1250" spans="1:17" x14ac:dyDescent="0.3">
      <c r="A1250" t="s">
        <v>26</v>
      </c>
      <c r="B1250" t="s">
        <v>23</v>
      </c>
      <c r="C1250" s="6" t="s">
        <v>28</v>
      </c>
      <c r="D1250" s="6" t="str">
        <f>CONCATENATE(financials[[#This Row],[Segment]],",",financials[[#This Row],[Country]],",",financials[[#This Row],[Product]])</f>
        <v>Enterprise,Mexico,Paseo</v>
      </c>
      <c r="E1250" s="6" t="s">
        <v>34</v>
      </c>
      <c r="F1250">
        <f t="shared" ca="1" si="38"/>
        <v>990</v>
      </c>
      <c r="G1250" s="1">
        <f ca="1">VLOOKUP(financials[[#This Row],[ID]],Prices!D:F,2,FALSE)</f>
        <v>17</v>
      </c>
      <c r="H1250" s="1">
        <f ca="1">VLOOKUP(financials[[#This Row],[ID]],Prices!D:F,3,FALSE)</f>
        <v>27</v>
      </c>
      <c r="I1250" s="1">
        <f ca="1">financials[[#This Row],[Units Sold]]*financials[[#This Row],[Sale Price]]</f>
        <v>26730</v>
      </c>
      <c r="J12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1336.5</v>
      </c>
      <c r="K1250" s="1">
        <f ca="1">financials[[#This Row],[Gross Sales]]-financials[[#This Row],[Discounts]]</f>
        <v>25393.5</v>
      </c>
      <c r="L1250" s="1">
        <f ca="1">financials[[#This Row],[Units Sold]]*financials[[#This Row],[Manufacturing Price]]</f>
        <v>16830</v>
      </c>
      <c r="M1250" s="1">
        <f ca="1">financials[[#This Row],[Sales]]-financials[[#This Row],[COGS]]</f>
        <v>8563.5</v>
      </c>
      <c r="N1250" s="7">
        <f t="shared" ca="1" si="39"/>
        <v>45152</v>
      </c>
      <c r="O1250" s="8">
        <f ca="1">MONTH(financials[[#This Row],[Date]])</f>
        <v>8</v>
      </c>
      <c r="P1250" s="6" t="str">
        <f ca="1">TEXT(financials[[#This Row],[Date]],"MMM")</f>
        <v>Aug</v>
      </c>
      <c r="Q1250">
        <f ca="1">YEAR(financials[[#This Row],[Date]])</f>
        <v>2023</v>
      </c>
    </row>
    <row r="1251" spans="1:17" x14ac:dyDescent="0.3">
      <c r="A1251" t="s">
        <v>16</v>
      </c>
      <c r="B1251" t="s">
        <v>23</v>
      </c>
      <c r="C1251" s="6" t="s">
        <v>28</v>
      </c>
      <c r="D1251" s="6" t="str">
        <f>CONCATENATE(financials[[#This Row],[Segment]],",",financials[[#This Row],[Country]],",",financials[[#This Row],[Product]])</f>
        <v>Government,Mexico,Paseo</v>
      </c>
      <c r="E1251" s="6" t="s">
        <v>34</v>
      </c>
      <c r="F1251">
        <f t="shared" ca="1" si="38"/>
        <v>474</v>
      </c>
      <c r="G1251" s="1">
        <f ca="1">VLOOKUP(financials[[#This Row],[ID]],Prices!D:F,2,FALSE)</f>
        <v>18</v>
      </c>
      <c r="H1251" s="1">
        <f ca="1">VLOOKUP(financials[[#This Row],[ID]],Prices!D:F,3,FALSE)</f>
        <v>19</v>
      </c>
      <c r="I1251" s="1">
        <f ca="1">financials[[#This Row],[Units Sold]]*financials[[#This Row],[Sale Price]]</f>
        <v>9006</v>
      </c>
      <c r="J12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450.3</v>
      </c>
      <c r="K1251" s="1">
        <f ca="1">financials[[#This Row],[Gross Sales]]-financials[[#This Row],[Discounts]]</f>
        <v>8555.7000000000007</v>
      </c>
      <c r="L1251" s="1">
        <f ca="1">financials[[#This Row],[Units Sold]]*financials[[#This Row],[Manufacturing Price]]</f>
        <v>8532</v>
      </c>
      <c r="M1251" s="1">
        <f ca="1">financials[[#This Row],[Sales]]-financials[[#This Row],[COGS]]</f>
        <v>23.700000000000728</v>
      </c>
      <c r="N1251" s="7">
        <f t="shared" ca="1" si="39"/>
        <v>45498</v>
      </c>
      <c r="O1251" s="8">
        <f ca="1">MONTH(financials[[#This Row],[Date]])</f>
        <v>7</v>
      </c>
      <c r="P1251" s="6" t="str">
        <f ca="1">TEXT(financials[[#This Row],[Date]],"MMM")</f>
        <v>Jul</v>
      </c>
      <c r="Q1251">
        <f ca="1">YEAR(financials[[#This Row],[Date]])</f>
        <v>2024</v>
      </c>
    </row>
    <row r="1252" spans="1:17" x14ac:dyDescent="0.3">
      <c r="A1252" t="s">
        <v>16</v>
      </c>
      <c r="B1252" t="s">
        <v>23</v>
      </c>
      <c r="C1252" s="6" t="s">
        <v>28</v>
      </c>
      <c r="D1252" s="6" t="str">
        <f>CONCATENATE(financials[[#This Row],[Segment]],",",financials[[#This Row],[Country]],",",financials[[#This Row],[Product]])</f>
        <v>Government,Mexico,Paseo</v>
      </c>
      <c r="E1252" s="6" t="s">
        <v>34</v>
      </c>
      <c r="F1252">
        <f t="shared" ca="1" si="38"/>
        <v>818</v>
      </c>
      <c r="G1252" s="1">
        <f ca="1">VLOOKUP(financials[[#This Row],[ID]],Prices!D:F,2,FALSE)</f>
        <v>18</v>
      </c>
      <c r="H1252" s="1">
        <f ca="1">VLOOKUP(financials[[#This Row],[ID]],Prices!D:F,3,FALSE)</f>
        <v>19</v>
      </c>
      <c r="I1252" s="1">
        <f ca="1">financials[[#This Row],[Units Sold]]*financials[[#This Row],[Sale Price]]</f>
        <v>15542</v>
      </c>
      <c r="J12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777.1</v>
      </c>
      <c r="K1252" s="1">
        <f ca="1">financials[[#This Row],[Gross Sales]]-financials[[#This Row],[Discounts]]</f>
        <v>14764.9</v>
      </c>
      <c r="L1252" s="1">
        <f ca="1">financials[[#This Row],[Units Sold]]*financials[[#This Row],[Manufacturing Price]]</f>
        <v>14724</v>
      </c>
      <c r="M1252" s="1">
        <f ca="1">financials[[#This Row],[Sales]]-financials[[#This Row],[COGS]]</f>
        <v>40.899999999999636</v>
      </c>
      <c r="N1252" s="7">
        <f t="shared" ca="1" si="39"/>
        <v>45586</v>
      </c>
      <c r="O1252" s="8">
        <f ca="1">MONTH(financials[[#This Row],[Date]])</f>
        <v>10</v>
      </c>
      <c r="P1252" s="6" t="str">
        <f ca="1">TEXT(financials[[#This Row],[Date]],"MMM")</f>
        <v>Oct</v>
      </c>
      <c r="Q1252">
        <f ca="1">YEAR(financials[[#This Row],[Date]])</f>
        <v>2024</v>
      </c>
    </row>
    <row r="1253" spans="1:17" x14ac:dyDescent="0.3">
      <c r="A1253" t="s">
        <v>16</v>
      </c>
      <c r="B1253" t="s">
        <v>22</v>
      </c>
      <c r="C1253" s="6" t="s">
        <v>28</v>
      </c>
      <c r="D1253" s="6" t="str">
        <f>CONCATENATE(financials[[#This Row],[Segment]],",",financials[[#This Row],[Country]],",",financials[[#This Row],[Product]])</f>
        <v>Government,France,Paseo</v>
      </c>
      <c r="E1253" s="6" t="s">
        <v>34</v>
      </c>
      <c r="F1253">
        <f t="shared" ca="1" si="38"/>
        <v>939</v>
      </c>
      <c r="G1253" s="1">
        <f ca="1">VLOOKUP(financials[[#This Row],[ID]],Prices!D:F,2,FALSE)</f>
        <v>14</v>
      </c>
      <c r="H1253" s="1">
        <f ca="1">VLOOKUP(financials[[#This Row],[ID]],Prices!D:F,3,FALSE)</f>
        <v>18</v>
      </c>
      <c r="I1253" s="1">
        <f ca="1">financials[[#This Row],[Units Sold]]*financials[[#This Row],[Sale Price]]</f>
        <v>16902</v>
      </c>
      <c r="J12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845.1</v>
      </c>
      <c r="K1253" s="1">
        <f ca="1">financials[[#This Row],[Gross Sales]]-financials[[#This Row],[Discounts]]</f>
        <v>16056.9</v>
      </c>
      <c r="L1253" s="1">
        <f ca="1">financials[[#This Row],[Units Sold]]*financials[[#This Row],[Manufacturing Price]]</f>
        <v>13146</v>
      </c>
      <c r="M1253" s="1">
        <f ca="1">financials[[#This Row],[Sales]]-financials[[#This Row],[COGS]]</f>
        <v>2910.8999999999996</v>
      </c>
      <c r="N1253" s="7">
        <f t="shared" ca="1" si="39"/>
        <v>45240</v>
      </c>
      <c r="O1253" s="8">
        <f ca="1">MONTH(financials[[#This Row],[Date]])</f>
        <v>11</v>
      </c>
      <c r="P1253" s="6" t="str">
        <f ca="1">TEXT(financials[[#This Row],[Date]],"MMM")</f>
        <v>Nov</v>
      </c>
      <c r="Q1253">
        <f ca="1">YEAR(financials[[#This Row],[Date]])</f>
        <v>2023</v>
      </c>
    </row>
    <row r="1254" spans="1:17" x14ac:dyDescent="0.3">
      <c r="A1254" t="s">
        <v>27</v>
      </c>
      <c r="B1254" t="s">
        <v>20</v>
      </c>
      <c r="C1254" s="6" t="s">
        <v>28</v>
      </c>
      <c r="D1254" s="6" t="str">
        <f>CONCATENATE(financials[[#This Row],[Segment]],",",financials[[#This Row],[Country]],",",financials[[#This Row],[Product]])</f>
        <v>Small Business,Germany,Paseo</v>
      </c>
      <c r="E1254" s="6" t="s">
        <v>34</v>
      </c>
      <c r="F1254">
        <f t="shared" ca="1" si="38"/>
        <v>482</v>
      </c>
      <c r="G1254" s="1">
        <f ca="1">VLOOKUP(financials[[#This Row],[ID]],Prices!D:F,2,FALSE)</f>
        <v>19</v>
      </c>
      <c r="H1254" s="1">
        <f ca="1">VLOOKUP(financials[[#This Row],[ID]],Prices!D:F,3,FALSE)</f>
        <v>25</v>
      </c>
      <c r="I1254" s="1">
        <f ca="1">financials[[#This Row],[Units Sold]]*financials[[#This Row],[Sale Price]]</f>
        <v>12050</v>
      </c>
      <c r="J12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602.5</v>
      </c>
      <c r="K1254" s="1">
        <f ca="1">financials[[#This Row],[Gross Sales]]-financials[[#This Row],[Discounts]]</f>
        <v>11447.5</v>
      </c>
      <c r="L1254" s="1">
        <f ca="1">financials[[#This Row],[Units Sold]]*financials[[#This Row],[Manufacturing Price]]</f>
        <v>9158</v>
      </c>
      <c r="M1254" s="1">
        <f ca="1">financials[[#This Row],[Sales]]-financials[[#This Row],[COGS]]</f>
        <v>2289.5</v>
      </c>
      <c r="N1254" s="7">
        <f t="shared" ca="1" si="39"/>
        <v>45457</v>
      </c>
      <c r="O1254" s="8">
        <f ca="1">MONTH(financials[[#This Row],[Date]])</f>
        <v>6</v>
      </c>
      <c r="P1254" s="6" t="str">
        <f ca="1">TEXT(financials[[#This Row],[Date]],"MMM")</f>
        <v>Jun</v>
      </c>
      <c r="Q1254">
        <f ca="1">YEAR(financials[[#This Row],[Date]])</f>
        <v>2024</v>
      </c>
    </row>
    <row r="1255" spans="1:17" x14ac:dyDescent="0.3">
      <c r="A1255" t="s">
        <v>27</v>
      </c>
      <c r="B1255" t="s">
        <v>23</v>
      </c>
      <c r="C1255" s="6" t="s">
        <v>28</v>
      </c>
      <c r="D1255" s="6" t="str">
        <f>CONCATENATE(financials[[#This Row],[Segment]],",",financials[[#This Row],[Country]],",",financials[[#This Row],[Product]])</f>
        <v>Small Business,Mexico,Paseo</v>
      </c>
      <c r="E1255" s="6" t="s">
        <v>34</v>
      </c>
      <c r="F1255">
        <f t="shared" ca="1" si="38"/>
        <v>323</v>
      </c>
      <c r="G1255" s="1">
        <f ca="1">VLOOKUP(financials[[#This Row],[ID]],Prices!D:F,2,FALSE)</f>
        <v>20</v>
      </c>
      <c r="H1255" s="1">
        <f ca="1">VLOOKUP(financials[[#This Row],[ID]],Prices!D:F,3,FALSE)</f>
        <v>20</v>
      </c>
      <c r="I1255" s="1">
        <f ca="1">financials[[#This Row],[Units Sold]]*financials[[#This Row],[Sale Price]]</f>
        <v>6460</v>
      </c>
      <c r="J12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323</v>
      </c>
      <c r="K1255" s="1">
        <f ca="1">financials[[#This Row],[Gross Sales]]-financials[[#This Row],[Discounts]]</f>
        <v>6137</v>
      </c>
      <c r="L1255" s="1">
        <f ca="1">financials[[#This Row],[Units Sold]]*financials[[#This Row],[Manufacturing Price]]</f>
        <v>6460</v>
      </c>
      <c r="M1255" s="1">
        <f ca="1">financials[[#This Row],[Sales]]-financials[[#This Row],[COGS]]</f>
        <v>-323</v>
      </c>
      <c r="N1255" s="7">
        <f t="shared" ca="1" si="39"/>
        <v>45299</v>
      </c>
      <c r="O1255" s="8">
        <f ca="1">MONTH(financials[[#This Row],[Date]])</f>
        <v>1</v>
      </c>
      <c r="P1255" s="6" t="str">
        <f ca="1">TEXT(financials[[#This Row],[Date]],"MMM")</f>
        <v>Jan</v>
      </c>
      <c r="Q1255">
        <f ca="1">YEAR(financials[[#This Row],[Date]])</f>
        <v>2024</v>
      </c>
    </row>
    <row r="1256" spans="1:17" x14ac:dyDescent="0.3">
      <c r="A1256" t="s">
        <v>16</v>
      </c>
      <c r="B1256" t="s">
        <v>23</v>
      </c>
      <c r="C1256" s="6" t="s">
        <v>28</v>
      </c>
      <c r="D1256" s="6" t="str">
        <f>CONCATENATE(financials[[#This Row],[Segment]],",",financials[[#This Row],[Country]],",",financials[[#This Row],[Product]])</f>
        <v>Government,Mexico,Paseo</v>
      </c>
      <c r="E1256" s="6" t="s">
        <v>34</v>
      </c>
      <c r="F1256">
        <f t="shared" ca="1" si="38"/>
        <v>936</v>
      </c>
      <c r="G1256" s="1">
        <f ca="1">VLOOKUP(financials[[#This Row],[ID]],Prices!D:F,2,FALSE)</f>
        <v>18</v>
      </c>
      <c r="H1256" s="1">
        <f ca="1">VLOOKUP(financials[[#This Row],[ID]],Prices!D:F,3,FALSE)</f>
        <v>19</v>
      </c>
      <c r="I1256" s="1">
        <f ca="1">financials[[#This Row],[Units Sold]]*financials[[#This Row],[Sale Price]]</f>
        <v>17784</v>
      </c>
      <c r="J12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889.2</v>
      </c>
      <c r="K1256" s="1">
        <f ca="1">financials[[#This Row],[Gross Sales]]-financials[[#This Row],[Discounts]]</f>
        <v>16894.8</v>
      </c>
      <c r="L1256" s="1">
        <f ca="1">financials[[#This Row],[Units Sold]]*financials[[#This Row],[Manufacturing Price]]</f>
        <v>16848</v>
      </c>
      <c r="M1256" s="1">
        <f ca="1">financials[[#This Row],[Sales]]-financials[[#This Row],[COGS]]</f>
        <v>46.799999999999272</v>
      </c>
      <c r="N1256" s="7">
        <f t="shared" ca="1" si="39"/>
        <v>45096</v>
      </c>
      <c r="O1256" s="8">
        <f ca="1">MONTH(financials[[#This Row],[Date]])</f>
        <v>6</v>
      </c>
      <c r="P1256" s="6" t="str">
        <f ca="1">TEXT(financials[[#This Row],[Date]],"MMM")</f>
        <v>Jun</v>
      </c>
      <c r="Q1256">
        <f ca="1">YEAR(financials[[#This Row],[Date]])</f>
        <v>2023</v>
      </c>
    </row>
    <row r="1257" spans="1:17" x14ac:dyDescent="0.3">
      <c r="A1257" t="s">
        <v>21</v>
      </c>
      <c r="B1257" t="s">
        <v>23</v>
      </c>
      <c r="C1257" s="6" t="s">
        <v>28</v>
      </c>
      <c r="D1257" s="6" t="str">
        <f>CONCATENATE(financials[[#This Row],[Segment]],",",financials[[#This Row],[Country]],",",financials[[#This Row],[Product]])</f>
        <v>Midmarket,Mexico,Paseo</v>
      </c>
      <c r="E1257" s="6" t="s">
        <v>34</v>
      </c>
      <c r="F1257">
        <f t="shared" ca="1" si="38"/>
        <v>75</v>
      </c>
      <c r="G1257" s="1">
        <f ca="1">VLOOKUP(financials[[#This Row],[ID]],Prices!D:F,2,FALSE)</f>
        <v>11</v>
      </c>
      <c r="H1257" s="1">
        <f ca="1">VLOOKUP(financials[[#This Row],[ID]],Prices!D:F,3,FALSE)</f>
        <v>21</v>
      </c>
      <c r="I1257" s="1">
        <f ca="1">financials[[#This Row],[Units Sold]]*financials[[#This Row],[Sale Price]]</f>
        <v>1575</v>
      </c>
      <c r="J12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78.75</v>
      </c>
      <c r="K1257" s="1">
        <f ca="1">financials[[#This Row],[Gross Sales]]-financials[[#This Row],[Discounts]]</f>
        <v>1496.25</v>
      </c>
      <c r="L1257" s="1">
        <f ca="1">financials[[#This Row],[Units Sold]]*financials[[#This Row],[Manufacturing Price]]</f>
        <v>825</v>
      </c>
      <c r="M1257" s="1">
        <f ca="1">financials[[#This Row],[Sales]]-financials[[#This Row],[COGS]]</f>
        <v>671.25</v>
      </c>
      <c r="N1257" s="7">
        <f t="shared" ca="1" si="39"/>
        <v>45711</v>
      </c>
      <c r="O1257" s="8">
        <f ca="1">MONTH(financials[[#This Row],[Date]])</f>
        <v>2</v>
      </c>
      <c r="P1257" s="6" t="str">
        <f ca="1">TEXT(financials[[#This Row],[Date]],"MMM")</f>
        <v>Feb</v>
      </c>
      <c r="Q1257">
        <f ca="1">YEAR(financials[[#This Row],[Date]])</f>
        <v>2025</v>
      </c>
    </row>
    <row r="1258" spans="1:17" x14ac:dyDescent="0.3">
      <c r="A1258" t="s">
        <v>16</v>
      </c>
      <c r="B1258" t="s">
        <v>23</v>
      </c>
      <c r="C1258" s="6" t="s">
        <v>28</v>
      </c>
      <c r="D1258" s="6" t="str">
        <f>CONCATENATE(financials[[#This Row],[Segment]],",",financials[[#This Row],[Country]],",",financials[[#This Row],[Product]])</f>
        <v>Government,Mexico,Paseo</v>
      </c>
      <c r="E1258" s="6" t="s">
        <v>34</v>
      </c>
      <c r="F1258">
        <f t="shared" ca="1" si="38"/>
        <v>330</v>
      </c>
      <c r="G1258" s="1">
        <f ca="1">VLOOKUP(financials[[#This Row],[ID]],Prices!D:F,2,FALSE)</f>
        <v>18</v>
      </c>
      <c r="H1258" s="1">
        <f ca="1">VLOOKUP(financials[[#This Row],[ID]],Prices!D:F,3,FALSE)</f>
        <v>19</v>
      </c>
      <c r="I1258" s="1">
        <f ca="1">financials[[#This Row],[Units Sold]]*financials[[#This Row],[Sale Price]]</f>
        <v>6270</v>
      </c>
      <c r="J12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313.5</v>
      </c>
      <c r="K1258" s="1">
        <f ca="1">financials[[#This Row],[Gross Sales]]-financials[[#This Row],[Discounts]]</f>
        <v>5956.5</v>
      </c>
      <c r="L1258" s="1">
        <f ca="1">financials[[#This Row],[Units Sold]]*financials[[#This Row],[Manufacturing Price]]</f>
        <v>5940</v>
      </c>
      <c r="M1258" s="1">
        <f ca="1">financials[[#This Row],[Sales]]-financials[[#This Row],[COGS]]</f>
        <v>16.5</v>
      </c>
      <c r="N1258" s="7">
        <f t="shared" ca="1" si="39"/>
        <v>45054</v>
      </c>
      <c r="O1258" s="8">
        <f ca="1">MONTH(financials[[#This Row],[Date]])</f>
        <v>5</v>
      </c>
      <c r="P1258" s="6" t="str">
        <f ca="1">TEXT(financials[[#This Row],[Date]],"MMM")</f>
        <v>May</v>
      </c>
      <c r="Q1258">
        <f ca="1">YEAR(financials[[#This Row],[Date]])</f>
        <v>2023</v>
      </c>
    </row>
    <row r="1259" spans="1:17" x14ac:dyDescent="0.3">
      <c r="A1259" t="s">
        <v>16</v>
      </c>
      <c r="B1259" t="s">
        <v>23</v>
      </c>
      <c r="C1259" s="6" t="s">
        <v>29</v>
      </c>
      <c r="D1259" s="6" t="str">
        <f>CONCATENATE(financials[[#This Row],[Segment]],",",financials[[#This Row],[Country]],",",financials[[#This Row],[Product]])</f>
        <v>Government,Mexico,Velo</v>
      </c>
      <c r="E1259" s="6" t="s">
        <v>34</v>
      </c>
      <c r="F1259">
        <f t="shared" ca="1" si="38"/>
        <v>189</v>
      </c>
      <c r="G1259" s="1">
        <f ca="1">VLOOKUP(financials[[#This Row],[ID]],Prices!D:F,2,FALSE)</f>
        <v>18</v>
      </c>
      <c r="H1259" s="1">
        <f ca="1">VLOOKUP(financials[[#This Row],[ID]],Prices!D:F,3,FALSE)</f>
        <v>36</v>
      </c>
      <c r="I1259" s="1">
        <f ca="1">financials[[#This Row],[Units Sold]]*financials[[#This Row],[Sale Price]]</f>
        <v>6804</v>
      </c>
      <c r="J12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340.20000000000005</v>
      </c>
      <c r="K1259" s="1">
        <f ca="1">financials[[#This Row],[Gross Sales]]-financials[[#This Row],[Discounts]]</f>
        <v>6463.8</v>
      </c>
      <c r="L1259" s="1">
        <f ca="1">financials[[#This Row],[Units Sold]]*financials[[#This Row],[Manufacturing Price]]</f>
        <v>3402</v>
      </c>
      <c r="M1259" s="1">
        <f ca="1">financials[[#This Row],[Sales]]-financials[[#This Row],[COGS]]</f>
        <v>3061.8</v>
      </c>
      <c r="N1259" s="7">
        <f t="shared" ca="1" si="39"/>
        <v>45184</v>
      </c>
      <c r="O1259" s="8">
        <f ca="1">MONTH(financials[[#This Row],[Date]])</f>
        <v>9</v>
      </c>
      <c r="P1259" s="6" t="str">
        <f ca="1">TEXT(financials[[#This Row],[Date]],"MMM")</f>
        <v>Sep</v>
      </c>
      <c r="Q1259">
        <f ca="1">YEAR(financials[[#This Row],[Date]])</f>
        <v>2023</v>
      </c>
    </row>
    <row r="1260" spans="1:17" x14ac:dyDescent="0.3">
      <c r="A1260" t="s">
        <v>16</v>
      </c>
      <c r="B1260" t="s">
        <v>36</v>
      </c>
      <c r="C1260" s="6" t="s">
        <v>29</v>
      </c>
      <c r="D1260" s="6" t="str">
        <f>CONCATENATE(financials[[#This Row],[Segment]],",",financials[[#This Row],[Country]],",",financials[[#This Row],[Product]])</f>
        <v>Government,USA,Velo</v>
      </c>
      <c r="E1260" s="6" t="s">
        <v>34</v>
      </c>
      <c r="F1260">
        <f t="shared" ca="1" si="38"/>
        <v>594</v>
      </c>
      <c r="G1260" s="1">
        <f ca="1">VLOOKUP(financials[[#This Row],[ID]],Prices!D:F,2,FALSE)</f>
        <v>18</v>
      </c>
      <c r="H1260" s="1">
        <f ca="1">VLOOKUP(financials[[#This Row],[ID]],Prices!D:F,3,FALSE)</f>
        <v>38</v>
      </c>
      <c r="I1260" s="1">
        <f ca="1">financials[[#This Row],[Units Sold]]*financials[[#This Row],[Sale Price]]</f>
        <v>22572</v>
      </c>
      <c r="J12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1128.6000000000001</v>
      </c>
      <c r="K1260" s="1">
        <f ca="1">financials[[#This Row],[Gross Sales]]-financials[[#This Row],[Discounts]]</f>
        <v>21443.4</v>
      </c>
      <c r="L1260" s="1">
        <f ca="1">financials[[#This Row],[Units Sold]]*financials[[#This Row],[Manufacturing Price]]</f>
        <v>10692</v>
      </c>
      <c r="M1260" s="1">
        <f ca="1">financials[[#This Row],[Sales]]-financials[[#This Row],[COGS]]</f>
        <v>10751.400000000001</v>
      </c>
      <c r="N1260" s="7">
        <f t="shared" ca="1" si="39"/>
        <v>45543</v>
      </c>
      <c r="O1260" s="8">
        <f ca="1">MONTH(financials[[#This Row],[Date]])</f>
        <v>9</v>
      </c>
      <c r="P1260" s="6" t="str">
        <f ca="1">TEXT(financials[[#This Row],[Date]],"MMM")</f>
        <v>Sep</v>
      </c>
      <c r="Q1260">
        <f ca="1">YEAR(financials[[#This Row],[Date]])</f>
        <v>2024</v>
      </c>
    </row>
    <row r="1261" spans="1:17" x14ac:dyDescent="0.3">
      <c r="A1261" t="s">
        <v>16</v>
      </c>
      <c r="B1261" t="s">
        <v>23</v>
      </c>
      <c r="C1261" s="6" t="s">
        <v>29</v>
      </c>
      <c r="D1261" s="6" t="str">
        <f>CONCATENATE(financials[[#This Row],[Segment]],",",financials[[#This Row],[Country]],",",financials[[#This Row],[Product]])</f>
        <v>Government,Mexico,Velo</v>
      </c>
      <c r="E1261" s="6" t="s">
        <v>34</v>
      </c>
      <c r="F1261">
        <f t="shared" ca="1" si="38"/>
        <v>763</v>
      </c>
      <c r="G1261" s="1">
        <f ca="1">VLOOKUP(financials[[#This Row],[ID]],Prices!D:F,2,FALSE)</f>
        <v>18</v>
      </c>
      <c r="H1261" s="1">
        <f ca="1">VLOOKUP(financials[[#This Row],[ID]],Prices!D:F,3,FALSE)</f>
        <v>36</v>
      </c>
      <c r="I1261" s="1">
        <f ca="1">financials[[#This Row],[Units Sold]]*financials[[#This Row],[Sale Price]]</f>
        <v>27468</v>
      </c>
      <c r="J12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1373.4</v>
      </c>
      <c r="K1261" s="1">
        <f ca="1">financials[[#This Row],[Gross Sales]]-financials[[#This Row],[Discounts]]</f>
        <v>26094.6</v>
      </c>
      <c r="L1261" s="1">
        <f ca="1">financials[[#This Row],[Units Sold]]*financials[[#This Row],[Manufacturing Price]]</f>
        <v>13734</v>
      </c>
      <c r="M1261" s="1">
        <f ca="1">financials[[#This Row],[Sales]]-financials[[#This Row],[COGS]]</f>
        <v>12360.599999999999</v>
      </c>
      <c r="N1261" s="7">
        <f t="shared" ca="1" si="39"/>
        <v>45660</v>
      </c>
      <c r="O1261" s="8">
        <f ca="1">MONTH(financials[[#This Row],[Date]])</f>
        <v>1</v>
      </c>
      <c r="P1261" s="6" t="str">
        <f ca="1">TEXT(financials[[#This Row],[Date]],"MMM")</f>
        <v>Jan</v>
      </c>
      <c r="Q1261">
        <f ca="1">YEAR(financials[[#This Row],[Date]])</f>
        <v>2025</v>
      </c>
    </row>
    <row r="1262" spans="1:17" x14ac:dyDescent="0.3">
      <c r="A1262" t="s">
        <v>25</v>
      </c>
      <c r="B1262" t="s">
        <v>17</v>
      </c>
      <c r="C1262" s="6" t="s">
        <v>30</v>
      </c>
      <c r="D1262" s="6" t="str">
        <f>CONCATENATE(financials[[#This Row],[Segment]],",",financials[[#This Row],[Country]],",",financials[[#This Row],[Product]])</f>
        <v>Channel Partners,Canada,VTT</v>
      </c>
      <c r="E1262" s="6" t="s">
        <v>34</v>
      </c>
      <c r="F1262">
        <f t="shared" ca="1" si="38"/>
        <v>154</v>
      </c>
      <c r="G1262" s="1">
        <f ca="1">VLOOKUP(financials[[#This Row],[ID]],Prices!D:F,2,FALSE)</f>
        <v>12</v>
      </c>
      <c r="H1262" s="1">
        <f ca="1">VLOOKUP(financials[[#This Row],[ID]],Prices!D:F,3,FALSE)</f>
        <v>27</v>
      </c>
      <c r="I1262" s="1">
        <f ca="1">financials[[#This Row],[Units Sold]]*financials[[#This Row],[Sale Price]]</f>
        <v>4158</v>
      </c>
      <c r="J12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207.9</v>
      </c>
      <c r="K1262" s="1">
        <f ca="1">financials[[#This Row],[Gross Sales]]-financials[[#This Row],[Discounts]]</f>
        <v>3950.1</v>
      </c>
      <c r="L1262" s="1">
        <f ca="1">financials[[#This Row],[Units Sold]]*financials[[#This Row],[Manufacturing Price]]</f>
        <v>1848</v>
      </c>
      <c r="M1262" s="1">
        <f ca="1">financials[[#This Row],[Sales]]-financials[[#This Row],[COGS]]</f>
        <v>2102.1</v>
      </c>
      <c r="N1262" s="7">
        <f t="shared" ca="1" si="39"/>
        <v>45631</v>
      </c>
      <c r="O1262" s="8">
        <f ca="1">MONTH(financials[[#This Row],[Date]])</f>
        <v>12</v>
      </c>
      <c r="P1262" s="6" t="str">
        <f ca="1">TEXT(financials[[#This Row],[Date]],"MMM")</f>
        <v>Dec</v>
      </c>
      <c r="Q1262">
        <f ca="1">YEAR(financials[[#This Row],[Date]])</f>
        <v>2024</v>
      </c>
    </row>
    <row r="1263" spans="1:17" x14ac:dyDescent="0.3">
      <c r="A1263" t="s">
        <v>21</v>
      </c>
      <c r="B1263" t="s">
        <v>22</v>
      </c>
      <c r="C1263" s="6" t="s">
        <v>30</v>
      </c>
      <c r="D1263" s="6" t="str">
        <f>CONCATENATE(financials[[#This Row],[Segment]],",",financials[[#This Row],[Country]],",",financials[[#This Row],[Product]])</f>
        <v>Midmarket,France,VTT</v>
      </c>
      <c r="E1263" s="6" t="s">
        <v>34</v>
      </c>
      <c r="F1263">
        <f t="shared" ca="1" si="38"/>
        <v>811</v>
      </c>
      <c r="G1263" s="1">
        <f ca="1">VLOOKUP(financials[[#This Row],[ID]],Prices!D:F,2,FALSE)</f>
        <v>11</v>
      </c>
      <c r="H1263" s="1">
        <f ca="1">VLOOKUP(financials[[#This Row],[ID]],Prices!D:F,3,FALSE)</f>
        <v>25</v>
      </c>
      <c r="I1263" s="1">
        <f ca="1">financials[[#This Row],[Units Sold]]*financials[[#This Row],[Sale Price]]</f>
        <v>20275</v>
      </c>
      <c r="J12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1013.75</v>
      </c>
      <c r="K1263" s="1">
        <f ca="1">financials[[#This Row],[Gross Sales]]-financials[[#This Row],[Discounts]]</f>
        <v>19261.25</v>
      </c>
      <c r="L1263" s="1">
        <f ca="1">financials[[#This Row],[Units Sold]]*financials[[#This Row],[Manufacturing Price]]</f>
        <v>8921</v>
      </c>
      <c r="M1263" s="1">
        <f ca="1">financials[[#This Row],[Sales]]-financials[[#This Row],[COGS]]</f>
        <v>10340.25</v>
      </c>
      <c r="N1263" s="7">
        <f t="shared" ca="1" si="39"/>
        <v>45392</v>
      </c>
      <c r="O1263" s="8">
        <f ca="1">MONTH(financials[[#This Row],[Date]])</f>
        <v>4</v>
      </c>
      <c r="P1263" s="6" t="str">
        <f ca="1">TEXT(financials[[#This Row],[Date]],"MMM")</f>
        <v>Apr</v>
      </c>
      <c r="Q1263">
        <f ca="1">YEAR(financials[[#This Row],[Date]])</f>
        <v>2024</v>
      </c>
    </row>
    <row r="1264" spans="1:17" x14ac:dyDescent="0.3">
      <c r="A1264" t="s">
        <v>16</v>
      </c>
      <c r="B1264" t="s">
        <v>17</v>
      </c>
      <c r="C1264" s="6" t="s">
        <v>30</v>
      </c>
      <c r="D1264" s="6" t="str">
        <f>CONCATENATE(financials[[#This Row],[Segment]],",",financials[[#This Row],[Country]],",",financials[[#This Row],[Product]])</f>
        <v>Government,Canada,VTT</v>
      </c>
      <c r="E1264" s="6" t="s">
        <v>34</v>
      </c>
      <c r="F1264">
        <f t="shared" ca="1" si="38"/>
        <v>499</v>
      </c>
      <c r="G1264" s="1">
        <f ca="1">VLOOKUP(financials[[#This Row],[ID]],Prices!D:F,2,FALSE)</f>
        <v>17</v>
      </c>
      <c r="H1264" s="1">
        <f ca="1">VLOOKUP(financials[[#This Row],[ID]],Prices!D:F,3,FALSE)</f>
        <v>38</v>
      </c>
      <c r="I1264" s="1">
        <f ca="1">financials[[#This Row],[Units Sold]]*financials[[#This Row],[Sale Price]]</f>
        <v>18962</v>
      </c>
      <c r="J12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948.1</v>
      </c>
      <c r="K1264" s="1">
        <f ca="1">financials[[#This Row],[Gross Sales]]-financials[[#This Row],[Discounts]]</f>
        <v>18013.900000000001</v>
      </c>
      <c r="L1264" s="1">
        <f ca="1">financials[[#This Row],[Units Sold]]*financials[[#This Row],[Manufacturing Price]]</f>
        <v>8483</v>
      </c>
      <c r="M1264" s="1">
        <f ca="1">financials[[#This Row],[Sales]]-financials[[#This Row],[COGS]]</f>
        <v>9530.9000000000015</v>
      </c>
      <c r="N1264" s="7">
        <f t="shared" ca="1" si="39"/>
        <v>45648</v>
      </c>
      <c r="O1264" s="8">
        <f ca="1">MONTH(financials[[#This Row],[Date]])</f>
        <v>12</v>
      </c>
      <c r="P1264" s="6" t="str">
        <f ca="1">TEXT(financials[[#This Row],[Date]],"MMM")</f>
        <v>Dec</v>
      </c>
      <c r="Q1264">
        <f ca="1">YEAR(financials[[#This Row],[Date]])</f>
        <v>2024</v>
      </c>
    </row>
    <row r="1265" spans="1:17" x14ac:dyDescent="0.3">
      <c r="A1265" t="s">
        <v>16</v>
      </c>
      <c r="B1265" t="s">
        <v>36</v>
      </c>
      <c r="C1265" s="6" t="s">
        <v>30</v>
      </c>
      <c r="D1265" s="6" t="str">
        <f>CONCATENATE(financials[[#This Row],[Segment]],",",financials[[#This Row],[Country]],",",financials[[#This Row],[Product]])</f>
        <v>Government,USA,VTT</v>
      </c>
      <c r="E1265" s="6" t="s">
        <v>34</v>
      </c>
      <c r="F1265">
        <f t="shared" ca="1" si="38"/>
        <v>1000</v>
      </c>
      <c r="G1265" s="1">
        <f ca="1">VLOOKUP(financials[[#This Row],[ID]],Prices!D:F,2,FALSE)</f>
        <v>13</v>
      </c>
      <c r="H1265" s="1">
        <f ca="1">VLOOKUP(financials[[#This Row],[ID]],Prices!D:F,3,FALSE)</f>
        <v>31</v>
      </c>
      <c r="I1265" s="1">
        <f ca="1">financials[[#This Row],[Units Sold]]*financials[[#This Row],[Sale Price]]</f>
        <v>31000</v>
      </c>
      <c r="J12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1550</v>
      </c>
      <c r="K1265" s="1">
        <f ca="1">financials[[#This Row],[Gross Sales]]-financials[[#This Row],[Discounts]]</f>
        <v>29450</v>
      </c>
      <c r="L1265" s="1">
        <f ca="1">financials[[#This Row],[Units Sold]]*financials[[#This Row],[Manufacturing Price]]</f>
        <v>13000</v>
      </c>
      <c r="M1265" s="1">
        <f ca="1">financials[[#This Row],[Sales]]-financials[[#This Row],[COGS]]</f>
        <v>16450</v>
      </c>
      <c r="N1265" s="7">
        <f t="shared" ca="1" si="39"/>
        <v>45512</v>
      </c>
      <c r="O1265" s="8">
        <f ca="1">MONTH(financials[[#This Row],[Date]])</f>
        <v>8</v>
      </c>
      <c r="P1265" s="6" t="str">
        <f ca="1">TEXT(financials[[#This Row],[Date]],"MMM")</f>
        <v>Aug</v>
      </c>
      <c r="Q1265">
        <f ca="1">YEAR(financials[[#This Row],[Date]])</f>
        <v>2024</v>
      </c>
    </row>
    <row r="1266" spans="1:17" x14ac:dyDescent="0.3">
      <c r="A1266" t="s">
        <v>26</v>
      </c>
      <c r="B1266" t="s">
        <v>36</v>
      </c>
      <c r="C1266" s="6" t="s">
        <v>30</v>
      </c>
      <c r="D1266" s="6" t="str">
        <f>CONCATENATE(financials[[#This Row],[Segment]],",",financials[[#This Row],[Country]],",",financials[[#This Row],[Product]])</f>
        <v>Enterprise,USA,VTT</v>
      </c>
      <c r="E1266" s="6" t="s">
        <v>34</v>
      </c>
      <c r="F1266">
        <f t="shared" ca="1" si="38"/>
        <v>710</v>
      </c>
      <c r="G1266" s="1">
        <f ca="1">VLOOKUP(financials[[#This Row],[ID]],Prices!D:F,2,FALSE)</f>
        <v>18</v>
      </c>
      <c r="H1266" s="1">
        <f ca="1">VLOOKUP(financials[[#This Row],[ID]],Prices!D:F,3,FALSE)</f>
        <v>26</v>
      </c>
      <c r="I1266" s="1">
        <f ca="1">financials[[#This Row],[Units Sold]]*financials[[#This Row],[Sale Price]]</f>
        <v>18460</v>
      </c>
      <c r="J12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923</v>
      </c>
      <c r="K1266" s="1">
        <f ca="1">financials[[#This Row],[Gross Sales]]-financials[[#This Row],[Discounts]]</f>
        <v>17537</v>
      </c>
      <c r="L1266" s="1">
        <f ca="1">financials[[#This Row],[Units Sold]]*financials[[#This Row],[Manufacturing Price]]</f>
        <v>12780</v>
      </c>
      <c r="M1266" s="1">
        <f ca="1">financials[[#This Row],[Sales]]-financials[[#This Row],[COGS]]</f>
        <v>4757</v>
      </c>
      <c r="N1266" s="7">
        <f t="shared" ca="1" si="39"/>
        <v>45095</v>
      </c>
      <c r="O1266" s="8">
        <f ca="1">MONTH(financials[[#This Row],[Date]])</f>
        <v>6</v>
      </c>
      <c r="P1266" s="6" t="str">
        <f ca="1">TEXT(financials[[#This Row],[Date]],"MMM")</f>
        <v>Jun</v>
      </c>
      <c r="Q1266">
        <f ca="1">YEAR(financials[[#This Row],[Date]])</f>
        <v>2023</v>
      </c>
    </row>
    <row r="1267" spans="1:17" x14ac:dyDescent="0.3">
      <c r="A1267" t="s">
        <v>16</v>
      </c>
      <c r="B1267" t="s">
        <v>23</v>
      </c>
      <c r="C1267" s="6" t="s">
        <v>30</v>
      </c>
      <c r="D1267" s="6" t="str">
        <f>CONCATENATE(financials[[#This Row],[Segment]],",",financials[[#This Row],[Country]],",",financials[[#This Row],[Product]])</f>
        <v>Government,Mexico,VTT</v>
      </c>
      <c r="E1267" s="6" t="s">
        <v>34</v>
      </c>
      <c r="F1267">
        <f t="shared" ca="1" si="38"/>
        <v>282</v>
      </c>
      <c r="G1267" s="1">
        <f ca="1">VLOOKUP(financials[[#This Row],[ID]],Prices!D:F,2,FALSE)</f>
        <v>18</v>
      </c>
      <c r="H1267" s="1">
        <f ca="1">VLOOKUP(financials[[#This Row],[ID]],Prices!D:F,3,FALSE)</f>
        <v>20</v>
      </c>
      <c r="I1267" s="1">
        <f ca="1">financials[[#This Row],[Units Sold]]*financials[[#This Row],[Sale Price]]</f>
        <v>5640</v>
      </c>
      <c r="J12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282</v>
      </c>
      <c r="K1267" s="1">
        <f ca="1">financials[[#This Row],[Gross Sales]]-financials[[#This Row],[Discounts]]</f>
        <v>5358</v>
      </c>
      <c r="L1267" s="1">
        <f ca="1">financials[[#This Row],[Units Sold]]*financials[[#This Row],[Manufacturing Price]]</f>
        <v>5076</v>
      </c>
      <c r="M1267" s="1">
        <f ca="1">financials[[#This Row],[Sales]]-financials[[#This Row],[COGS]]</f>
        <v>282</v>
      </c>
      <c r="N1267" s="7">
        <f t="shared" ca="1" si="39"/>
        <v>45184</v>
      </c>
      <c r="O1267" s="8">
        <f ca="1">MONTH(financials[[#This Row],[Date]])</f>
        <v>9</v>
      </c>
      <c r="P1267" s="6" t="str">
        <f ca="1">TEXT(financials[[#This Row],[Date]],"MMM")</f>
        <v>Sep</v>
      </c>
      <c r="Q1267">
        <f ca="1">YEAR(financials[[#This Row],[Date]])</f>
        <v>2023</v>
      </c>
    </row>
    <row r="1268" spans="1:17" x14ac:dyDescent="0.3">
      <c r="A1268" t="s">
        <v>16</v>
      </c>
      <c r="B1268" t="s">
        <v>36</v>
      </c>
      <c r="C1268" s="6" t="s">
        <v>31</v>
      </c>
      <c r="D1268" s="6" t="str">
        <f>CONCATENATE(financials[[#This Row],[Segment]],",",financials[[#This Row],[Country]],",",financials[[#This Row],[Product]])</f>
        <v>Government,USA,Amarilla</v>
      </c>
      <c r="E1268" s="6" t="s">
        <v>34</v>
      </c>
      <c r="F1268">
        <f t="shared" ca="1" si="38"/>
        <v>722</v>
      </c>
      <c r="G1268" s="1">
        <f ca="1">VLOOKUP(financials[[#This Row],[ID]],Prices!D:F,2,FALSE)</f>
        <v>20</v>
      </c>
      <c r="H1268" s="1">
        <f ca="1">VLOOKUP(financials[[#This Row],[ID]],Prices!D:F,3,FALSE)</f>
        <v>37</v>
      </c>
      <c r="I1268" s="1">
        <f ca="1">financials[[#This Row],[Units Sold]]*financials[[#This Row],[Sale Price]]</f>
        <v>26714</v>
      </c>
      <c r="J12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1335.7</v>
      </c>
      <c r="K1268" s="1">
        <f ca="1">financials[[#This Row],[Gross Sales]]-financials[[#This Row],[Discounts]]</f>
        <v>25378.3</v>
      </c>
      <c r="L1268" s="1">
        <f ca="1">financials[[#This Row],[Units Sold]]*financials[[#This Row],[Manufacturing Price]]</f>
        <v>14440</v>
      </c>
      <c r="M1268" s="1">
        <f ca="1">financials[[#This Row],[Sales]]-financials[[#This Row],[COGS]]</f>
        <v>10938.3</v>
      </c>
      <c r="N1268" s="7">
        <f t="shared" ca="1" si="39"/>
        <v>45364</v>
      </c>
      <c r="O1268" s="8">
        <f ca="1">MONTH(financials[[#This Row],[Date]])</f>
        <v>3</v>
      </c>
      <c r="P1268" s="6" t="str">
        <f ca="1">TEXT(financials[[#This Row],[Date]],"MMM")</f>
        <v>Mar</v>
      </c>
      <c r="Q1268">
        <f ca="1">YEAR(financials[[#This Row],[Date]])</f>
        <v>2024</v>
      </c>
    </row>
    <row r="1269" spans="1:17" x14ac:dyDescent="0.3">
      <c r="A1269" t="s">
        <v>16</v>
      </c>
      <c r="B1269" t="s">
        <v>22</v>
      </c>
      <c r="C1269" s="6" t="s">
        <v>31</v>
      </c>
      <c r="D1269" s="6" t="str">
        <f>CONCATENATE(financials[[#This Row],[Segment]],",",financials[[#This Row],[Country]],",",financials[[#This Row],[Product]])</f>
        <v>Government,France,Amarilla</v>
      </c>
      <c r="E1269" s="6" t="s">
        <v>34</v>
      </c>
      <c r="F1269">
        <f t="shared" ca="1" si="38"/>
        <v>768</v>
      </c>
      <c r="G1269" s="1">
        <f ca="1">VLOOKUP(financials[[#This Row],[ID]],Prices!D:F,2,FALSE)</f>
        <v>10</v>
      </c>
      <c r="H1269" s="1">
        <f ca="1">VLOOKUP(financials[[#This Row],[ID]],Prices!D:F,3,FALSE)</f>
        <v>25</v>
      </c>
      <c r="I1269" s="1">
        <f ca="1">financials[[#This Row],[Units Sold]]*financials[[#This Row],[Sale Price]]</f>
        <v>19200</v>
      </c>
      <c r="J12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960</v>
      </c>
      <c r="K1269" s="1">
        <f ca="1">financials[[#This Row],[Gross Sales]]-financials[[#This Row],[Discounts]]</f>
        <v>18240</v>
      </c>
      <c r="L1269" s="1">
        <f ca="1">financials[[#This Row],[Units Sold]]*financials[[#This Row],[Manufacturing Price]]</f>
        <v>7680</v>
      </c>
      <c r="M1269" s="1">
        <f ca="1">financials[[#This Row],[Sales]]-financials[[#This Row],[COGS]]</f>
        <v>10560</v>
      </c>
      <c r="N1269" s="7">
        <f t="shared" ca="1" si="39"/>
        <v>45490</v>
      </c>
      <c r="O1269" s="8">
        <f ca="1">MONTH(financials[[#This Row],[Date]])</f>
        <v>7</v>
      </c>
      <c r="P1269" s="6" t="str">
        <f ca="1">TEXT(financials[[#This Row],[Date]],"MMM")</f>
        <v>Jul</v>
      </c>
      <c r="Q1269">
        <f ca="1">YEAR(financials[[#This Row],[Date]])</f>
        <v>2024</v>
      </c>
    </row>
    <row r="1270" spans="1:17" x14ac:dyDescent="0.3">
      <c r="A1270" t="s">
        <v>16</v>
      </c>
      <c r="B1270" t="s">
        <v>17</v>
      </c>
      <c r="C1270" s="6" t="s">
        <v>31</v>
      </c>
      <c r="D1270" s="6" t="str">
        <f>CONCATENATE(financials[[#This Row],[Segment]],",",financials[[#This Row],[Country]],",",financials[[#This Row],[Product]])</f>
        <v>Government,Canada,Amarilla</v>
      </c>
      <c r="E1270" s="6" t="s">
        <v>34</v>
      </c>
      <c r="F1270">
        <f t="shared" ca="1" si="38"/>
        <v>179</v>
      </c>
      <c r="G1270" s="1">
        <f ca="1">VLOOKUP(financials[[#This Row],[ID]],Prices!D:F,2,FALSE)</f>
        <v>11</v>
      </c>
      <c r="H1270" s="1">
        <f ca="1">VLOOKUP(financials[[#This Row],[ID]],Prices!D:F,3,FALSE)</f>
        <v>29</v>
      </c>
      <c r="I1270" s="1">
        <f ca="1">financials[[#This Row],[Units Sold]]*financials[[#This Row],[Sale Price]]</f>
        <v>5191</v>
      </c>
      <c r="J12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259.55</v>
      </c>
      <c r="K1270" s="1">
        <f ca="1">financials[[#This Row],[Gross Sales]]-financials[[#This Row],[Discounts]]</f>
        <v>4931.45</v>
      </c>
      <c r="L1270" s="1">
        <f ca="1">financials[[#This Row],[Units Sold]]*financials[[#This Row],[Manufacturing Price]]</f>
        <v>1969</v>
      </c>
      <c r="M1270" s="1">
        <f ca="1">financials[[#This Row],[Sales]]-financials[[#This Row],[COGS]]</f>
        <v>2962.45</v>
      </c>
      <c r="N1270" s="7">
        <f t="shared" ca="1" si="39"/>
        <v>45131</v>
      </c>
      <c r="O1270" s="8">
        <f ca="1">MONTH(financials[[#This Row],[Date]])</f>
        <v>7</v>
      </c>
      <c r="P1270" s="6" t="str">
        <f ca="1">TEXT(financials[[#This Row],[Date]],"MMM")</f>
        <v>Jul</v>
      </c>
      <c r="Q1270">
        <f ca="1">YEAR(financials[[#This Row],[Date]])</f>
        <v>2023</v>
      </c>
    </row>
    <row r="1271" spans="1:17" x14ac:dyDescent="0.3">
      <c r="A1271" t="s">
        <v>21</v>
      </c>
      <c r="B1271" t="s">
        <v>36</v>
      </c>
      <c r="C1271" s="6" t="s">
        <v>31</v>
      </c>
      <c r="D1271" s="6" t="str">
        <f>CONCATENATE(financials[[#This Row],[Segment]],",",financials[[#This Row],[Country]],",",financials[[#This Row],[Product]])</f>
        <v>Midmarket,USA,Amarilla</v>
      </c>
      <c r="E1271" s="6" t="s">
        <v>34</v>
      </c>
      <c r="F1271">
        <f t="shared" ca="1" si="38"/>
        <v>12</v>
      </c>
      <c r="G1271" s="1">
        <f ca="1">VLOOKUP(financials[[#This Row],[ID]],Prices!D:F,2,FALSE)</f>
        <v>12</v>
      </c>
      <c r="H1271" s="1">
        <f ca="1">VLOOKUP(financials[[#This Row],[ID]],Prices!D:F,3,FALSE)</f>
        <v>21</v>
      </c>
      <c r="I1271" s="1">
        <f ca="1">financials[[#This Row],[Units Sold]]*financials[[#This Row],[Sale Price]]</f>
        <v>252</v>
      </c>
      <c r="J12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2.52</v>
      </c>
      <c r="K1271" s="1">
        <f ca="1">financials[[#This Row],[Gross Sales]]-financials[[#This Row],[Discounts]]</f>
        <v>249.48</v>
      </c>
      <c r="L1271" s="1">
        <f ca="1">financials[[#This Row],[Units Sold]]*financials[[#This Row],[Manufacturing Price]]</f>
        <v>144</v>
      </c>
      <c r="M1271" s="1">
        <f ca="1">financials[[#This Row],[Sales]]-financials[[#This Row],[COGS]]</f>
        <v>105.47999999999999</v>
      </c>
      <c r="N1271" s="7">
        <f t="shared" ca="1" si="39"/>
        <v>45072</v>
      </c>
      <c r="O1271" s="8">
        <f ca="1">MONTH(financials[[#This Row],[Date]])</f>
        <v>5</v>
      </c>
      <c r="P1271" s="6" t="str">
        <f ca="1">TEXT(financials[[#This Row],[Date]],"MMM")</f>
        <v>May</v>
      </c>
      <c r="Q1271">
        <f ca="1">YEAR(financials[[#This Row],[Date]])</f>
        <v>2023</v>
      </c>
    </row>
    <row r="1272" spans="1:17" x14ac:dyDescent="0.3">
      <c r="A1272" t="s">
        <v>16</v>
      </c>
      <c r="B1272" t="s">
        <v>22</v>
      </c>
      <c r="C1272" s="6" t="s">
        <v>18</v>
      </c>
      <c r="D1272" s="6" t="str">
        <f>CONCATENATE(financials[[#This Row],[Segment]],",",financials[[#This Row],[Country]],",",financials[[#This Row],[Product]])</f>
        <v>Government,France,Carretera</v>
      </c>
      <c r="E1272" s="6" t="s">
        <v>34</v>
      </c>
      <c r="F1272">
        <f t="shared" ca="1" si="38"/>
        <v>388</v>
      </c>
      <c r="G1272" s="1">
        <f ca="1">VLOOKUP(financials[[#This Row],[ID]],Prices!D:F,2,FALSE)</f>
        <v>12</v>
      </c>
      <c r="H1272" s="1">
        <f ca="1">VLOOKUP(financials[[#This Row],[ID]],Prices!D:F,3,FALSE)</f>
        <v>38</v>
      </c>
      <c r="I1272" s="1">
        <f ca="1">financials[[#This Row],[Units Sold]]*financials[[#This Row],[Sale Price]]</f>
        <v>14744</v>
      </c>
      <c r="J12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737.2</v>
      </c>
      <c r="K1272" s="1">
        <f ca="1">financials[[#This Row],[Gross Sales]]-financials[[#This Row],[Discounts]]</f>
        <v>14006.8</v>
      </c>
      <c r="L1272" s="1">
        <f ca="1">financials[[#This Row],[Units Sold]]*financials[[#This Row],[Manufacturing Price]]</f>
        <v>4656</v>
      </c>
      <c r="M1272" s="1">
        <f ca="1">financials[[#This Row],[Sales]]-financials[[#This Row],[COGS]]</f>
        <v>9350.7999999999993</v>
      </c>
      <c r="N1272" s="7">
        <f t="shared" ca="1" si="39"/>
        <v>45513</v>
      </c>
      <c r="O1272" s="8">
        <f ca="1">MONTH(financials[[#This Row],[Date]])</f>
        <v>8</v>
      </c>
      <c r="P1272" s="6" t="str">
        <f ca="1">TEXT(financials[[#This Row],[Date]],"MMM")</f>
        <v>Aug</v>
      </c>
      <c r="Q1272">
        <f ca="1">YEAR(financials[[#This Row],[Date]])</f>
        <v>2024</v>
      </c>
    </row>
    <row r="1273" spans="1:17" x14ac:dyDescent="0.3">
      <c r="A1273" t="s">
        <v>25</v>
      </c>
      <c r="B1273" t="s">
        <v>23</v>
      </c>
      <c r="C1273" s="6" t="s">
        <v>24</v>
      </c>
      <c r="D1273" s="6" t="str">
        <f>CONCATENATE(financials[[#This Row],[Segment]],",",financials[[#This Row],[Country]],",",financials[[#This Row],[Product]])</f>
        <v>Channel Partners,Mexico,Montana</v>
      </c>
      <c r="E1273" s="6" t="s">
        <v>34</v>
      </c>
      <c r="F1273">
        <f t="shared" ca="1" si="38"/>
        <v>916</v>
      </c>
      <c r="G1273" s="1">
        <f ca="1">VLOOKUP(financials[[#This Row],[ID]],Prices!D:F,2,FALSE)</f>
        <v>15</v>
      </c>
      <c r="H1273" s="1">
        <f ca="1">VLOOKUP(financials[[#This Row],[ID]],Prices!D:F,3,FALSE)</f>
        <v>17</v>
      </c>
      <c r="I1273" s="1">
        <f ca="1">financials[[#This Row],[Units Sold]]*financials[[#This Row],[Sale Price]]</f>
        <v>15572</v>
      </c>
      <c r="J12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778.6</v>
      </c>
      <c r="K1273" s="1">
        <f ca="1">financials[[#This Row],[Gross Sales]]-financials[[#This Row],[Discounts]]</f>
        <v>14793.4</v>
      </c>
      <c r="L1273" s="1">
        <f ca="1">financials[[#This Row],[Units Sold]]*financials[[#This Row],[Manufacturing Price]]</f>
        <v>13740</v>
      </c>
      <c r="M1273" s="1">
        <f ca="1">financials[[#This Row],[Sales]]-financials[[#This Row],[COGS]]</f>
        <v>1053.3999999999996</v>
      </c>
      <c r="N1273" s="7">
        <f t="shared" ca="1" si="39"/>
        <v>45713</v>
      </c>
      <c r="O1273" s="8">
        <f ca="1">MONTH(financials[[#This Row],[Date]])</f>
        <v>2</v>
      </c>
      <c r="P1273" s="6" t="str">
        <f ca="1">TEXT(financials[[#This Row],[Date]],"MMM")</f>
        <v>Feb</v>
      </c>
      <c r="Q1273">
        <f ca="1">YEAR(financials[[#This Row],[Date]])</f>
        <v>2025</v>
      </c>
    </row>
    <row r="1274" spans="1:17" x14ac:dyDescent="0.3">
      <c r="A1274" t="s">
        <v>16</v>
      </c>
      <c r="B1274" t="s">
        <v>20</v>
      </c>
      <c r="C1274" s="6" t="s">
        <v>28</v>
      </c>
      <c r="D1274" s="6" t="str">
        <f>CONCATENATE(financials[[#This Row],[Segment]],",",financials[[#This Row],[Country]],",",financials[[#This Row],[Product]])</f>
        <v>Government,Germany,Paseo</v>
      </c>
      <c r="E1274" s="6" t="s">
        <v>34</v>
      </c>
      <c r="F1274">
        <f t="shared" ca="1" si="38"/>
        <v>133</v>
      </c>
      <c r="G1274" s="1">
        <f ca="1">VLOOKUP(financials[[#This Row],[ID]],Prices!D:F,2,FALSE)</f>
        <v>19</v>
      </c>
      <c r="H1274" s="1">
        <f ca="1">VLOOKUP(financials[[#This Row],[ID]],Prices!D:F,3,FALSE)</f>
        <v>37</v>
      </c>
      <c r="I1274" s="1">
        <f ca="1">financials[[#This Row],[Units Sold]]*financials[[#This Row],[Sale Price]]</f>
        <v>4921</v>
      </c>
      <c r="J12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246.05</v>
      </c>
      <c r="K1274" s="1">
        <f ca="1">financials[[#This Row],[Gross Sales]]-financials[[#This Row],[Discounts]]</f>
        <v>4674.95</v>
      </c>
      <c r="L1274" s="1">
        <f ca="1">financials[[#This Row],[Units Sold]]*financials[[#This Row],[Manufacturing Price]]</f>
        <v>2527</v>
      </c>
      <c r="M1274" s="1">
        <f ca="1">financials[[#This Row],[Sales]]-financials[[#This Row],[COGS]]</f>
        <v>2147.9499999999998</v>
      </c>
      <c r="N1274" s="7">
        <f t="shared" ca="1" si="39"/>
        <v>45358</v>
      </c>
      <c r="O1274" s="8">
        <f ca="1">MONTH(financials[[#This Row],[Date]])</f>
        <v>3</v>
      </c>
      <c r="P1274" s="6" t="str">
        <f ca="1">TEXT(financials[[#This Row],[Date]],"MMM")</f>
        <v>Mar</v>
      </c>
      <c r="Q1274">
        <f ca="1">YEAR(financials[[#This Row],[Date]])</f>
        <v>2024</v>
      </c>
    </row>
    <row r="1275" spans="1:17" x14ac:dyDescent="0.3">
      <c r="A1275" t="s">
        <v>16</v>
      </c>
      <c r="B1275" t="s">
        <v>22</v>
      </c>
      <c r="C1275" s="6" t="s">
        <v>30</v>
      </c>
      <c r="D1275" s="6" t="str">
        <f>CONCATENATE(financials[[#This Row],[Segment]],",",financials[[#This Row],[Country]],",",financials[[#This Row],[Product]])</f>
        <v>Government,France,VTT</v>
      </c>
      <c r="E1275" s="6" t="s">
        <v>34</v>
      </c>
      <c r="F1275">
        <f t="shared" ca="1" si="38"/>
        <v>309</v>
      </c>
      <c r="G1275" s="1">
        <f ca="1">VLOOKUP(financials[[#This Row],[ID]],Prices!D:F,2,FALSE)</f>
        <v>18</v>
      </c>
      <c r="H1275" s="1">
        <f ca="1">VLOOKUP(financials[[#This Row],[ID]],Prices!D:F,3,FALSE)</f>
        <v>32</v>
      </c>
      <c r="I1275" s="1">
        <f ca="1">financials[[#This Row],[Units Sold]]*financials[[#This Row],[Sale Price]]</f>
        <v>9888</v>
      </c>
      <c r="J12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494.40000000000003</v>
      </c>
      <c r="K1275" s="1">
        <f ca="1">financials[[#This Row],[Gross Sales]]-financials[[#This Row],[Discounts]]</f>
        <v>9393.6</v>
      </c>
      <c r="L1275" s="1">
        <f ca="1">financials[[#This Row],[Units Sold]]*financials[[#This Row],[Manufacturing Price]]</f>
        <v>5562</v>
      </c>
      <c r="M1275" s="1">
        <f ca="1">financials[[#This Row],[Sales]]-financials[[#This Row],[COGS]]</f>
        <v>3831.6000000000004</v>
      </c>
      <c r="N1275" s="7">
        <f t="shared" ca="1" si="39"/>
        <v>45468</v>
      </c>
      <c r="O1275" s="8">
        <f ca="1">MONTH(financials[[#This Row],[Date]])</f>
        <v>6</v>
      </c>
      <c r="P1275" s="6" t="str">
        <f ca="1">TEXT(financials[[#This Row],[Date]],"MMM")</f>
        <v>Jun</v>
      </c>
      <c r="Q1275">
        <f ca="1">YEAR(financials[[#This Row],[Date]])</f>
        <v>2024</v>
      </c>
    </row>
    <row r="1276" spans="1:17" x14ac:dyDescent="0.3">
      <c r="A1276" t="s">
        <v>16</v>
      </c>
      <c r="B1276" t="s">
        <v>20</v>
      </c>
      <c r="C1276" s="6" t="s">
        <v>30</v>
      </c>
      <c r="D1276" s="6" t="str">
        <f>CONCATENATE(financials[[#This Row],[Segment]],",",financials[[#This Row],[Country]],",",financials[[#This Row],[Product]])</f>
        <v>Government,Germany,VTT</v>
      </c>
      <c r="E1276" s="6" t="s">
        <v>34</v>
      </c>
      <c r="F1276">
        <f t="shared" ca="1" si="38"/>
        <v>792</v>
      </c>
      <c r="G1276" s="1">
        <f ca="1">VLOOKUP(financials[[#This Row],[ID]],Prices!D:F,2,FALSE)</f>
        <v>16</v>
      </c>
      <c r="H1276" s="1">
        <f ca="1">VLOOKUP(financials[[#This Row],[ID]],Prices!D:F,3,FALSE)</f>
        <v>20</v>
      </c>
      <c r="I1276" s="1">
        <f ca="1">financials[[#This Row],[Units Sold]]*financials[[#This Row],[Sale Price]]</f>
        <v>15840</v>
      </c>
      <c r="J12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792</v>
      </c>
      <c r="K1276" s="1">
        <f ca="1">financials[[#This Row],[Gross Sales]]-financials[[#This Row],[Discounts]]</f>
        <v>15048</v>
      </c>
      <c r="L1276" s="1">
        <f ca="1">financials[[#This Row],[Units Sold]]*financials[[#This Row],[Manufacturing Price]]</f>
        <v>12672</v>
      </c>
      <c r="M1276" s="1">
        <f ca="1">financials[[#This Row],[Sales]]-financials[[#This Row],[COGS]]</f>
        <v>2376</v>
      </c>
      <c r="N1276" s="7">
        <f t="shared" ca="1" si="39"/>
        <v>45458</v>
      </c>
      <c r="O1276" s="8">
        <f ca="1">MONTH(financials[[#This Row],[Date]])</f>
        <v>6</v>
      </c>
      <c r="P1276" s="6" t="str">
        <f ca="1">TEXT(financials[[#This Row],[Date]],"MMM")</f>
        <v>Jun</v>
      </c>
      <c r="Q1276">
        <f ca="1">YEAR(financials[[#This Row],[Date]])</f>
        <v>2024</v>
      </c>
    </row>
    <row r="1277" spans="1:17" x14ac:dyDescent="0.3">
      <c r="A1277" t="s">
        <v>25</v>
      </c>
      <c r="B1277" t="s">
        <v>17</v>
      </c>
      <c r="C1277" s="6" t="s">
        <v>31</v>
      </c>
      <c r="D1277" s="6" t="str">
        <f>CONCATENATE(financials[[#This Row],[Segment]],",",financials[[#This Row],[Country]],",",financials[[#This Row],[Product]])</f>
        <v>Channel Partners,Canada,Amarilla</v>
      </c>
      <c r="E1277" s="6" t="s">
        <v>34</v>
      </c>
      <c r="F1277">
        <f t="shared" ca="1" si="38"/>
        <v>363</v>
      </c>
      <c r="G1277" s="1">
        <f ca="1">VLOOKUP(financials[[#This Row],[ID]],Prices!D:F,2,FALSE)</f>
        <v>13</v>
      </c>
      <c r="H1277" s="1">
        <f ca="1">VLOOKUP(financials[[#This Row],[ID]],Prices!D:F,3,FALSE)</f>
        <v>19</v>
      </c>
      <c r="I1277" s="1">
        <f ca="1">financials[[#This Row],[Units Sold]]*financials[[#This Row],[Sale Price]]</f>
        <v>6897</v>
      </c>
      <c r="J12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344.85</v>
      </c>
      <c r="K1277" s="1">
        <f ca="1">financials[[#This Row],[Gross Sales]]-financials[[#This Row],[Discounts]]</f>
        <v>6552.15</v>
      </c>
      <c r="L1277" s="1">
        <f ca="1">financials[[#This Row],[Units Sold]]*financials[[#This Row],[Manufacturing Price]]</f>
        <v>4719</v>
      </c>
      <c r="M1277" s="1">
        <f ca="1">financials[[#This Row],[Sales]]-financials[[#This Row],[COGS]]</f>
        <v>1833.1499999999996</v>
      </c>
      <c r="N1277" s="7">
        <f t="shared" ca="1" si="39"/>
        <v>45217</v>
      </c>
      <c r="O1277" s="8">
        <f ca="1">MONTH(financials[[#This Row],[Date]])</f>
        <v>10</v>
      </c>
      <c r="P1277" s="6" t="str">
        <f ca="1">TEXT(financials[[#This Row],[Date]],"MMM")</f>
        <v>Oct</v>
      </c>
      <c r="Q1277">
        <f ca="1">YEAR(financials[[#This Row],[Date]])</f>
        <v>2023</v>
      </c>
    </row>
    <row r="1278" spans="1:17" x14ac:dyDescent="0.3">
      <c r="A1278" t="s">
        <v>21</v>
      </c>
      <c r="B1278" t="s">
        <v>36</v>
      </c>
      <c r="C1278" s="6" t="s">
        <v>18</v>
      </c>
      <c r="D1278" s="6" t="str">
        <f>CONCATENATE(financials[[#This Row],[Segment]],",",financials[[#This Row],[Country]],",",financials[[#This Row],[Product]])</f>
        <v>Midmarket,USA,Carretera</v>
      </c>
      <c r="E1278" s="6" t="s">
        <v>34</v>
      </c>
      <c r="F1278">
        <f t="shared" ca="1" si="38"/>
        <v>535</v>
      </c>
      <c r="G1278" s="1">
        <f ca="1">VLOOKUP(financials[[#This Row],[ID]],Prices!D:F,2,FALSE)</f>
        <v>13</v>
      </c>
      <c r="H1278" s="1">
        <f ca="1">VLOOKUP(financials[[#This Row],[ID]],Prices!D:F,3,FALSE)</f>
        <v>21</v>
      </c>
      <c r="I1278" s="1">
        <f ca="1">financials[[#This Row],[Units Sold]]*financials[[#This Row],[Sale Price]]</f>
        <v>11235</v>
      </c>
      <c r="J12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561.75</v>
      </c>
      <c r="K1278" s="1">
        <f ca="1">financials[[#This Row],[Gross Sales]]-financials[[#This Row],[Discounts]]</f>
        <v>10673.25</v>
      </c>
      <c r="L1278" s="1">
        <f ca="1">financials[[#This Row],[Units Sold]]*financials[[#This Row],[Manufacturing Price]]</f>
        <v>6955</v>
      </c>
      <c r="M1278" s="1">
        <f ca="1">financials[[#This Row],[Sales]]-financials[[#This Row],[COGS]]</f>
        <v>3718.25</v>
      </c>
      <c r="N1278" s="7">
        <f t="shared" ca="1" si="39"/>
        <v>45619</v>
      </c>
      <c r="O1278" s="8">
        <f ca="1">MONTH(financials[[#This Row],[Date]])</f>
        <v>11</v>
      </c>
      <c r="P1278" s="6" t="str">
        <f ca="1">TEXT(financials[[#This Row],[Date]],"MMM")</f>
        <v>Nov</v>
      </c>
      <c r="Q1278">
        <f ca="1">YEAR(financials[[#This Row],[Date]])</f>
        <v>2024</v>
      </c>
    </row>
    <row r="1279" spans="1:17" x14ac:dyDescent="0.3">
      <c r="A1279" t="s">
        <v>21</v>
      </c>
      <c r="B1279" t="s">
        <v>36</v>
      </c>
      <c r="C1279" s="6" t="s">
        <v>30</v>
      </c>
      <c r="D1279" s="6" t="str">
        <f>CONCATENATE(financials[[#This Row],[Segment]],",",financials[[#This Row],[Country]],",",financials[[#This Row],[Product]])</f>
        <v>Midmarket,USA,VTT</v>
      </c>
      <c r="E1279" s="6" t="s">
        <v>34</v>
      </c>
      <c r="F1279">
        <f t="shared" ca="1" si="38"/>
        <v>245</v>
      </c>
      <c r="G1279" s="1">
        <f ca="1">VLOOKUP(financials[[#This Row],[ID]],Prices!D:F,2,FALSE)</f>
        <v>15</v>
      </c>
      <c r="H1279" s="1">
        <f ca="1">VLOOKUP(financials[[#This Row],[ID]],Prices!D:F,3,FALSE)</f>
        <v>27</v>
      </c>
      <c r="I1279" s="1">
        <f ca="1">financials[[#This Row],[Units Sold]]*financials[[#This Row],[Sale Price]]</f>
        <v>6615</v>
      </c>
      <c r="J12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330.75</v>
      </c>
      <c r="K1279" s="1">
        <f ca="1">financials[[#This Row],[Gross Sales]]-financials[[#This Row],[Discounts]]</f>
        <v>6284.25</v>
      </c>
      <c r="L1279" s="1">
        <f ca="1">financials[[#This Row],[Units Sold]]*financials[[#This Row],[Manufacturing Price]]</f>
        <v>3675</v>
      </c>
      <c r="M1279" s="1">
        <f ca="1">financials[[#This Row],[Sales]]-financials[[#This Row],[COGS]]</f>
        <v>2609.25</v>
      </c>
      <c r="N1279" s="7">
        <f t="shared" ca="1" si="39"/>
        <v>45735</v>
      </c>
      <c r="O1279" s="8">
        <f ca="1">MONTH(financials[[#This Row],[Date]])</f>
        <v>3</v>
      </c>
      <c r="P1279" s="6" t="str">
        <f ca="1">TEXT(financials[[#This Row],[Date]],"MMM")</f>
        <v>Mar</v>
      </c>
      <c r="Q1279">
        <f ca="1">YEAR(financials[[#This Row],[Date]])</f>
        <v>2025</v>
      </c>
    </row>
    <row r="1280" spans="1:17" x14ac:dyDescent="0.3">
      <c r="A1280" t="s">
        <v>16</v>
      </c>
      <c r="B1280" t="s">
        <v>17</v>
      </c>
      <c r="C1280" s="6" t="s">
        <v>18</v>
      </c>
      <c r="D1280" s="6" t="str">
        <f>CONCATENATE(financials[[#This Row],[Segment]],",",financials[[#This Row],[Country]],",",financials[[#This Row],[Product]])</f>
        <v>Government,Canada,Carretera</v>
      </c>
      <c r="E1280" s="6" t="s">
        <v>34</v>
      </c>
      <c r="F1280">
        <f t="shared" ca="1" si="38"/>
        <v>457</v>
      </c>
      <c r="G1280" s="1">
        <f ca="1">VLOOKUP(financials[[#This Row],[ID]],Prices!D:F,2,FALSE)</f>
        <v>20</v>
      </c>
      <c r="H1280" s="1">
        <f ca="1">VLOOKUP(financials[[#This Row],[ID]],Prices!D:F,3,FALSE)</f>
        <v>29</v>
      </c>
      <c r="I1280" s="1">
        <f ca="1">financials[[#This Row],[Units Sold]]*financials[[#This Row],[Sale Price]]</f>
        <v>13253</v>
      </c>
      <c r="J12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662.65000000000009</v>
      </c>
      <c r="K1280" s="1">
        <f ca="1">financials[[#This Row],[Gross Sales]]-financials[[#This Row],[Discounts]]</f>
        <v>12590.35</v>
      </c>
      <c r="L1280" s="1">
        <f ca="1">financials[[#This Row],[Units Sold]]*financials[[#This Row],[Manufacturing Price]]</f>
        <v>9140</v>
      </c>
      <c r="M1280" s="1">
        <f ca="1">financials[[#This Row],[Sales]]-financials[[#This Row],[COGS]]</f>
        <v>3450.3500000000004</v>
      </c>
      <c r="N1280" s="7">
        <f t="shared" ca="1" si="39"/>
        <v>45130</v>
      </c>
      <c r="O1280" s="8">
        <f ca="1">MONTH(financials[[#This Row],[Date]])</f>
        <v>7</v>
      </c>
      <c r="P1280" s="6" t="str">
        <f ca="1">TEXT(financials[[#This Row],[Date]],"MMM")</f>
        <v>Jul</v>
      </c>
      <c r="Q1280">
        <f ca="1">YEAR(financials[[#This Row],[Date]])</f>
        <v>2023</v>
      </c>
    </row>
    <row r="1281" spans="1:17" x14ac:dyDescent="0.3">
      <c r="A1281" t="s">
        <v>16</v>
      </c>
      <c r="B1281" t="s">
        <v>22</v>
      </c>
      <c r="C1281" s="6" t="s">
        <v>18</v>
      </c>
      <c r="D1281" s="6" t="str">
        <f>CONCATENATE(financials[[#This Row],[Segment]],",",financials[[#This Row],[Country]],",",financials[[#This Row],[Product]])</f>
        <v>Government,France,Carretera</v>
      </c>
      <c r="E1281" s="6" t="s">
        <v>34</v>
      </c>
      <c r="F1281">
        <f t="shared" ca="1" si="38"/>
        <v>350</v>
      </c>
      <c r="G1281" s="1">
        <f ca="1">VLOOKUP(financials[[#This Row],[ID]],Prices!D:F,2,FALSE)</f>
        <v>12</v>
      </c>
      <c r="H1281" s="1">
        <f ca="1">VLOOKUP(financials[[#This Row],[ID]],Prices!D:F,3,FALSE)</f>
        <v>38</v>
      </c>
      <c r="I1281" s="1">
        <f ca="1">financials[[#This Row],[Units Sold]]*financials[[#This Row],[Sale Price]]</f>
        <v>13300</v>
      </c>
      <c r="J12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665</v>
      </c>
      <c r="K1281" s="1">
        <f ca="1">financials[[#This Row],[Gross Sales]]-financials[[#This Row],[Discounts]]</f>
        <v>12635</v>
      </c>
      <c r="L1281" s="1">
        <f ca="1">financials[[#This Row],[Units Sold]]*financials[[#This Row],[Manufacturing Price]]</f>
        <v>4200</v>
      </c>
      <c r="M1281" s="1">
        <f ca="1">financials[[#This Row],[Sales]]-financials[[#This Row],[COGS]]</f>
        <v>8435</v>
      </c>
      <c r="N1281" s="7">
        <f t="shared" ca="1" si="39"/>
        <v>45263</v>
      </c>
      <c r="O1281" s="8">
        <f ca="1">MONTH(financials[[#This Row],[Date]])</f>
        <v>12</v>
      </c>
      <c r="P1281" s="6" t="str">
        <f ca="1">TEXT(financials[[#This Row],[Date]],"MMM")</f>
        <v>Dec</v>
      </c>
      <c r="Q1281">
        <f ca="1">YEAR(financials[[#This Row],[Date]])</f>
        <v>2023</v>
      </c>
    </row>
    <row r="1282" spans="1:17" x14ac:dyDescent="0.3">
      <c r="A1282" t="s">
        <v>16</v>
      </c>
      <c r="B1282" t="s">
        <v>20</v>
      </c>
      <c r="C1282" s="6" t="s">
        <v>18</v>
      </c>
      <c r="D1282" s="6" t="str">
        <f>CONCATENATE(financials[[#This Row],[Segment]],",",financials[[#This Row],[Country]],",",financials[[#This Row],[Product]])</f>
        <v>Government,Germany,Carretera</v>
      </c>
      <c r="E1282" s="6" t="s">
        <v>34</v>
      </c>
      <c r="F1282">
        <f t="shared" ca="1" si="38"/>
        <v>172</v>
      </c>
      <c r="G1282" s="1">
        <f ca="1">VLOOKUP(financials[[#This Row],[ID]],Prices!D:F,2,FALSE)</f>
        <v>13</v>
      </c>
      <c r="H1282" s="1">
        <f ca="1">VLOOKUP(financials[[#This Row],[ID]],Prices!D:F,3,FALSE)</f>
        <v>22</v>
      </c>
      <c r="I1282" s="1">
        <f ca="1">financials[[#This Row],[Units Sold]]*financials[[#This Row],[Sale Price]]</f>
        <v>3784</v>
      </c>
      <c r="J12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189.20000000000002</v>
      </c>
      <c r="K1282" s="1">
        <f ca="1">financials[[#This Row],[Gross Sales]]-financials[[#This Row],[Discounts]]</f>
        <v>3594.8</v>
      </c>
      <c r="L1282" s="1">
        <f ca="1">financials[[#This Row],[Units Sold]]*financials[[#This Row],[Manufacturing Price]]</f>
        <v>2236</v>
      </c>
      <c r="M1282" s="1">
        <f ca="1">financials[[#This Row],[Sales]]-financials[[#This Row],[COGS]]</f>
        <v>1358.8000000000002</v>
      </c>
      <c r="N1282" s="7">
        <f t="shared" ca="1" si="39"/>
        <v>45176</v>
      </c>
      <c r="O1282" s="8">
        <f ca="1">MONTH(financials[[#This Row],[Date]])</f>
        <v>9</v>
      </c>
      <c r="P1282" s="6" t="str">
        <f ca="1">TEXT(financials[[#This Row],[Date]],"MMM")</f>
        <v>Sep</v>
      </c>
      <c r="Q1282">
        <f ca="1">YEAR(financials[[#This Row],[Date]])</f>
        <v>2023</v>
      </c>
    </row>
    <row r="1283" spans="1:17" x14ac:dyDescent="0.3">
      <c r="A1283" t="s">
        <v>16</v>
      </c>
      <c r="B1283" t="s">
        <v>36</v>
      </c>
      <c r="C1283" s="6" t="s">
        <v>24</v>
      </c>
      <c r="D1283" s="6" t="str">
        <f>CONCATENATE(financials[[#This Row],[Segment]],",",financials[[#This Row],[Country]],",",financials[[#This Row],[Product]])</f>
        <v>Government,USA,Montana</v>
      </c>
      <c r="E1283" s="6" t="s">
        <v>34</v>
      </c>
      <c r="F1283">
        <f t="shared" ref="F1283:F1346" ca="1" si="40">RANDBETWEEN(10,1000)</f>
        <v>161</v>
      </c>
      <c r="G1283" s="1">
        <f ca="1">VLOOKUP(financials[[#This Row],[ID]],Prices!D:F,2,FALSE)</f>
        <v>10</v>
      </c>
      <c r="H1283" s="1">
        <f ca="1">VLOOKUP(financials[[#This Row],[ID]],Prices!D:F,3,FALSE)</f>
        <v>34</v>
      </c>
      <c r="I1283" s="1">
        <f ca="1">financials[[#This Row],[Units Sold]]*financials[[#This Row],[Sale Price]]</f>
        <v>5474</v>
      </c>
      <c r="J12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273.7</v>
      </c>
      <c r="K1283" s="1">
        <f ca="1">financials[[#This Row],[Gross Sales]]-financials[[#This Row],[Discounts]]</f>
        <v>5200.3</v>
      </c>
      <c r="L1283" s="1">
        <f ca="1">financials[[#This Row],[Units Sold]]*financials[[#This Row],[Manufacturing Price]]</f>
        <v>1610</v>
      </c>
      <c r="M1283" s="1">
        <f ca="1">financials[[#This Row],[Sales]]-financials[[#This Row],[COGS]]</f>
        <v>3590.3</v>
      </c>
      <c r="N1283" s="7">
        <f t="shared" ref="N1283:N1346" ca="1" si="41">TODAY()-RANDBETWEEN(1,732)</f>
        <v>45691</v>
      </c>
      <c r="O1283" s="8">
        <f ca="1">MONTH(financials[[#This Row],[Date]])</f>
        <v>2</v>
      </c>
      <c r="P1283" s="6" t="str">
        <f ca="1">TEXT(financials[[#This Row],[Date]],"MMM")</f>
        <v>Feb</v>
      </c>
      <c r="Q1283">
        <f ca="1">YEAR(financials[[#This Row],[Date]])</f>
        <v>2025</v>
      </c>
    </row>
    <row r="1284" spans="1:17" x14ac:dyDescent="0.3">
      <c r="A1284" t="s">
        <v>16</v>
      </c>
      <c r="B1284" t="s">
        <v>36</v>
      </c>
      <c r="C1284" s="6" t="s">
        <v>24</v>
      </c>
      <c r="D1284" s="6" t="str">
        <f>CONCATENATE(financials[[#This Row],[Segment]],",",financials[[#This Row],[Country]],",",financials[[#This Row],[Product]])</f>
        <v>Government,USA,Montana</v>
      </c>
      <c r="E1284" s="6" t="s">
        <v>34</v>
      </c>
      <c r="F1284">
        <f t="shared" ca="1" si="40"/>
        <v>393</v>
      </c>
      <c r="G1284" s="1">
        <f ca="1">VLOOKUP(financials[[#This Row],[ID]],Prices!D:F,2,FALSE)</f>
        <v>10</v>
      </c>
      <c r="H1284" s="1">
        <f ca="1">VLOOKUP(financials[[#This Row],[ID]],Prices!D:F,3,FALSE)</f>
        <v>34</v>
      </c>
      <c r="I1284" s="1">
        <f ca="1">financials[[#This Row],[Units Sold]]*financials[[#This Row],[Sale Price]]</f>
        <v>13362</v>
      </c>
      <c r="J12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668.1</v>
      </c>
      <c r="K1284" s="1">
        <f ca="1">financials[[#This Row],[Gross Sales]]-financials[[#This Row],[Discounts]]</f>
        <v>12693.9</v>
      </c>
      <c r="L1284" s="1">
        <f ca="1">financials[[#This Row],[Units Sold]]*financials[[#This Row],[Manufacturing Price]]</f>
        <v>3930</v>
      </c>
      <c r="M1284" s="1">
        <f ca="1">financials[[#This Row],[Sales]]-financials[[#This Row],[COGS]]</f>
        <v>8763.9</v>
      </c>
      <c r="N1284" s="7">
        <f t="shared" ca="1" si="41"/>
        <v>45705</v>
      </c>
      <c r="O1284" s="8">
        <f ca="1">MONTH(financials[[#This Row],[Date]])</f>
        <v>2</v>
      </c>
      <c r="P1284" s="6" t="str">
        <f ca="1">TEXT(financials[[#This Row],[Date]],"MMM")</f>
        <v>Feb</v>
      </c>
      <c r="Q1284">
        <f ca="1">YEAR(financials[[#This Row],[Date]])</f>
        <v>2025</v>
      </c>
    </row>
    <row r="1285" spans="1:17" x14ac:dyDescent="0.3">
      <c r="A1285" t="s">
        <v>25</v>
      </c>
      <c r="B1285" t="s">
        <v>23</v>
      </c>
      <c r="C1285" s="6" t="s">
        <v>24</v>
      </c>
      <c r="D1285" s="6" t="str">
        <f>CONCATENATE(financials[[#This Row],[Segment]],",",financials[[#This Row],[Country]],",",financials[[#This Row],[Product]])</f>
        <v>Channel Partners,Mexico,Montana</v>
      </c>
      <c r="E1285" s="6" t="s">
        <v>34</v>
      </c>
      <c r="F1285">
        <f t="shared" ca="1" si="40"/>
        <v>706</v>
      </c>
      <c r="G1285" s="1">
        <f ca="1">VLOOKUP(financials[[#This Row],[ID]],Prices!D:F,2,FALSE)</f>
        <v>15</v>
      </c>
      <c r="H1285" s="1">
        <f ca="1">VLOOKUP(financials[[#This Row],[ID]],Prices!D:F,3,FALSE)</f>
        <v>17</v>
      </c>
      <c r="I1285" s="1">
        <f ca="1">financials[[#This Row],[Units Sold]]*financials[[#This Row],[Sale Price]]</f>
        <v>12002</v>
      </c>
      <c r="J12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600.1</v>
      </c>
      <c r="K1285" s="1">
        <f ca="1">financials[[#This Row],[Gross Sales]]-financials[[#This Row],[Discounts]]</f>
        <v>11401.9</v>
      </c>
      <c r="L1285" s="1">
        <f ca="1">financials[[#This Row],[Units Sold]]*financials[[#This Row],[Manufacturing Price]]</f>
        <v>10590</v>
      </c>
      <c r="M1285" s="1">
        <f ca="1">financials[[#This Row],[Sales]]-financials[[#This Row],[COGS]]</f>
        <v>811.89999999999964</v>
      </c>
      <c r="N1285" s="7">
        <f t="shared" ca="1" si="41"/>
        <v>45351</v>
      </c>
      <c r="O1285" s="8">
        <f ca="1">MONTH(financials[[#This Row],[Date]])</f>
        <v>2</v>
      </c>
      <c r="P1285" s="6" t="str">
        <f ca="1">TEXT(financials[[#This Row],[Date]],"MMM")</f>
        <v>Feb</v>
      </c>
      <c r="Q1285">
        <f ca="1">YEAR(financials[[#This Row],[Date]])</f>
        <v>2024</v>
      </c>
    </row>
    <row r="1286" spans="1:17" x14ac:dyDescent="0.3">
      <c r="A1286" t="s">
        <v>16</v>
      </c>
      <c r="B1286" t="s">
        <v>23</v>
      </c>
      <c r="C1286" s="6" t="s">
        <v>24</v>
      </c>
      <c r="D1286" s="6" t="str">
        <f>CONCATENATE(financials[[#This Row],[Segment]],",",financials[[#This Row],[Country]],",",financials[[#This Row],[Product]])</f>
        <v>Government,Mexico,Montana</v>
      </c>
      <c r="E1286" s="6" t="s">
        <v>34</v>
      </c>
      <c r="F1286">
        <f t="shared" ca="1" si="40"/>
        <v>736</v>
      </c>
      <c r="G1286" s="1">
        <f ca="1">VLOOKUP(financials[[#This Row],[ID]],Prices!D:F,2,FALSE)</f>
        <v>19</v>
      </c>
      <c r="H1286" s="1">
        <f ca="1">VLOOKUP(financials[[#This Row],[ID]],Prices!D:F,3,FALSE)</f>
        <v>20</v>
      </c>
      <c r="I1286" s="1">
        <f ca="1">financials[[#This Row],[Units Sold]]*financials[[#This Row],[Sale Price]]</f>
        <v>14720</v>
      </c>
      <c r="J12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736</v>
      </c>
      <c r="K1286" s="1">
        <f ca="1">financials[[#This Row],[Gross Sales]]-financials[[#This Row],[Discounts]]</f>
        <v>13984</v>
      </c>
      <c r="L1286" s="1">
        <f ca="1">financials[[#This Row],[Units Sold]]*financials[[#This Row],[Manufacturing Price]]</f>
        <v>13984</v>
      </c>
      <c r="M1286" s="1">
        <f ca="1">financials[[#This Row],[Sales]]-financials[[#This Row],[COGS]]</f>
        <v>0</v>
      </c>
      <c r="N1286" s="7">
        <f t="shared" ca="1" si="41"/>
        <v>45304</v>
      </c>
      <c r="O1286" s="8">
        <f ca="1">MONTH(financials[[#This Row],[Date]])</f>
        <v>1</v>
      </c>
      <c r="P1286" s="6" t="str">
        <f ca="1">TEXT(financials[[#This Row],[Date]],"MMM")</f>
        <v>Jan</v>
      </c>
      <c r="Q1286">
        <f ca="1">YEAR(financials[[#This Row],[Date]])</f>
        <v>2024</v>
      </c>
    </row>
    <row r="1287" spans="1:17" x14ac:dyDescent="0.3">
      <c r="A1287" t="s">
        <v>16</v>
      </c>
      <c r="B1287" t="s">
        <v>17</v>
      </c>
      <c r="C1287" s="6" t="s">
        <v>24</v>
      </c>
      <c r="D1287" s="6" t="str">
        <f>CONCATENATE(financials[[#This Row],[Segment]],",",financials[[#This Row],[Country]],",",financials[[#This Row],[Product]])</f>
        <v>Government,Canada,Montana</v>
      </c>
      <c r="E1287" s="6" t="s">
        <v>34</v>
      </c>
      <c r="F1287">
        <f t="shared" ca="1" si="40"/>
        <v>406</v>
      </c>
      <c r="G1287" s="1">
        <f ca="1">VLOOKUP(financials[[#This Row],[ID]],Prices!D:F,2,FALSE)</f>
        <v>12</v>
      </c>
      <c r="H1287" s="1">
        <f ca="1">VLOOKUP(financials[[#This Row],[ID]],Prices!D:F,3,FALSE)</f>
        <v>30</v>
      </c>
      <c r="I1287" s="1">
        <f ca="1">financials[[#This Row],[Units Sold]]*financials[[#This Row],[Sale Price]]</f>
        <v>12180</v>
      </c>
      <c r="J12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609</v>
      </c>
      <c r="K1287" s="1">
        <f ca="1">financials[[#This Row],[Gross Sales]]-financials[[#This Row],[Discounts]]</f>
        <v>11571</v>
      </c>
      <c r="L1287" s="1">
        <f ca="1">financials[[#This Row],[Units Sold]]*financials[[#This Row],[Manufacturing Price]]</f>
        <v>4872</v>
      </c>
      <c r="M1287" s="1">
        <f ca="1">financials[[#This Row],[Sales]]-financials[[#This Row],[COGS]]</f>
        <v>6699</v>
      </c>
      <c r="N1287" s="7">
        <f t="shared" ca="1" si="41"/>
        <v>45551</v>
      </c>
      <c r="O1287" s="8">
        <f ca="1">MONTH(financials[[#This Row],[Date]])</f>
        <v>9</v>
      </c>
      <c r="P1287" s="6" t="str">
        <f ca="1">TEXT(financials[[#This Row],[Date]],"MMM")</f>
        <v>Sep</v>
      </c>
      <c r="Q1287">
        <f ca="1">YEAR(financials[[#This Row],[Date]])</f>
        <v>2024</v>
      </c>
    </row>
    <row r="1288" spans="1:17" x14ac:dyDescent="0.3">
      <c r="A1288" t="s">
        <v>16</v>
      </c>
      <c r="B1288" t="s">
        <v>36</v>
      </c>
      <c r="C1288" s="6" t="s">
        <v>28</v>
      </c>
      <c r="D1288" s="6" t="str">
        <f>CONCATENATE(financials[[#This Row],[Segment]],",",financials[[#This Row],[Country]],",",financials[[#This Row],[Product]])</f>
        <v>Government,USA,Paseo</v>
      </c>
      <c r="E1288" s="6" t="s">
        <v>34</v>
      </c>
      <c r="F1288">
        <f t="shared" ca="1" si="40"/>
        <v>55</v>
      </c>
      <c r="G1288" s="1">
        <f ca="1">VLOOKUP(financials[[#This Row],[ID]],Prices!D:F,2,FALSE)</f>
        <v>17</v>
      </c>
      <c r="H1288" s="1">
        <f ca="1">VLOOKUP(financials[[#This Row],[ID]],Prices!D:F,3,FALSE)</f>
        <v>36</v>
      </c>
      <c r="I1288" s="1">
        <f ca="1">financials[[#This Row],[Units Sold]]*financials[[#This Row],[Sale Price]]</f>
        <v>1980</v>
      </c>
      <c r="J12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99</v>
      </c>
      <c r="K1288" s="1">
        <f ca="1">financials[[#This Row],[Gross Sales]]-financials[[#This Row],[Discounts]]</f>
        <v>1881</v>
      </c>
      <c r="L1288" s="1">
        <f ca="1">financials[[#This Row],[Units Sold]]*financials[[#This Row],[Manufacturing Price]]</f>
        <v>935</v>
      </c>
      <c r="M1288" s="1">
        <f ca="1">financials[[#This Row],[Sales]]-financials[[#This Row],[COGS]]</f>
        <v>946</v>
      </c>
      <c r="N1288" s="7">
        <f t="shared" ca="1" si="41"/>
        <v>45628</v>
      </c>
      <c r="O1288" s="8">
        <f ca="1">MONTH(financials[[#This Row],[Date]])</f>
        <v>12</v>
      </c>
      <c r="P1288" s="6" t="str">
        <f ca="1">TEXT(financials[[#This Row],[Date]],"MMM")</f>
        <v>Dec</v>
      </c>
      <c r="Q1288">
        <f ca="1">YEAR(financials[[#This Row],[Date]])</f>
        <v>2024</v>
      </c>
    </row>
    <row r="1289" spans="1:17" x14ac:dyDescent="0.3">
      <c r="A1289" t="s">
        <v>27</v>
      </c>
      <c r="B1289" t="s">
        <v>20</v>
      </c>
      <c r="C1289" s="6" t="s">
        <v>28</v>
      </c>
      <c r="D1289" s="6" t="str">
        <f>CONCATENATE(financials[[#This Row],[Segment]],",",financials[[#This Row],[Country]],",",financials[[#This Row],[Product]])</f>
        <v>Small Business,Germany,Paseo</v>
      </c>
      <c r="E1289" s="6" t="s">
        <v>34</v>
      </c>
      <c r="F1289">
        <f t="shared" ca="1" si="40"/>
        <v>264</v>
      </c>
      <c r="G1289" s="1">
        <f ca="1">VLOOKUP(financials[[#This Row],[ID]],Prices!D:F,2,FALSE)</f>
        <v>19</v>
      </c>
      <c r="H1289" s="1">
        <f ca="1">VLOOKUP(financials[[#This Row],[ID]],Prices!D:F,3,FALSE)</f>
        <v>25</v>
      </c>
      <c r="I1289" s="1">
        <f ca="1">financials[[#This Row],[Units Sold]]*financials[[#This Row],[Sale Price]]</f>
        <v>6600</v>
      </c>
      <c r="J12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330</v>
      </c>
      <c r="K1289" s="1">
        <f ca="1">financials[[#This Row],[Gross Sales]]-financials[[#This Row],[Discounts]]</f>
        <v>6270</v>
      </c>
      <c r="L1289" s="1">
        <f ca="1">financials[[#This Row],[Units Sold]]*financials[[#This Row],[Manufacturing Price]]</f>
        <v>5016</v>
      </c>
      <c r="M1289" s="1">
        <f ca="1">financials[[#This Row],[Sales]]-financials[[#This Row],[COGS]]</f>
        <v>1254</v>
      </c>
      <c r="N1289" s="7">
        <f t="shared" ca="1" si="41"/>
        <v>45547</v>
      </c>
      <c r="O1289" s="8">
        <f ca="1">MONTH(financials[[#This Row],[Date]])</f>
        <v>9</v>
      </c>
      <c r="P1289" s="6" t="str">
        <f ca="1">TEXT(financials[[#This Row],[Date]],"MMM")</f>
        <v>Sep</v>
      </c>
      <c r="Q1289">
        <f ca="1">YEAR(financials[[#This Row],[Date]])</f>
        <v>2024</v>
      </c>
    </row>
    <row r="1290" spans="1:17" x14ac:dyDescent="0.3">
      <c r="A1290" t="s">
        <v>16</v>
      </c>
      <c r="B1290" t="s">
        <v>36</v>
      </c>
      <c r="C1290" s="6" t="s">
        <v>28</v>
      </c>
      <c r="D1290" s="6" t="str">
        <f>CONCATENATE(financials[[#This Row],[Segment]],",",financials[[#This Row],[Country]],",",financials[[#This Row],[Product]])</f>
        <v>Government,USA,Paseo</v>
      </c>
      <c r="E1290" s="6" t="s">
        <v>34</v>
      </c>
      <c r="F1290">
        <f t="shared" ca="1" si="40"/>
        <v>566</v>
      </c>
      <c r="G1290" s="1">
        <f ca="1">VLOOKUP(financials[[#This Row],[ID]],Prices!D:F,2,FALSE)</f>
        <v>17</v>
      </c>
      <c r="H1290" s="1">
        <f ca="1">VLOOKUP(financials[[#This Row],[ID]],Prices!D:F,3,FALSE)</f>
        <v>36</v>
      </c>
      <c r="I1290" s="1">
        <f ca="1">financials[[#This Row],[Units Sold]]*financials[[#This Row],[Sale Price]]</f>
        <v>20376</v>
      </c>
      <c r="J12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1018.8000000000001</v>
      </c>
      <c r="K1290" s="1">
        <f ca="1">financials[[#This Row],[Gross Sales]]-financials[[#This Row],[Discounts]]</f>
        <v>19357.2</v>
      </c>
      <c r="L1290" s="1">
        <f ca="1">financials[[#This Row],[Units Sold]]*financials[[#This Row],[Manufacturing Price]]</f>
        <v>9622</v>
      </c>
      <c r="M1290" s="1">
        <f ca="1">financials[[#This Row],[Sales]]-financials[[#This Row],[COGS]]</f>
        <v>9735.2000000000007</v>
      </c>
      <c r="N1290" s="7">
        <f t="shared" ca="1" si="41"/>
        <v>45406</v>
      </c>
      <c r="O1290" s="8">
        <f ca="1">MONTH(financials[[#This Row],[Date]])</f>
        <v>4</v>
      </c>
      <c r="P1290" s="6" t="str">
        <f ca="1">TEXT(financials[[#This Row],[Date]],"MMM")</f>
        <v>Apr</v>
      </c>
      <c r="Q1290">
        <f ca="1">YEAR(financials[[#This Row],[Date]])</f>
        <v>2024</v>
      </c>
    </row>
    <row r="1291" spans="1:17" x14ac:dyDescent="0.3">
      <c r="A1291" t="s">
        <v>16</v>
      </c>
      <c r="B1291" t="s">
        <v>20</v>
      </c>
      <c r="C1291" s="6" t="s">
        <v>28</v>
      </c>
      <c r="D1291" s="6" t="str">
        <f>CONCATENATE(financials[[#This Row],[Segment]],",",financials[[#This Row],[Country]],",",financials[[#This Row],[Product]])</f>
        <v>Government,Germany,Paseo</v>
      </c>
      <c r="E1291" s="6" t="s">
        <v>34</v>
      </c>
      <c r="F1291">
        <f t="shared" ca="1" si="40"/>
        <v>798</v>
      </c>
      <c r="G1291" s="1">
        <f ca="1">VLOOKUP(financials[[#This Row],[ID]],Prices!D:F,2,FALSE)</f>
        <v>19</v>
      </c>
      <c r="H1291" s="1">
        <f ca="1">VLOOKUP(financials[[#This Row],[ID]],Prices!D:F,3,FALSE)</f>
        <v>37</v>
      </c>
      <c r="I1291" s="1">
        <f ca="1">financials[[#This Row],[Units Sold]]*financials[[#This Row],[Sale Price]]</f>
        <v>29526</v>
      </c>
      <c r="J12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1476.3000000000002</v>
      </c>
      <c r="K1291" s="1">
        <f ca="1">financials[[#This Row],[Gross Sales]]-financials[[#This Row],[Discounts]]</f>
        <v>28049.7</v>
      </c>
      <c r="L1291" s="1">
        <f ca="1">financials[[#This Row],[Units Sold]]*financials[[#This Row],[Manufacturing Price]]</f>
        <v>15162</v>
      </c>
      <c r="M1291" s="1">
        <f ca="1">financials[[#This Row],[Sales]]-financials[[#This Row],[COGS]]</f>
        <v>12887.7</v>
      </c>
      <c r="N1291" s="7">
        <f t="shared" ca="1" si="41"/>
        <v>45243</v>
      </c>
      <c r="O1291" s="8">
        <f ca="1">MONTH(financials[[#This Row],[Date]])</f>
        <v>11</v>
      </c>
      <c r="P1291" s="6" t="str">
        <f ca="1">TEXT(financials[[#This Row],[Date]],"MMM")</f>
        <v>Nov</v>
      </c>
      <c r="Q1291">
        <f ca="1">YEAR(financials[[#This Row],[Date]])</f>
        <v>2023</v>
      </c>
    </row>
    <row r="1292" spans="1:17" x14ac:dyDescent="0.3">
      <c r="A1292" t="s">
        <v>16</v>
      </c>
      <c r="B1292" t="s">
        <v>17</v>
      </c>
      <c r="C1292" s="6" t="s">
        <v>28</v>
      </c>
      <c r="D1292" s="6" t="str">
        <f>CONCATENATE(financials[[#This Row],[Segment]],",",financials[[#This Row],[Country]],",",financials[[#This Row],[Product]])</f>
        <v>Government,Canada,Paseo</v>
      </c>
      <c r="E1292" s="6" t="s">
        <v>34</v>
      </c>
      <c r="F1292">
        <f t="shared" ca="1" si="40"/>
        <v>672</v>
      </c>
      <c r="G1292" s="1">
        <f ca="1">VLOOKUP(financials[[#This Row],[ID]],Prices!D:F,2,FALSE)</f>
        <v>10</v>
      </c>
      <c r="H1292" s="1">
        <f ca="1">VLOOKUP(financials[[#This Row],[ID]],Prices!D:F,3,FALSE)</f>
        <v>23</v>
      </c>
      <c r="I1292" s="1">
        <f ca="1">financials[[#This Row],[Units Sold]]*financials[[#This Row],[Sale Price]]</f>
        <v>15456</v>
      </c>
      <c r="J12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772.80000000000007</v>
      </c>
      <c r="K1292" s="1">
        <f ca="1">financials[[#This Row],[Gross Sales]]-financials[[#This Row],[Discounts]]</f>
        <v>14683.2</v>
      </c>
      <c r="L1292" s="1">
        <f ca="1">financials[[#This Row],[Units Sold]]*financials[[#This Row],[Manufacturing Price]]</f>
        <v>6720</v>
      </c>
      <c r="M1292" s="1">
        <f ca="1">financials[[#This Row],[Sales]]-financials[[#This Row],[COGS]]</f>
        <v>7963.2000000000007</v>
      </c>
      <c r="N1292" s="7">
        <f t="shared" ca="1" si="41"/>
        <v>45271</v>
      </c>
      <c r="O1292" s="8">
        <f ca="1">MONTH(financials[[#This Row],[Date]])</f>
        <v>12</v>
      </c>
      <c r="P1292" s="6" t="str">
        <f ca="1">TEXT(financials[[#This Row],[Date]],"MMM")</f>
        <v>Dec</v>
      </c>
      <c r="Q1292">
        <f ca="1">YEAR(financials[[#This Row],[Date]])</f>
        <v>2023</v>
      </c>
    </row>
    <row r="1293" spans="1:17" x14ac:dyDescent="0.3">
      <c r="A1293" t="s">
        <v>26</v>
      </c>
      <c r="B1293" t="s">
        <v>17</v>
      </c>
      <c r="C1293" s="6" t="s">
        <v>28</v>
      </c>
      <c r="D1293" s="6" t="str">
        <f>CONCATENATE(financials[[#This Row],[Segment]],",",financials[[#This Row],[Country]],",",financials[[#This Row],[Product]])</f>
        <v>Enterprise,Canada,Paseo</v>
      </c>
      <c r="E1293" s="6" t="s">
        <v>34</v>
      </c>
      <c r="F1293">
        <f t="shared" ca="1" si="40"/>
        <v>115</v>
      </c>
      <c r="G1293" s="1">
        <f ca="1">VLOOKUP(financials[[#This Row],[ID]],Prices!D:F,2,FALSE)</f>
        <v>15</v>
      </c>
      <c r="H1293" s="1">
        <f ca="1">VLOOKUP(financials[[#This Row],[ID]],Prices!D:F,3,FALSE)</f>
        <v>23</v>
      </c>
      <c r="I1293" s="1">
        <f ca="1">financials[[#This Row],[Units Sold]]*financials[[#This Row],[Sale Price]]</f>
        <v>2645</v>
      </c>
      <c r="J12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132.25</v>
      </c>
      <c r="K1293" s="1">
        <f ca="1">financials[[#This Row],[Gross Sales]]-financials[[#This Row],[Discounts]]</f>
        <v>2512.75</v>
      </c>
      <c r="L1293" s="1">
        <f ca="1">financials[[#This Row],[Units Sold]]*financials[[#This Row],[Manufacturing Price]]</f>
        <v>1725</v>
      </c>
      <c r="M1293" s="1">
        <f ca="1">financials[[#This Row],[Sales]]-financials[[#This Row],[COGS]]</f>
        <v>787.75</v>
      </c>
      <c r="N1293" s="7">
        <f t="shared" ca="1" si="41"/>
        <v>45328</v>
      </c>
      <c r="O1293" s="8">
        <f ca="1">MONTH(financials[[#This Row],[Date]])</f>
        <v>2</v>
      </c>
      <c r="P1293" s="6" t="str">
        <f ca="1">TEXT(financials[[#This Row],[Date]],"MMM")</f>
        <v>Feb</v>
      </c>
      <c r="Q1293">
        <f ca="1">YEAR(financials[[#This Row],[Date]])</f>
        <v>2024</v>
      </c>
    </row>
    <row r="1294" spans="1:17" x14ac:dyDescent="0.3">
      <c r="A1294" t="s">
        <v>25</v>
      </c>
      <c r="B1294" t="s">
        <v>23</v>
      </c>
      <c r="C1294" s="6" t="s">
        <v>28</v>
      </c>
      <c r="D1294" s="6" t="str">
        <f>CONCATENATE(financials[[#This Row],[Segment]],",",financials[[#This Row],[Country]],",",financials[[#This Row],[Product]])</f>
        <v>Channel Partners,Mexico,Paseo</v>
      </c>
      <c r="E1294" s="6" t="s">
        <v>34</v>
      </c>
      <c r="F1294">
        <f t="shared" ca="1" si="40"/>
        <v>360</v>
      </c>
      <c r="G1294" s="1">
        <f ca="1">VLOOKUP(financials[[#This Row],[ID]],Prices!D:F,2,FALSE)</f>
        <v>13</v>
      </c>
      <c r="H1294" s="1">
        <f ca="1">VLOOKUP(financials[[#This Row],[ID]],Prices!D:F,3,FALSE)</f>
        <v>21</v>
      </c>
      <c r="I1294" s="1">
        <f ca="1">financials[[#This Row],[Units Sold]]*financials[[#This Row],[Sale Price]]</f>
        <v>7560</v>
      </c>
      <c r="J12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378</v>
      </c>
      <c r="K1294" s="1">
        <f ca="1">financials[[#This Row],[Gross Sales]]-financials[[#This Row],[Discounts]]</f>
        <v>7182</v>
      </c>
      <c r="L1294" s="1">
        <f ca="1">financials[[#This Row],[Units Sold]]*financials[[#This Row],[Manufacturing Price]]</f>
        <v>4680</v>
      </c>
      <c r="M1294" s="1">
        <f ca="1">financials[[#This Row],[Sales]]-financials[[#This Row],[COGS]]</f>
        <v>2502</v>
      </c>
      <c r="N1294" s="7">
        <f t="shared" ca="1" si="41"/>
        <v>45570</v>
      </c>
      <c r="O1294" s="8">
        <f ca="1">MONTH(financials[[#This Row],[Date]])</f>
        <v>10</v>
      </c>
      <c r="P1294" s="6" t="str">
        <f ca="1">TEXT(financials[[#This Row],[Date]],"MMM")</f>
        <v>Oct</v>
      </c>
      <c r="Q1294">
        <f ca="1">YEAR(financials[[#This Row],[Date]])</f>
        <v>2024</v>
      </c>
    </row>
    <row r="1295" spans="1:17" x14ac:dyDescent="0.3">
      <c r="A1295" t="s">
        <v>16</v>
      </c>
      <c r="B1295" t="s">
        <v>22</v>
      </c>
      <c r="C1295" s="6" t="s">
        <v>28</v>
      </c>
      <c r="D1295" s="6" t="str">
        <f>CONCATENATE(financials[[#This Row],[Segment]],",",financials[[#This Row],[Country]],",",financials[[#This Row],[Product]])</f>
        <v>Government,France,Paseo</v>
      </c>
      <c r="E1295" s="6" t="s">
        <v>34</v>
      </c>
      <c r="F1295">
        <f t="shared" ca="1" si="40"/>
        <v>393</v>
      </c>
      <c r="G1295" s="1">
        <f ca="1">VLOOKUP(financials[[#This Row],[ID]],Prices!D:F,2,FALSE)</f>
        <v>14</v>
      </c>
      <c r="H1295" s="1">
        <f ca="1">VLOOKUP(financials[[#This Row],[ID]],Prices!D:F,3,FALSE)</f>
        <v>18</v>
      </c>
      <c r="I1295" s="1">
        <f ca="1">financials[[#This Row],[Units Sold]]*financials[[#This Row],[Sale Price]]</f>
        <v>7074</v>
      </c>
      <c r="J12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353.70000000000005</v>
      </c>
      <c r="K1295" s="1">
        <f ca="1">financials[[#This Row],[Gross Sales]]-financials[[#This Row],[Discounts]]</f>
        <v>6720.3</v>
      </c>
      <c r="L1295" s="1">
        <f ca="1">financials[[#This Row],[Units Sold]]*financials[[#This Row],[Manufacturing Price]]</f>
        <v>5502</v>
      </c>
      <c r="M1295" s="1">
        <f ca="1">financials[[#This Row],[Sales]]-financials[[#This Row],[COGS]]</f>
        <v>1218.3000000000002</v>
      </c>
      <c r="N1295" s="7">
        <f t="shared" ca="1" si="41"/>
        <v>45744</v>
      </c>
      <c r="O1295" s="8">
        <f ca="1">MONTH(financials[[#This Row],[Date]])</f>
        <v>3</v>
      </c>
      <c r="P1295" s="6" t="str">
        <f ca="1">TEXT(financials[[#This Row],[Date]],"MMM")</f>
        <v>Mar</v>
      </c>
      <c r="Q1295">
        <f ca="1">YEAR(financials[[#This Row],[Date]])</f>
        <v>2025</v>
      </c>
    </row>
    <row r="1296" spans="1:17" x14ac:dyDescent="0.3">
      <c r="A1296" t="s">
        <v>21</v>
      </c>
      <c r="B1296" t="s">
        <v>17</v>
      </c>
      <c r="C1296" s="6" t="s">
        <v>28</v>
      </c>
      <c r="D1296" s="6" t="str">
        <f>CONCATENATE(financials[[#This Row],[Segment]],",",financials[[#This Row],[Country]],",",financials[[#This Row],[Product]])</f>
        <v>Midmarket,Canada,Paseo</v>
      </c>
      <c r="E1296" s="6" t="s">
        <v>34</v>
      </c>
      <c r="F1296">
        <f t="shared" ca="1" si="40"/>
        <v>516</v>
      </c>
      <c r="G1296" s="1">
        <f ca="1">VLOOKUP(financials[[#This Row],[ID]],Prices!D:F,2,FALSE)</f>
        <v>15</v>
      </c>
      <c r="H1296" s="1">
        <f ca="1">VLOOKUP(financials[[#This Row],[ID]],Prices!D:F,3,FALSE)</f>
        <v>36</v>
      </c>
      <c r="I1296" s="1">
        <f ca="1">financials[[#This Row],[Units Sold]]*financials[[#This Row],[Sale Price]]</f>
        <v>18576</v>
      </c>
      <c r="J12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928.80000000000007</v>
      </c>
      <c r="K1296" s="1">
        <f ca="1">financials[[#This Row],[Gross Sales]]-financials[[#This Row],[Discounts]]</f>
        <v>17647.2</v>
      </c>
      <c r="L1296" s="1">
        <f ca="1">financials[[#This Row],[Units Sold]]*financials[[#This Row],[Manufacturing Price]]</f>
        <v>7740</v>
      </c>
      <c r="M1296" s="1">
        <f ca="1">financials[[#This Row],[Sales]]-financials[[#This Row],[COGS]]</f>
        <v>9907.2000000000007</v>
      </c>
      <c r="N1296" s="7">
        <f t="shared" ca="1" si="41"/>
        <v>45483</v>
      </c>
      <c r="O1296" s="8">
        <f ca="1">MONTH(financials[[#This Row],[Date]])</f>
        <v>7</v>
      </c>
      <c r="P1296" s="6" t="str">
        <f ca="1">TEXT(financials[[#This Row],[Date]],"MMM")</f>
        <v>Jul</v>
      </c>
      <c r="Q1296">
        <f ca="1">YEAR(financials[[#This Row],[Date]])</f>
        <v>2024</v>
      </c>
    </row>
    <row r="1297" spans="1:17" x14ac:dyDescent="0.3">
      <c r="A1297" t="s">
        <v>16</v>
      </c>
      <c r="B1297" t="s">
        <v>17</v>
      </c>
      <c r="C1297" s="6" t="s">
        <v>28</v>
      </c>
      <c r="D1297" s="6" t="str">
        <f>CONCATENATE(financials[[#This Row],[Segment]],",",financials[[#This Row],[Country]],",",financials[[#This Row],[Product]])</f>
        <v>Government,Canada,Paseo</v>
      </c>
      <c r="E1297" s="6" t="s">
        <v>34</v>
      </c>
      <c r="F1297">
        <f t="shared" ca="1" si="40"/>
        <v>644</v>
      </c>
      <c r="G1297" s="1">
        <f ca="1">VLOOKUP(financials[[#This Row],[ID]],Prices!D:F,2,FALSE)</f>
        <v>10</v>
      </c>
      <c r="H1297" s="1">
        <f ca="1">VLOOKUP(financials[[#This Row],[ID]],Prices!D:F,3,FALSE)</f>
        <v>23</v>
      </c>
      <c r="I1297" s="1">
        <f ca="1">financials[[#This Row],[Units Sold]]*financials[[#This Row],[Sale Price]]</f>
        <v>14812</v>
      </c>
      <c r="J12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740.6</v>
      </c>
      <c r="K1297" s="1">
        <f ca="1">financials[[#This Row],[Gross Sales]]-financials[[#This Row],[Discounts]]</f>
        <v>14071.4</v>
      </c>
      <c r="L1297" s="1">
        <f ca="1">financials[[#This Row],[Units Sold]]*financials[[#This Row],[Manufacturing Price]]</f>
        <v>6440</v>
      </c>
      <c r="M1297" s="1">
        <f ca="1">financials[[#This Row],[Sales]]-financials[[#This Row],[COGS]]</f>
        <v>7631.4</v>
      </c>
      <c r="N1297" s="7">
        <f t="shared" ca="1" si="41"/>
        <v>45602</v>
      </c>
      <c r="O1297" s="8">
        <f ca="1">MONTH(financials[[#This Row],[Date]])</f>
        <v>11</v>
      </c>
      <c r="P1297" s="6" t="str">
        <f ca="1">TEXT(financials[[#This Row],[Date]],"MMM")</f>
        <v>Nov</v>
      </c>
      <c r="Q1297">
        <f ca="1">YEAR(financials[[#This Row],[Date]])</f>
        <v>2024</v>
      </c>
    </row>
    <row r="1298" spans="1:17" x14ac:dyDescent="0.3">
      <c r="A1298" t="s">
        <v>16</v>
      </c>
      <c r="B1298" t="s">
        <v>20</v>
      </c>
      <c r="C1298" s="6" t="s">
        <v>28</v>
      </c>
      <c r="D1298" s="6" t="str">
        <f>CONCATENATE(financials[[#This Row],[Segment]],",",financials[[#This Row],[Country]],",",financials[[#This Row],[Product]])</f>
        <v>Government,Germany,Paseo</v>
      </c>
      <c r="E1298" s="6" t="s">
        <v>34</v>
      </c>
      <c r="F1298">
        <f t="shared" ca="1" si="40"/>
        <v>736</v>
      </c>
      <c r="G1298" s="1">
        <f ca="1">VLOOKUP(financials[[#This Row],[ID]],Prices!D:F,2,FALSE)</f>
        <v>19</v>
      </c>
      <c r="H1298" s="1">
        <f ca="1">VLOOKUP(financials[[#This Row],[ID]],Prices!D:F,3,FALSE)</f>
        <v>37</v>
      </c>
      <c r="I1298" s="1">
        <f ca="1">financials[[#This Row],[Units Sold]]*financials[[#This Row],[Sale Price]]</f>
        <v>27232</v>
      </c>
      <c r="J12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1361.6000000000001</v>
      </c>
      <c r="K1298" s="1">
        <f ca="1">financials[[#This Row],[Gross Sales]]-financials[[#This Row],[Discounts]]</f>
        <v>25870.400000000001</v>
      </c>
      <c r="L1298" s="1">
        <f ca="1">financials[[#This Row],[Units Sold]]*financials[[#This Row],[Manufacturing Price]]</f>
        <v>13984</v>
      </c>
      <c r="M1298" s="1">
        <f ca="1">financials[[#This Row],[Sales]]-financials[[#This Row],[COGS]]</f>
        <v>11886.400000000001</v>
      </c>
      <c r="N1298" s="7">
        <f t="shared" ca="1" si="41"/>
        <v>45420</v>
      </c>
      <c r="O1298" s="8">
        <f ca="1">MONTH(financials[[#This Row],[Date]])</f>
        <v>5</v>
      </c>
      <c r="P1298" s="6" t="str">
        <f ca="1">TEXT(financials[[#This Row],[Date]],"MMM")</f>
        <v>May</v>
      </c>
      <c r="Q1298">
        <f ca="1">YEAR(financials[[#This Row],[Date]])</f>
        <v>2024</v>
      </c>
    </row>
    <row r="1299" spans="1:17" x14ac:dyDescent="0.3">
      <c r="A1299" t="s">
        <v>25</v>
      </c>
      <c r="B1299" t="s">
        <v>20</v>
      </c>
      <c r="C1299" s="6" t="s">
        <v>28</v>
      </c>
      <c r="D1299" s="6" t="str">
        <f>CONCATENATE(financials[[#This Row],[Segment]],",",financials[[#This Row],[Country]],",",financials[[#This Row],[Product]])</f>
        <v>Channel Partners,Germany,Paseo</v>
      </c>
      <c r="E1299" s="6" t="s">
        <v>34</v>
      </c>
      <c r="F1299">
        <f t="shared" ca="1" si="40"/>
        <v>254</v>
      </c>
      <c r="G1299" s="1">
        <f ca="1">VLOOKUP(financials[[#This Row],[ID]],Prices!D:F,2,FALSE)</f>
        <v>13</v>
      </c>
      <c r="H1299" s="1">
        <f ca="1">VLOOKUP(financials[[#This Row],[ID]],Prices!D:F,3,FALSE)</f>
        <v>25</v>
      </c>
      <c r="I1299" s="1">
        <f ca="1">financials[[#This Row],[Units Sold]]*financials[[#This Row],[Sale Price]]</f>
        <v>6350</v>
      </c>
      <c r="J12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317.5</v>
      </c>
      <c r="K1299" s="1">
        <f ca="1">financials[[#This Row],[Gross Sales]]-financials[[#This Row],[Discounts]]</f>
        <v>6032.5</v>
      </c>
      <c r="L1299" s="1">
        <f ca="1">financials[[#This Row],[Units Sold]]*financials[[#This Row],[Manufacturing Price]]</f>
        <v>3302</v>
      </c>
      <c r="M1299" s="1">
        <f ca="1">financials[[#This Row],[Sales]]-financials[[#This Row],[COGS]]</f>
        <v>2730.5</v>
      </c>
      <c r="N1299" s="7">
        <f t="shared" ca="1" si="41"/>
        <v>45277</v>
      </c>
      <c r="O1299" s="8">
        <f ca="1">MONTH(financials[[#This Row],[Date]])</f>
        <v>12</v>
      </c>
      <c r="P1299" s="6" t="str">
        <f ca="1">TEXT(financials[[#This Row],[Date]],"MMM")</f>
        <v>Dec</v>
      </c>
      <c r="Q1299">
        <f ca="1">YEAR(financials[[#This Row],[Date]])</f>
        <v>2023</v>
      </c>
    </row>
    <row r="1300" spans="1:17" x14ac:dyDescent="0.3">
      <c r="A1300" t="s">
        <v>21</v>
      </c>
      <c r="B1300" t="s">
        <v>22</v>
      </c>
      <c r="C1300" s="6" t="s">
        <v>29</v>
      </c>
      <c r="D1300" s="6" t="str">
        <f>CONCATENATE(financials[[#This Row],[Segment]],",",financials[[#This Row],[Country]],",",financials[[#This Row],[Product]])</f>
        <v>Midmarket,France,Velo</v>
      </c>
      <c r="E1300" s="6" t="s">
        <v>34</v>
      </c>
      <c r="F1300">
        <f t="shared" ca="1" si="40"/>
        <v>427</v>
      </c>
      <c r="G1300" s="1">
        <f ca="1">VLOOKUP(financials[[#This Row],[ID]],Prices!D:F,2,FALSE)</f>
        <v>12</v>
      </c>
      <c r="H1300" s="1">
        <f ca="1">VLOOKUP(financials[[#This Row],[ID]],Prices!D:F,3,FALSE)</f>
        <v>28</v>
      </c>
      <c r="I1300" s="1">
        <f ca="1">financials[[#This Row],[Units Sold]]*financials[[#This Row],[Sale Price]]</f>
        <v>11956</v>
      </c>
      <c r="J13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597.80000000000007</v>
      </c>
      <c r="K1300" s="1">
        <f ca="1">financials[[#This Row],[Gross Sales]]-financials[[#This Row],[Discounts]]</f>
        <v>11358.2</v>
      </c>
      <c r="L1300" s="1">
        <f ca="1">financials[[#This Row],[Units Sold]]*financials[[#This Row],[Manufacturing Price]]</f>
        <v>5124</v>
      </c>
      <c r="M1300" s="1">
        <f ca="1">financials[[#This Row],[Sales]]-financials[[#This Row],[COGS]]</f>
        <v>6234.2000000000007</v>
      </c>
      <c r="N1300" s="7">
        <f t="shared" ca="1" si="41"/>
        <v>45250</v>
      </c>
      <c r="O1300" s="8">
        <f ca="1">MONTH(financials[[#This Row],[Date]])</f>
        <v>11</v>
      </c>
      <c r="P1300" s="6" t="str">
        <f ca="1">TEXT(financials[[#This Row],[Date]],"MMM")</f>
        <v>Nov</v>
      </c>
      <c r="Q1300">
        <f ca="1">YEAR(financials[[#This Row],[Date]])</f>
        <v>2023</v>
      </c>
    </row>
    <row r="1301" spans="1:17" x14ac:dyDescent="0.3">
      <c r="A1301" t="s">
        <v>16</v>
      </c>
      <c r="B1301" t="s">
        <v>17</v>
      </c>
      <c r="C1301" s="6" t="s">
        <v>29</v>
      </c>
      <c r="D1301" s="6" t="str">
        <f>CONCATENATE(financials[[#This Row],[Segment]],",",financials[[#This Row],[Country]],",",financials[[#This Row],[Product]])</f>
        <v>Government,Canada,Velo</v>
      </c>
      <c r="E1301" s="6" t="s">
        <v>34</v>
      </c>
      <c r="F1301">
        <f t="shared" ca="1" si="40"/>
        <v>594</v>
      </c>
      <c r="G1301" s="1">
        <f ca="1">VLOOKUP(financials[[#This Row],[ID]],Prices!D:F,2,FALSE)</f>
        <v>19</v>
      </c>
      <c r="H1301" s="1">
        <f ca="1">VLOOKUP(financials[[#This Row],[ID]],Prices!D:F,3,FALSE)</f>
        <v>37</v>
      </c>
      <c r="I1301" s="1">
        <f ca="1">financials[[#This Row],[Units Sold]]*financials[[#This Row],[Sale Price]]</f>
        <v>21978</v>
      </c>
      <c r="J13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1098.9000000000001</v>
      </c>
      <c r="K1301" s="1">
        <f ca="1">financials[[#This Row],[Gross Sales]]-financials[[#This Row],[Discounts]]</f>
        <v>20879.099999999999</v>
      </c>
      <c r="L1301" s="1">
        <f ca="1">financials[[#This Row],[Units Sold]]*financials[[#This Row],[Manufacturing Price]]</f>
        <v>11286</v>
      </c>
      <c r="M1301" s="1">
        <f ca="1">financials[[#This Row],[Sales]]-financials[[#This Row],[COGS]]</f>
        <v>9593.0999999999985</v>
      </c>
      <c r="N1301" s="7">
        <f t="shared" ca="1" si="41"/>
        <v>45149</v>
      </c>
      <c r="O1301" s="8">
        <f ca="1">MONTH(financials[[#This Row],[Date]])</f>
        <v>8</v>
      </c>
      <c r="P1301" s="6" t="str">
        <f ca="1">TEXT(financials[[#This Row],[Date]],"MMM")</f>
        <v>Aug</v>
      </c>
      <c r="Q1301">
        <f ca="1">YEAR(financials[[#This Row],[Date]])</f>
        <v>2023</v>
      </c>
    </row>
    <row r="1302" spans="1:17" x14ac:dyDescent="0.3">
      <c r="A1302" t="s">
        <v>16</v>
      </c>
      <c r="B1302" t="s">
        <v>22</v>
      </c>
      <c r="C1302" s="6" t="s">
        <v>29</v>
      </c>
      <c r="D1302" s="6" t="str">
        <f>CONCATENATE(financials[[#This Row],[Segment]],",",financials[[#This Row],[Country]],",",financials[[#This Row],[Product]])</f>
        <v>Government,France,Velo</v>
      </c>
      <c r="E1302" s="6" t="s">
        <v>34</v>
      </c>
      <c r="F1302">
        <f t="shared" ca="1" si="40"/>
        <v>847</v>
      </c>
      <c r="G1302" s="1">
        <f ca="1">VLOOKUP(financials[[#This Row],[ID]],Prices!D:F,2,FALSE)</f>
        <v>20</v>
      </c>
      <c r="H1302" s="1">
        <f ca="1">VLOOKUP(financials[[#This Row],[ID]],Prices!D:F,3,FALSE)</f>
        <v>36</v>
      </c>
      <c r="I1302" s="1">
        <f ca="1">financials[[#This Row],[Units Sold]]*financials[[#This Row],[Sale Price]]</f>
        <v>30492</v>
      </c>
      <c r="J130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1524.6000000000001</v>
      </c>
      <c r="K1302" s="1">
        <f ca="1">financials[[#This Row],[Gross Sales]]-financials[[#This Row],[Discounts]]</f>
        <v>28967.4</v>
      </c>
      <c r="L1302" s="1">
        <f ca="1">financials[[#This Row],[Units Sold]]*financials[[#This Row],[Manufacturing Price]]</f>
        <v>16940</v>
      </c>
      <c r="M1302" s="1">
        <f ca="1">financials[[#This Row],[Sales]]-financials[[#This Row],[COGS]]</f>
        <v>12027.400000000001</v>
      </c>
      <c r="N1302" s="7">
        <f t="shared" ca="1" si="41"/>
        <v>45717</v>
      </c>
      <c r="O1302" s="8">
        <f ca="1">MONTH(financials[[#This Row],[Date]])</f>
        <v>3</v>
      </c>
      <c r="P1302" s="6" t="str">
        <f ca="1">TEXT(financials[[#This Row],[Date]],"MMM")</f>
        <v>Mar</v>
      </c>
      <c r="Q1302">
        <f ca="1">YEAR(financials[[#This Row],[Date]])</f>
        <v>2025</v>
      </c>
    </row>
    <row r="1303" spans="1:17" x14ac:dyDescent="0.3">
      <c r="A1303" t="s">
        <v>25</v>
      </c>
      <c r="B1303" t="s">
        <v>23</v>
      </c>
      <c r="C1303" s="6" t="s">
        <v>29</v>
      </c>
      <c r="D1303" s="6" t="str">
        <f>CONCATENATE(financials[[#This Row],[Segment]],",",financials[[#This Row],[Country]],",",financials[[#This Row],[Product]])</f>
        <v>Channel Partners,Mexico,Velo</v>
      </c>
      <c r="E1303" s="6" t="s">
        <v>34</v>
      </c>
      <c r="F1303">
        <f t="shared" ca="1" si="40"/>
        <v>765</v>
      </c>
      <c r="G1303" s="1">
        <f ca="1">VLOOKUP(financials[[#This Row],[ID]],Prices!D:F,2,FALSE)</f>
        <v>19</v>
      </c>
      <c r="H1303" s="1">
        <f ca="1">VLOOKUP(financials[[#This Row],[ID]],Prices!D:F,3,FALSE)</f>
        <v>16</v>
      </c>
      <c r="I1303" s="1">
        <f ca="1">financials[[#This Row],[Units Sold]]*financials[[#This Row],[Sale Price]]</f>
        <v>12240</v>
      </c>
      <c r="J130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612</v>
      </c>
      <c r="K1303" s="1">
        <f ca="1">financials[[#This Row],[Gross Sales]]-financials[[#This Row],[Discounts]]</f>
        <v>11628</v>
      </c>
      <c r="L1303" s="1">
        <f ca="1">financials[[#This Row],[Units Sold]]*financials[[#This Row],[Manufacturing Price]]</f>
        <v>14535</v>
      </c>
      <c r="M1303" s="1">
        <f ca="1">financials[[#This Row],[Sales]]-financials[[#This Row],[COGS]]</f>
        <v>-2907</v>
      </c>
      <c r="N1303" s="7">
        <f t="shared" ca="1" si="41"/>
        <v>45028</v>
      </c>
      <c r="O1303" s="8">
        <f ca="1">MONTH(financials[[#This Row],[Date]])</f>
        <v>4</v>
      </c>
      <c r="P1303" s="6" t="str">
        <f ca="1">TEXT(financials[[#This Row],[Date]],"MMM")</f>
        <v>Apr</v>
      </c>
      <c r="Q1303">
        <f ca="1">YEAR(financials[[#This Row],[Date]])</f>
        <v>2023</v>
      </c>
    </row>
    <row r="1304" spans="1:17" x14ac:dyDescent="0.3">
      <c r="A1304" t="s">
        <v>21</v>
      </c>
      <c r="B1304" t="s">
        <v>20</v>
      </c>
      <c r="C1304" s="6" t="s">
        <v>29</v>
      </c>
      <c r="D1304" s="6" t="str">
        <f>CONCATENATE(financials[[#This Row],[Segment]],",",financials[[#This Row],[Country]],",",financials[[#This Row],[Product]])</f>
        <v>Midmarket,Germany,Velo</v>
      </c>
      <c r="E1304" s="6" t="s">
        <v>34</v>
      </c>
      <c r="F1304">
        <f t="shared" ca="1" si="40"/>
        <v>375</v>
      </c>
      <c r="G1304" s="1">
        <f ca="1">VLOOKUP(financials[[#This Row],[ID]],Prices!D:F,2,FALSE)</f>
        <v>10</v>
      </c>
      <c r="H1304" s="1">
        <f ca="1">VLOOKUP(financials[[#This Row],[ID]],Prices!D:F,3,FALSE)</f>
        <v>25</v>
      </c>
      <c r="I1304" s="1">
        <f ca="1">financials[[#This Row],[Units Sold]]*financials[[#This Row],[Sale Price]]</f>
        <v>9375</v>
      </c>
      <c r="J130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468.75</v>
      </c>
      <c r="K1304" s="1">
        <f ca="1">financials[[#This Row],[Gross Sales]]-financials[[#This Row],[Discounts]]</f>
        <v>8906.25</v>
      </c>
      <c r="L1304" s="1">
        <f ca="1">financials[[#This Row],[Units Sold]]*financials[[#This Row],[Manufacturing Price]]</f>
        <v>3750</v>
      </c>
      <c r="M1304" s="1">
        <f ca="1">financials[[#This Row],[Sales]]-financials[[#This Row],[COGS]]</f>
        <v>5156.25</v>
      </c>
      <c r="N1304" s="7">
        <f t="shared" ca="1" si="41"/>
        <v>45420</v>
      </c>
      <c r="O1304" s="8">
        <f ca="1">MONTH(financials[[#This Row],[Date]])</f>
        <v>5</v>
      </c>
      <c r="P1304" s="6" t="str">
        <f ca="1">TEXT(financials[[#This Row],[Date]],"MMM")</f>
        <v>May</v>
      </c>
      <c r="Q1304">
        <f ca="1">YEAR(financials[[#This Row],[Date]])</f>
        <v>2024</v>
      </c>
    </row>
    <row r="1305" spans="1:17" x14ac:dyDescent="0.3">
      <c r="A1305" t="s">
        <v>25</v>
      </c>
      <c r="B1305" t="s">
        <v>23</v>
      </c>
      <c r="C1305" s="6" t="s">
        <v>29</v>
      </c>
      <c r="D1305" s="6" t="str">
        <f>CONCATENATE(financials[[#This Row],[Segment]],",",financials[[#This Row],[Country]],",",financials[[#This Row],[Product]])</f>
        <v>Channel Partners,Mexico,Velo</v>
      </c>
      <c r="E1305" s="6" t="s">
        <v>34</v>
      </c>
      <c r="F1305">
        <f t="shared" ca="1" si="40"/>
        <v>914</v>
      </c>
      <c r="G1305" s="1">
        <f ca="1">VLOOKUP(financials[[#This Row],[ID]],Prices!D:F,2,FALSE)</f>
        <v>19</v>
      </c>
      <c r="H1305" s="1">
        <f ca="1">VLOOKUP(financials[[#This Row],[ID]],Prices!D:F,3,FALSE)</f>
        <v>16</v>
      </c>
      <c r="I1305" s="1">
        <f ca="1">financials[[#This Row],[Units Sold]]*financials[[#This Row],[Sale Price]]</f>
        <v>14624</v>
      </c>
      <c r="J130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731.2</v>
      </c>
      <c r="K1305" s="1">
        <f ca="1">financials[[#This Row],[Gross Sales]]-financials[[#This Row],[Discounts]]</f>
        <v>13892.8</v>
      </c>
      <c r="L1305" s="1">
        <f ca="1">financials[[#This Row],[Units Sold]]*financials[[#This Row],[Manufacturing Price]]</f>
        <v>17366</v>
      </c>
      <c r="M1305" s="1">
        <f ca="1">financials[[#This Row],[Sales]]-financials[[#This Row],[COGS]]</f>
        <v>-3473.2000000000007</v>
      </c>
      <c r="N1305" s="7">
        <f t="shared" ca="1" si="41"/>
        <v>45242</v>
      </c>
      <c r="O1305" s="8">
        <f ca="1">MONTH(financials[[#This Row],[Date]])</f>
        <v>11</v>
      </c>
      <c r="P1305" s="6" t="str">
        <f ca="1">TEXT(financials[[#This Row],[Date]],"MMM")</f>
        <v>Nov</v>
      </c>
      <c r="Q1305">
        <f ca="1">YEAR(financials[[#This Row],[Date]])</f>
        <v>2023</v>
      </c>
    </row>
    <row r="1306" spans="1:17" x14ac:dyDescent="0.3">
      <c r="A1306" t="s">
        <v>27</v>
      </c>
      <c r="B1306" t="s">
        <v>23</v>
      </c>
      <c r="C1306" s="6" t="s">
        <v>29</v>
      </c>
      <c r="D1306" s="6" t="str">
        <f>CONCATENATE(financials[[#This Row],[Segment]],",",financials[[#This Row],[Country]],",",financials[[#This Row],[Product]])</f>
        <v>Small Business,Mexico,Velo</v>
      </c>
      <c r="E1306" s="6" t="s">
        <v>34</v>
      </c>
      <c r="F1306">
        <f t="shared" ca="1" si="40"/>
        <v>466</v>
      </c>
      <c r="G1306" s="1">
        <f ca="1">VLOOKUP(financials[[#This Row],[ID]],Prices!D:F,2,FALSE)</f>
        <v>19</v>
      </c>
      <c r="H1306" s="1">
        <f ca="1">VLOOKUP(financials[[#This Row],[ID]],Prices!D:F,3,FALSE)</f>
        <v>32</v>
      </c>
      <c r="I1306" s="1">
        <f ca="1">financials[[#This Row],[Units Sold]]*financials[[#This Row],[Sale Price]]</f>
        <v>14912</v>
      </c>
      <c r="J130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745.6</v>
      </c>
      <c r="K1306" s="1">
        <f ca="1">financials[[#This Row],[Gross Sales]]-financials[[#This Row],[Discounts]]</f>
        <v>14166.4</v>
      </c>
      <c r="L1306" s="1">
        <f ca="1">financials[[#This Row],[Units Sold]]*financials[[#This Row],[Manufacturing Price]]</f>
        <v>8854</v>
      </c>
      <c r="M1306" s="1">
        <f ca="1">financials[[#This Row],[Sales]]-financials[[#This Row],[COGS]]</f>
        <v>5312.4</v>
      </c>
      <c r="N1306" s="7">
        <f t="shared" ca="1" si="41"/>
        <v>45551</v>
      </c>
      <c r="O1306" s="8">
        <f ca="1">MONTH(financials[[#This Row],[Date]])</f>
        <v>9</v>
      </c>
      <c r="P1306" s="6" t="str">
        <f ca="1">TEXT(financials[[#This Row],[Date]],"MMM")</f>
        <v>Sep</v>
      </c>
      <c r="Q1306">
        <f ca="1">YEAR(financials[[#This Row],[Date]])</f>
        <v>2024</v>
      </c>
    </row>
    <row r="1307" spans="1:17" x14ac:dyDescent="0.3">
      <c r="A1307" t="s">
        <v>25</v>
      </c>
      <c r="B1307" t="s">
        <v>20</v>
      </c>
      <c r="C1307" s="6" t="s">
        <v>29</v>
      </c>
      <c r="D1307" s="6" t="str">
        <f>CONCATENATE(financials[[#This Row],[Segment]],",",financials[[#This Row],[Country]],",",financials[[#This Row],[Product]])</f>
        <v>Channel Partners,Germany,Velo</v>
      </c>
      <c r="E1307" s="6" t="s">
        <v>34</v>
      </c>
      <c r="F1307">
        <f t="shared" ca="1" si="40"/>
        <v>761</v>
      </c>
      <c r="G1307" s="1">
        <f ca="1">VLOOKUP(financials[[#This Row],[ID]],Prices!D:F,2,FALSE)</f>
        <v>17</v>
      </c>
      <c r="H1307" s="1">
        <f ca="1">VLOOKUP(financials[[#This Row],[ID]],Prices!D:F,3,FALSE)</f>
        <v>23</v>
      </c>
      <c r="I1307" s="1">
        <f ca="1">financials[[#This Row],[Units Sold]]*financials[[#This Row],[Sale Price]]</f>
        <v>17503</v>
      </c>
      <c r="J130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875.15000000000009</v>
      </c>
      <c r="K1307" s="1">
        <f ca="1">financials[[#This Row],[Gross Sales]]-financials[[#This Row],[Discounts]]</f>
        <v>16627.849999999999</v>
      </c>
      <c r="L1307" s="1">
        <f ca="1">financials[[#This Row],[Units Sold]]*financials[[#This Row],[Manufacturing Price]]</f>
        <v>12937</v>
      </c>
      <c r="M1307" s="1">
        <f ca="1">financials[[#This Row],[Sales]]-financials[[#This Row],[COGS]]</f>
        <v>3690.8499999999985</v>
      </c>
      <c r="N1307" s="7">
        <f t="shared" ca="1" si="41"/>
        <v>45193</v>
      </c>
      <c r="O1307" s="8">
        <f ca="1">MONTH(financials[[#This Row],[Date]])</f>
        <v>9</v>
      </c>
      <c r="P1307" s="6" t="str">
        <f ca="1">TEXT(financials[[#This Row],[Date]],"MMM")</f>
        <v>Sep</v>
      </c>
      <c r="Q1307">
        <f ca="1">YEAR(financials[[#This Row],[Date]])</f>
        <v>2023</v>
      </c>
    </row>
    <row r="1308" spans="1:17" x14ac:dyDescent="0.3">
      <c r="A1308" t="s">
        <v>26</v>
      </c>
      <c r="B1308" t="s">
        <v>17</v>
      </c>
      <c r="C1308" s="6" t="s">
        <v>30</v>
      </c>
      <c r="D1308" s="6" t="str">
        <f>CONCATENATE(financials[[#This Row],[Segment]],",",financials[[#This Row],[Country]],",",financials[[#This Row],[Product]])</f>
        <v>Enterprise,Canada,VTT</v>
      </c>
      <c r="E1308" s="6" t="s">
        <v>34</v>
      </c>
      <c r="F1308">
        <f t="shared" ca="1" si="40"/>
        <v>653</v>
      </c>
      <c r="G1308" s="1">
        <f ca="1">VLOOKUP(financials[[#This Row],[ID]],Prices!D:F,2,FALSE)</f>
        <v>14</v>
      </c>
      <c r="H1308" s="1">
        <f ca="1">VLOOKUP(financials[[#This Row],[ID]],Prices!D:F,3,FALSE)</f>
        <v>29</v>
      </c>
      <c r="I1308" s="1">
        <f ca="1">financials[[#This Row],[Units Sold]]*financials[[#This Row],[Sale Price]]</f>
        <v>18937</v>
      </c>
      <c r="J130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946.85</v>
      </c>
      <c r="K1308" s="1">
        <f ca="1">financials[[#This Row],[Gross Sales]]-financials[[#This Row],[Discounts]]</f>
        <v>17990.150000000001</v>
      </c>
      <c r="L1308" s="1">
        <f ca="1">financials[[#This Row],[Units Sold]]*financials[[#This Row],[Manufacturing Price]]</f>
        <v>9142</v>
      </c>
      <c r="M1308" s="1">
        <f ca="1">financials[[#This Row],[Sales]]-financials[[#This Row],[COGS]]</f>
        <v>8848.1500000000015</v>
      </c>
      <c r="N1308" s="7">
        <f t="shared" ca="1" si="41"/>
        <v>45717</v>
      </c>
      <c r="O1308" s="8">
        <f ca="1">MONTH(financials[[#This Row],[Date]])</f>
        <v>3</v>
      </c>
      <c r="P1308" s="6" t="str">
        <f ca="1">TEXT(financials[[#This Row],[Date]],"MMM")</f>
        <v>Mar</v>
      </c>
      <c r="Q1308">
        <f ca="1">YEAR(financials[[#This Row],[Date]])</f>
        <v>2025</v>
      </c>
    </row>
    <row r="1309" spans="1:17" x14ac:dyDescent="0.3">
      <c r="A1309" t="s">
        <v>21</v>
      </c>
      <c r="B1309" t="s">
        <v>17</v>
      </c>
      <c r="C1309" s="6" t="s">
        <v>30</v>
      </c>
      <c r="D1309" s="6" t="str">
        <f>CONCATENATE(financials[[#This Row],[Segment]],",",financials[[#This Row],[Country]],",",financials[[#This Row],[Product]])</f>
        <v>Midmarket,Canada,VTT</v>
      </c>
      <c r="E1309" s="6" t="s">
        <v>34</v>
      </c>
      <c r="F1309">
        <f t="shared" ca="1" si="40"/>
        <v>363</v>
      </c>
      <c r="G1309" s="1">
        <f ca="1">VLOOKUP(financials[[#This Row],[ID]],Prices!D:F,2,FALSE)</f>
        <v>13</v>
      </c>
      <c r="H1309" s="1">
        <f ca="1">VLOOKUP(financials[[#This Row],[ID]],Prices!D:F,3,FALSE)</f>
        <v>36</v>
      </c>
      <c r="I1309" s="1">
        <f ca="1">financials[[#This Row],[Units Sold]]*financials[[#This Row],[Sale Price]]</f>
        <v>13068</v>
      </c>
      <c r="J130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653.40000000000009</v>
      </c>
      <c r="K1309" s="1">
        <f ca="1">financials[[#This Row],[Gross Sales]]-financials[[#This Row],[Discounts]]</f>
        <v>12414.6</v>
      </c>
      <c r="L1309" s="1">
        <f ca="1">financials[[#This Row],[Units Sold]]*financials[[#This Row],[Manufacturing Price]]</f>
        <v>4719</v>
      </c>
      <c r="M1309" s="1">
        <f ca="1">financials[[#This Row],[Sales]]-financials[[#This Row],[COGS]]</f>
        <v>7695.6</v>
      </c>
      <c r="N1309" s="7">
        <f t="shared" ca="1" si="41"/>
        <v>45210</v>
      </c>
      <c r="O1309" s="8">
        <f ca="1">MONTH(financials[[#This Row],[Date]])</f>
        <v>10</v>
      </c>
      <c r="P1309" s="6" t="str">
        <f ca="1">TEXT(financials[[#This Row],[Date]],"MMM")</f>
        <v>Oct</v>
      </c>
      <c r="Q1309">
        <f ca="1">YEAR(financials[[#This Row],[Date]])</f>
        <v>2023</v>
      </c>
    </row>
    <row r="1310" spans="1:17" x14ac:dyDescent="0.3">
      <c r="A1310" t="s">
        <v>26</v>
      </c>
      <c r="B1310" t="s">
        <v>17</v>
      </c>
      <c r="C1310" s="6" t="s">
        <v>31</v>
      </c>
      <c r="D1310" s="6" t="str">
        <f>CONCATENATE(financials[[#This Row],[Segment]],",",financials[[#This Row],[Country]],",",financials[[#This Row],[Product]])</f>
        <v>Enterprise,Canada,Amarilla</v>
      </c>
      <c r="E1310" s="6" t="s">
        <v>34</v>
      </c>
      <c r="F1310">
        <f t="shared" ca="1" si="40"/>
        <v>263</v>
      </c>
      <c r="G1310" s="1">
        <f ca="1">VLOOKUP(financials[[#This Row],[ID]],Prices!D:F,2,FALSE)</f>
        <v>18</v>
      </c>
      <c r="H1310" s="1">
        <f ca="1">VLOOKUP(financials[[#This Row],[ID]],Prices!D:F,3,FALSE)</f>
        <v>27</v>
      </c>
      <c r="I1310" s="1">
        <f ca="1">financials[[#This Row],[Units Sold]]*financials[[#This Row],[Sale Price]]</f>
        <v>7101</v>
      </c>
      <c r="J131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355.05</v>
      </c>
      <c r="K1310" s="1">
        <f ca="1">financials[[#This Row],[Gross Sales]]-financials[[#This Row],[Discounts]]</f>
        <v>6745.95</v>
      </c>
      <c r="L1310" s="1">
        <f ca="1">financials[[#This Row],[Units Sold]]*financials[[#This Row],[Manufacturing Price]]</f>
        <v>4734</v>
      </c>
      <c r="M1310" s="1">
        <f ca="1">financials[[#This Row],[Sales]]-financials[[#This Row],[COGS]]</f>
        <v>2011.9499999999998</v>
      </c>
      <c r="N1310" s="7">
        <f t="shared" ca="1" si="41"/>
        <v>45204</v>
      </c>
      <c r="O1310" s="8">
        <f ca="1">MONTH(financials[[#This Row],[Date]])</f>
        <v>10</v>
      </c>
      <c r="P1310" s="6" t="str">
        <f ca="1">TEXT(financials[[#This Row],[Date]],"MMM")</f>
        <v>Oct</v>
      </c>
      <c r="Q1310">
        <f ca="1">YEAR(financials[[#This Row],[Date]])</f>
        <v>2023</v>
      </c>
    </row>
    <row r="1311" spans="1:17" x14ac:dyDescent="0.3">
      <c r="A1311" t="s">
        <v>16</v>
      </c>
      <c r="B1311" t="s">
        <v>22</v>
      </c>
      <c r="C1311" s="6" t="s">
        <v>31</v>
      </c>
      <c r="D1311" s="6" t="str">
        <f>CONCATENATE(financials[[#This Row],[Segment]],",",financials[[#This Row],[Country]],",",financials[[#This Row],[Product]])</f>
        <v>Government,France,Amarilla</v>
      </c>
      <c r="E1311" s="6" t="s">
        <v>34</v>
      </c>
      <c r="F1311">
        <f t="shared" ca="1" si="40"/>
        <v>566</v>
      </c>
      <c r="G1311" s="1">
        <f ca="1">VLOOKUP(financials[[#This Row],[ID]],Prices!D:F,2,FALSE)</f>
        <v>10</v>
      </c>
      <c r="H1311" s="1">
        <f ca="1">VLOOKUP(financials[[#This Row],[ID]],Prices!D:F,3,FALSE)</f>
        <v>25</v>
      </c>
      <c r="I1311" s="1">
        <f ca="1">financials[[#This Row],[Units Sold]]*financials[[#This Row],[Sale Price]]</f>
        <v>14150</v>
      </c>
      <c r="J131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707.5</v>
      </c>
      <c r="K1311" s="1">
        <f ca="1">financials[[#This Row],[Gross Sales]]-financials[[#This Row],[Discounts]]</f>
        <v>13442.5</v>
      </c>
      <c r="L1311" s="1">
        <f ca="1">financials[[#This Row],[Units Sold]]*financials[[#This Row],[Manufacturing Price]]</f>
        <v>5660</v>
      </c>
      <c r="M1311" s="1">
        <f ca="1">financials[[#This Row],[Sales]]-financials[[#This Row],[COGS]]</f>
        <v>7782.5</v>
      </c>
      <c r="N1311" s="7">
        <f t="shared" ca="1" si="41"/>
        <v>45220</v>
      </c>
      <c r="O1311" s="8">
        <f ca="1">MONTH(financials[[#This Row],[Date]])</f>
        <v>10</v>
      </c>
      <c r="P1311" s="6" t="str">
        <f ca="1">TEXT(financials[[#This Row],[Date]],"MMM")</f>
        <v>Oct</v>
      </c>
      <c r="Q1311">
        <f ca="1">YEAR(financials[[#This Row],[Date]])</f>
        <v>2023</v>
      </c>
    </row>
    <row r="1312" spans="1:17" x14ac:dyDescent="0.3">
      <c r="A1312" t="s">
        <v>25</v>
      </c>
      <c r="B1312" t="s">
        <v>23</v>
      </c>
      <c r="C1312" s="6" t="s">
        <v>31</v>
      </c>
      <c r="D1312" s="6" t="str">
        <f>CONCATENATE(financials[[#This Row],[Segment]],",",financials[[#This Row],[Country]],",",financials[[#This Row],[Product]])</f>
        <v>Channel Partners,Mexico,Amarilla</v>
      </c>
      <c r="E1312" s="6" t="s">
        <v>34</v>
      </c>
      <c r="F1312">
        <f t="shared" ca="1" si="40"/>
        <v>83</v>
      </c>
      <c r="G1312" s="1">
        <f ca="1">VLOOKUP(financials[[#This Row],[ID]],Prices!D:F,2,FALSE)</f>
        <v>11</v>
      </c>
      <c r="H1312" s="1">
        <f ca="1">VLOOKUP(financials[[#This Row],[ID]],Prices!D:F,3,FALSE)</f>
        <v>20</v>
      </c>
      <c r="I1312" s="1">
        <f ca="1">financials[[#This Row],[Units Sold]]*financials[[#This Row],[Sale Price]]</f>
        <v>1660</v>
      </c>
      <c r="J131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</v>
      </c>
      <c r="K1312" s="1">
        <f ca="1">financials[[#This Row],[Gross Sales]]-financials[[#This Row],[Discounts]]</f>
        <v>1577</v>
      </c>
      <c r="L1312" s="1">
        <f ca="1">financials[[#This Row],[Units Sold]]*financials[[#This Row],[Manufacturing Price]]</f>
        <v>913</v>
      </c>
      <c r="M1312" s="1">
        <f ca="1">financials[[#This Row],[Sales]]-financials[[#This Row],[COGS]]</f>
        <v>664</v>
      </c>
      <c r="N1312" s="7">
        <f t="shared" ca="1" si="41"/>
        <v>45388</v>
      </c>
      <c r="O1312" s="8">
        <f ca="1">MONTH(financials[[#This Row],[Date]])</f>
        <v>4</v>
      </c>
      <c r="P1312" s="6" t="str">
        <f ca="1">TEXT(financials[[#This Row],[Date]],"MMM")</f>
        <v>Apr</v>
      </c>
      <c r="Q1312">
        <f ca="1">YEAR(financials[[#This Row],[Date]])</f>
        <v>2024</v>
      </c>
    </row>
    <row r="1313" spans="1:17" x14ac:dyDescent="0.3">
      <c r="A1313" t="s">
        <v>25</v>
      </c>
      <c r="B1313" t="s">
        <v>20</v>
      </c>
      <c r="C1313" s="6" t="s">
        <v>31</v>
      </c>
      <c r="D1313" s="6" t="str">
        <f>CONCATENATE(financials[[#This Row],[Segment]],",",financials[[#This Row],[Country]],",",financials[[#This Row],[Product]])</f>
        <v>Channel Partners,Germany,Amarilla</v>
      </c>
      <c r="E1313" s="6" t="s">
        <v>34</v>
      </c>
      <c r="F1313">
        <f t="shared" ca="1" si="40"/>
        <v>867</v>
      </c>
      <c r="G1313" s="1">
        <f ca="1">VLOOKUP(financials[[#This Row],[ID]],Prices!D:F,2,FALSE)</f>
        <v>15</v>
      </c>
      <c r="H1313" s="1">
        <f ca="1">VLOOKUP(financials[[#This Row],[ID]],Prices!D:F,3,FALSE)</f>
        <v>22</v>
      </c>
      <c r="I1313" s="1">
        <f ca="1">financials[[#This Row],[Units Sold]]*financials[[#This Row],[Sale Price]]</f>
        <v>19074</v>
      </c>
      <c r="J131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953.7</v>
      </c>
      <c r="K1313" s="1">
        <f ca="1">financials[[#This Row],[Gross Sales]]-financials[[#This Row],[Discounts]]</f>
        <v>18120.3</v>
      </c>
      <c r="L1313" s="1">
        <f ca="1">financials[[#This Row],[Units Sold]]*financials[[#This Row],[Manufacturing Price]]</f>
        <v>13005</v>
      </c>
      <c r="M1313" s="1">
        <f ca="1">financials[[#This Row],[Sales]]-financials[[#This Row],[COGS]]</f>
        <v>5115.2999999999993</v>
      </c>
      <c r="N1313" s="7">
        <f t="shared" ca="1" si="41"/>
        <v>45148</v>
      </c>
      <c r="O1313" s="8">
        <f ca="1">MONTH(financials[[#This Row],[Date]])</f>
        <v>8</v>
      </c>
      <c r="P1313" s="6" t="str">
        <f ca="1">TEXT(financials[[#This Row],[Date]],"MMM")</f>
        <v>Aug</v>
      </c>
      <c r="Q1313">
        <f ca="1">YEAR(financials[[#This Row],[Date]])</f>
        <v>2023</v>
      </c>
    </row>
    <row r="1314" spans="1:17" x14ac:dyDescent="0.3">
      <c r="A1314" t="s">
        <v>16</v>
      </c>
      <c r="B1314" t="s">
        <v>23</v>
      </c>
      <c r="C1314" s="6" t="s">
        <v>18</v>
      </c>
      <c r="D1314" s="6" t="str">
        <f>CONCATENATE(financials[[#This Row],[Segment]],",",financials[[#This Row],[Country]],",",financials[[#This Row],[Product]])</f>
        <v>Government,Mexico,Carretera</v>
      </c>
      <c r="E1314" s="6" t="s">
        <v>34</v>
      </c>
      <c r="F1314">
        <f t="shared" ca="1" si="40"/>
        <v>606</v>
      </c>
      <c r="G1314" s="1">
        <f ca="1">VLOOKUP(financials[[#This Row],[ID]],Prices!D:F,2,FALSE)</f>
        <v>16</v>
      </c>
      <c r="H1314" s="1">
        <f ca="1">VLOOKUP(financials[[#This Row],[ID]],Prices!D:F,3,FALSE)</f>
        <v>31</v>
      </c>
      <c r="I1314" s="1">
        <f ca="1">financials[[#This Row],[Units Sold]]*financials[[#This Row],[Sale Price]]</f>
        <v>18786</v>
      </c>
      <c r="J131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939.30000000000007</v>
      </c>
      <c r="K1314" s="1">
        <f ca="1">financials[[#This Row],[Gross Sales]]-financials[[#This Row],[Discounts]]</f>
        <v>17846.7</v>
      </c>
      <c r="L1314" s="1">
        <f ca="1">financials[[#This Row],[Units Sold]]*financials[[#This Row],[Manufacturing Price]]</f>
        <v>9696</v>
      </c>
      <c r="M1314" s="1">
        <f ca="1">financials[[#This Row],[Sales]]-financials[[#This Row],[COGS]]</f>
        <v>8150.7000000000007</v>
      </c>
      <c r="N1314" s="7">
        <f t="shared" ca="1" si="41"/>
        <v>45681</v>
      </c>
      <c r="O1314" s="8">
        <f ca="1">MONTH(financials[[#This Row],[Date]])</f>
        <v>1</v>
      </c>
      <c r="P1314" s="6" t="str">
        <f ca="1">TEXT(financials[[#This Row],[Date]],"MMM")</f>
        <v>Jan</v>
      </c>
      <c r="Q1314">
        <f ca="1">YEAR(financials[[#This Row],[Date]])</f>
        <v>2025</v>
      </c>
    </row>
    <row r="1315" spans="1:17" x14ac:dyDescent="0.3">
      <c r="A1315" t="s">
        <v>16</v>
      </c>
      <c r="B1315" t="s">
        <v>36</v>
      </c>
      <c r="C1315" s="6" t="s">
        <v>18</v>
      </c>
      <c r="D1315" s="6" t="str">
        <f>CONCATENATE(financials[[#This Row],[Segment]],",",financials[[#This Row],[Country]],",",financials[[#This Row],[Product]])</f>
        <v>Government,USA,Carretera</v>
      </c>
      <c r="E1315" s="6" t="s">
        <v>34</v>
      </c>
      <c r="F1315">
        <f t="shared" ca="1" si="40"/>
        <v>693</v>
      </c>
      <c r="G1315" s="1">
        <f ca="1">VLOOKUP(financials[[#This Row],[ID]],Prices!D:F,2,FALSE)</f>
        <v>11</v>
      </c>
      <c r="H1315" s="1">
        <f ca="1">VLOOKUP(financials[[#This Row],[ID]],Prices!D:F,3,FALSE)</f>
        <v>21</v>
      </c>
      <c r="I1315" s="1">
        <f ca="1">financials[[#This Row],[Units Sold]]*financials[[#This Row],[Sale Price]]</f>
        <v>14553</v>
      </c>
      <c r="J131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727.65000000000009</v>
      </c>
      <c r="K1315" s="1">
        <f ca="1">financials[[#This Row],[Gross Sales]]-financials[[#This Row],[Discounts]]</f>
        <v>13825.35</v>
      </c>
      <c r="L1315" s="1">
        <f ca="1">financials[[#This Row],[Units Sold]]*financials[[#This Row],[Manufacturing Price]]</f>
        <v>7623</v>
      </c>
      <c r="M1315" s="1">
        <f ca="1">financials[[#This Row],[Sales]]-financials[[#This Row],[COGS]]</f>
        <v>6202.35</v>
      </c>
      <c r="N1315" s="7">
        <f t="shared" ca="1" si="41"/>
        <v>45198</v>
      </c>
      <c r="O1315" s="8">
        <f ca="1">MONTH(financials[[#This Row],[Date]])</f>
        <v>9</v>
      </c>
      <c r="P1315" s="6" t="str">
        <f ca="1">TEXT(financials[[#This Row],[Date]],"MMM")</f>
        <v>Sep</v>
      </c>
      <c r="Q1315">
        <f ca="1">YEAR(financials[[#This Row],[Date]])</f>
        <v>2023</v>
      </c>
    </row>
    <row r="1316" spans="1:17" x14ac:dyDescent="0.3">
      <c r="A1316" t="s">
        <v>16</v>
      </c>
      <c r="B1316" t="s">
        <v>36</v>
      </c>
      <c r="C1316" s="6" t="s">
        <v>18</v>
      </c>
      <c r="D1316" s="6" t="str">
        <f>CONCATENATE(financials[[#This Row],[Segment]],",",financials[[#This Row],[Country]],",",financials[[#This Row],[Product]])</f>
        <v>Government,USA,Carretera</v>
      </c>
      <c r="E1316" s="6" t="s">
        <v>34</v>
      </c>
      <c r="F1316">
        <f t="shared" ca="1" si="40"/>
        <v>456</v>
      </c>
      <c r="G1316" s="1">
        <f ca="1">VLOOKUP(financials[[#This Row],[ID]],Prices!D:F,2,FALSE)</f>
        <v>11</v>
      </c>
      <c r="H1316" s="1">
        <f ca="1">VLOOKUP(financials[[#This Row],[ID]],Prices!D:F,3,FALSE)</f>
        <v>21</v>
      </c>
      <c r="I1316" s="1">
        <f ca="1">financials[[#This Row],[Units Sold]]*financials[[#This Row],[Sale Price]]</f>
        <v>9576</v>
      </c>
      <c r="J131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478.8</v>
      </c>
      <c r="K1316" s="1">
        <f ca="1">financials[[#This Row],[Gross Sales]]-financials[[#This Row],[Discounts]]</f>
        <v>9097.2000000000007</v>
      </c>
      <c r="L1316" s="1">
        <f ca="1">financials[[#This Row],[Units Sold]]*financials[[#This Row],[Manufacturing Price]]</f>
        <v>5016</v>
      </c>
      <c r="M1316" s="1">
        <f ca="1">financials[[#This Row],[Sales]]-financials[[#This Row],[COGS]]</f>
        <v>4081.2000000000007</v>
      </c>
      <c r="N1316" s="7">
        <f t="shared" ca="1" si="41"/>
        <v>45669</v>
      </c>
      <c r="O1316" s="8">
        <f ca="1">MONTH(financials[[#This Row],[Date]])</f>
        <v>1</v>
      </c>
      <c r="P1316" s="6" t="str">
        <f ca="1">TEXT(financials[[#This Row],[Date]],"MMM")</f>
        <v>Jan</v>
      </c>
      <c r="Q1316">
        <f ca="1">YEAR(financials[[#This Row],[Date]])</f>
        <v>2025</v>
      </c>
    </row>
    <row r="1317" spans="1:17" x14ac:dyDescent="0.3">
      <c r="A1317" t="s">
        <v>16</v>
      </c>
      <c r="B1317" t="s">
        <v>20</v>
      </c>
      <c r="C1317" s="6" t="s">
        <v>18</v>
      </c>
      <c r="D1317" s="6" t="str">
        <f>CONCATENATE(financials[[#This Row],[Segment]],",",financials[[#This Row],[Country]],",",financials[[#This Row],[Product]])</f>
        <v>Government,Germany,Carretera</v>
      </c>
      <c r="E1317" s="6" t="s">
        <v>34</v>
      </c>
      <c r="F1317">
        <f t="shared" ca="1" si="40"/>
        <v>28</v>
      </c>
      <c r="G1317" s="1">
        <f ca="1">VLOOKUP(financials[[#This Row],[ID]],Prices!D:F,2,FALSE)</f>
        <v>13</v>
      </c>
      <c r="H1317" s="1">
        <f ca="1">VLOOKUP(financials[[#This Row],[ID]],Prices!D:F,3,FALSE)</f>
        <v>22</v>
      </c>
      <c r="I1317" s="1">
        <f ca="1">financials[[#This Row],[Units Sold]]*financials[[#This Row],[Sale Price]]</f>
        <v>616</v>
      </c>
      <c r="J131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6.16</v>
      </c>
      <c r="K1317" s="1">
        <f ca="1">financials[[#This Row],[Gross Sales]]-financials[[#This Row],[Discounts]]</f>
        <v>609.84</v>
      </c>
      <c r="L1317" s="1">
        <f ca="1">financials[[#This Row],[Units Sold]]*financials[[#This Row],[Manufacturing Price]]</f>
        <v>364</v>
      </c>
      <c r="M1317" s="1">
        <f ca="1">financials[[#This Row],[Sales]]-financials[[#This Row],[COGS]]</f>
        <v>245.84000000000003</v>
      </c>
      <c r="N1317" s="7">
        <f t="shared" ca="1" si="41"/>
        <v>45267</v>
      </c>
      <c r="O1317" s="8">
        <f ca="1">MONTH(financials[[#This Row],[Date]])</f>
        <v>12</v>
      </c>
      <c r="P1317" s="6" t="str">
        <f ca="1">TEXT(financials[[#This Row],[Date]],"MMM")</f>
        <v>Dec</v>
      </c>
      <c r="Q1317">
        <f ca="1">YEAR(financials[[#This Row],[Date]])</f>
        <v>2023</v>
      </c>
    </row>
    <row r="1318" spans="1:17" x14ac:dyDescent="0.3">
      <c r="A1318" t="s">
        <v>16</v>
      </c>
      <c r="B1318" t="s">
        <v>22</v>
      </c>
      <c r="C1318" s="6" t="s">
        <v>24</v>
      </c>
      <c r="D1318" s="6" t="str">
        <f>CONCATENATE(financials[[#This Row],[Segment]],",",financials[[#This Row],[Country]],",",financials[[#This Row],[Product]])</f>
        <v>Government,France,Montana</v>
      </c>
      <c r="E1318" s="6" t="s">
        <v>34</v>
      </c>
      <c r="F1318">
        <f t="shared" ca="1" si="40"/>
        <v>345</v>
      </c>
      <c r="G1318" s="1">
        <f ca="1">VLOOKUP(financials[[#This Row],[ID]],Prices!D:F,2,FALSE)</f>
        <v>19</v>
      </c>
      <c r="H1318" s="1">
        <f ca="1">VLOOKUP(financials[[#This Row],[ID]],Prices!D:F,3,FALSE)</f>
        <v>22</v>
      </c>
      <c r="I1318" s="1">
        <f ca="1">financials[[#This Row],[Units Sold]]*financials[[#This Row],[Sale Price]]</f>
        <v>7590</v>
      </c>
      <c r="J131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379.5</v>
      </c>
      <c r="K1318" s="1">
        <f ca="1">financials[[#This Row],[Gross Sales]]-financials[[#This Row],[Discounts]]</f>
        <v>7210.5</v>
      </c>
      <c r="L1318" s="1">
        <f ca="1">financials[[#This Row],[Units Sold]]*financials[[#This Row],[Manufacturing Price]]</f>
        <v>6555</v>
      </c>
      <c r="M1318" s="1">
        <f ca="1">financials[[#This Row],[Sales]]-financials[[#This Row],[COGS]]</f>
        <v>655.5</v>
      </c>
      <c r="N1318" s="7">
        <f t="shared" ca="1" si="41"/>
        <v>45160</v>
      </c>
      <c r="O1318" s="8">
        <f ca="1">MONTH(financials[[#This Row],[Date]])</f>
        <v>8</v>
      </c>
      <c r="P1318" s="6" t="str">
        <f ca="1">TEXT(financials[[#This Row],[Date]],"MMM")</f>
        <v>Aug</v>
      </c>
      <c r="Q1318">
        <f ca="1">YEAR(financials[[#This Row],[Date]])</f>
        <v>2023</v>
      </c>
    </row>
    <row r="1319" spans="1:17" x14ac:dyDescent="0.3">
      <c r="A1319" t="s">
        <v>16</v>
      </c>
      <c r="B1319" t="s">
        <v>36</v>
      </c>
      <c r="C1319" s="6" t="s">
        <v>24</v>
      </c>
      <c r="D1319" s="6" t="str">
        <f>CONCATENATE(financials[[#This Row],[Segment]],",",financials[[#This Row],[Country]],",",financials[[#This Row],[Product]])</f>
        <v>Government,USA,Montana</v>
      </c>
      <c r="E1319" s="6" t="s">
        <v>34</v>
      </c>
      <c r="F1319">
        <f t="shared" ca="1" si="40"/>
        <v>497</v>
      </c>
      <c r="G1319" s="1">
        <f ca="1">VLOOKUP(financials[[#This Row],[ID]],Prices!D:F,2,FALSE)</f>
        <v>10</v>
      </c>
      <c r="H1319" s="1">
        <f ca="1">VLOOKUP(financials[[#This Row],[ID]],Prices!D:F,3,FALSE)</f>
        <v>34</v>
      </c>
      <c r="I1319" s="1">
        <f ca="1">financials[[#This Row],[Units Sold]]*financials[[#This Row],[Sale Price]]</f>
        <v>16898</v>
      </c>
      <c r="J131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844.90000000000009</v>
      </c>
      <c r="K1319" s="1">
        <f ca="1">financials[[#This Row],[Gross Sales]]-financials[[#This Row],[Discounts]]</f>
        <v>16053.1</v>
      </c>
      <c r="L1319" s="1">
        <f ca="1">financials[[#This Row],[Units Sold]]*financials[[#This Row],[Manufacturing Price]]</f>
        <v>4970</v>
      </c>
      <c r="M1319" s="1">
        <f ca="1">financials[[#This Row],[Sales]]-financials[[#This Row],[COGS]]</f>
        <v>11083.1</v>
      </c>
      <c r="N1319" s="7">
        <f t="shared" ca="1" si="41"/>
        <v>45158</v>
      </c>
      <c r="O1319" s="8">
        <f ca="1">MONTH(financials[[#This Row],[Date]])</f>
        <v>8</v>
      </c>
      <c r="P1319" s="6" t="str">
        <f ca="1">TEXT(financials[[#This Row],[Date]],"MMM")</f>
        <v>Aug</v>
      </c>
      <c r="Q1319">
        <f ca="1">YEAR(financials[[#This Row],[Date]])</f>
        <v>2023</v>
      </c>
    </row>
    <row r="1320" spans="1:17" x14ac:dyDescent="0.3">
      <c r="A1320" t="s">
        <v>21</v>
      </c>
      <c r="B1320" t="s">
        <v>20</v>
      </c>
      <c r="C1320" s="6" t="s">
        <v>28</v>
      </c>
      <c r="D1320" s="6" t="str">
        <f>CONCATENATE(financials[[#This Row],[Segment]],",",financials[[#This Row],[Country]],",",financials[[#This Row],[Product]])</f>
        <v>Midmarket,Germany,Paseo</v>
      </c>
      <c r="E1320" s="6" t="s">
        <v>34</v>
      </c>
      <c r="F1320">
        <f t="shared" ca="1" si="40"/>
        <v>824</v>
      </c>
      <c r="G1320" s="1">
        <f ca="1">VLOOKUP(financials[[#This Row],[ID]],Prices!D:F,2,FALSE)</f>
        <v>19</v>
      </c>
      <c r="H1320" s="1">
        <f ca="1">VLOOKUP(financials[[#This Row],[ID]],Prices!D:F,3,FALSE)</f>
        <v>25</v>
      </c>
      <c r="I1320" s="1">
        <f ca="1">financials[[#This Row],[Units Sold]]*financials[[#This Row],[Sale Price]]</f>
        <v>20600</v>
      </c>
      <c r="J132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1030</v>
      </c>
      <c r="K1320" s="1">
        <f ca="1">financials[[#This Row],[Gross Sales]]-financials[[#This Row],[Discounts]]</f>
        <v>19570</v>
      </c>
      <c r="L1320" s="1">
        <f ca="1">financials[[#This Row],[Units Sold]]*financials[[#This Row],[Manufacturing Price]]</f>
        <v>15656</v>
      </c>
      <c r="M1320" s="1">
        <f ca="1">financials[[#This Row],[Sales]]-financials[[#This Row],[COGS]]</f>
        <v>3914</v>
      </c>
      <c r="N1320" s="7">
        <f t="shared" ca="1" si="41"/>
        <v>45538</v>
      </c>
      <c r="O1320" s="8">
        <f ca="1">MONTH(financials[[#This Row],[Date]])</f>
        <v>9</v>
      </c>
      <c r="P1320" s="6" t="str">
        <f ca="1">TEXT(financials[[#This Row],[Date]],"MMM")</f>
        <v>Sep</v>
      </c>
      <c r="Q1320">
        <f ca="1">YEAR(financials[[#This Row],[Date]])</f>
        <v>2024</v>
      </c>
    </row>
    <row r="1321" spans="1:17" x14ac:dyDescent="0.3">
      <c r="A1321" t="s">
        <v>16</v>
      </c>
      <c r="B1321" t="s">
        <v>17</v>
      </c>
      <c r="C1321" s="6" t="s">
        <v>28</v>
      </c>
      <c r="D1321" s="6" t="str">
        <f>CONCATENATE(financials[[#This Row],[Segment]],",",financials[[#This Row],[Country]],",",financials[[#This Row],[Product]])</f>
        <v>Government,Canada,Paseo</v>
      </c>
      <c r="E1321" s="6" t="s">
        <v>34</v>
      </c>
      <c r="F1321">
        <f t="shared" ca="1" si="40"/>
        <v>532</v>
      </c>
      <c r="G1321" s="1">
        <f ca="1">VLOOKUP(financials[[#This Row],[ID]],Prices!D:F,2,FALSE)</f>
        <v>10</v>
      </c>
      <c r="H1321" s="1">
        <f ca="1">VLOOKUP(financials[[#This Row],[ID]],Prices!D:F,3,FALSE)</f>
        <v>23</v>
      </c>
      <c r="I1321" s="1">
        <f ca="1">financials[[#This Row],[Units Sold]]*financials[[#This Row],[Sale Price]]</f>
        <v>12236</v>
      </c>
      <c r="J132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611.80000000000007</v>
      </c>
      <c r="K1321" s="1">
        <f ca="1">financials[[#This Row],[Gross Sales]]-financials[[#This Row],[Discounts]]</f>
        <v>11624.2</v>
      </c>
      <c r="L1321" s="1">
        <f ca="1">financials[[#This Row],[Units Sold]]*financials[[#This Row],[Manufacturing Price]]</f>
        <v>5320</v>
      </c>
      <c r="M1321" s="1">
        <f ca="1">financials[[#This Row],[Sales]]-financials[[#This Row],[COGS]]</f>
        <v>6304.2000000000007</v>
      </c>
      <c r="N1321" s="7">
        <f t="shared" ca="1" si="41"/>
        <v>45091</v>
      </c>
      <c r="O1321" s="8">
        <f ca="1">MONTH(financials[[#This Row],[Date]])</f>
        <v>6</v>
      </c>
      <c r="P1321" s="6" t="str">
        <f ca="1">TEXT(financials[[#This Row],[Date]],"MMM")</f>
        <v>Jun</v>
      </c>
      <c r="Q1321">
        <f ca="1">YEAR(financials[[#This Row],[Date]])</f>
        <v>2023</v>
      </c>
    </row>
    <row r="1322" spans="1:17" x14ac:dyDescent="0.3">
      <c r="A1322" t="s">
        <v>21</v>
      </c>
      <c r="B1322" t="s">
        <v>36</v>
      </c>
      <c r="C1322" s="6" t="s">
        <v>28</v>
      </c>
      <c r="D1322" s="6" t="str">
        <f>CONCATENATE(financials[[#This Row],[Segment]],",",financials[[#This Row],[Country]],",",financials[[#This Row],[Product]])</f>
        <v>Midmarket,USA,Paseo</v>
      </c>
      <c r="E1322" s="6" t="s">
        <v>34</v>
      </c>
      <c r="F1322">
        <f t="shared" ca="1" si="40"/>
        <v>949</v>
      </c>
      <c r="G1322" s="1">
        <f ca="1">VLOOKUP(financials[[#This Row],[ID]],Prices!D:F,2,FALSE)</f>
        <v>13</v>
      </c>
      <c r="H1322" s="1">
        <f ca="1">VLOOKUP(financials[[#This Row],[ID]],Prices!D:F,3,FALSE)</f>
        <v>25</v>
      </c>
      <c r="I1322" s="1">
        <f ca="1">financials[[#This Row],[Units Sold]]*financials[[#This Row],[Sale Price]]</f>
        <v>23725</v>
      </c>
      <c r="J132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1186.25</v>
      </c>
      <c r="K1322" s="1">
        <f ca="1">financials[[#This Row],[Gross Sales]]-financials[[#This Row],[Discounts]]</f>
        <v>22538.75</v>
      </c>
      <c r="L1322" s="1">
        <f ca="1">financials[[#This Row],[Units Sold]]*financials[[#This Row],[Manufacturing Price]]</f>
        <v>12337</v>
      </c>
      <c r="M1322" s="1">
        <f ca="1">financials[[#This Row],[Sales]]-financials[[#This Row],[COGS]]</f>
        <v>10201.75</v>
      </c>
      <c r="N1322" s="7">
        <f t="shared" ca="1" si="41"/>
        <v>45064</v>
      </c>
      <c r="O1322" s="8">
        <f ca="1">MONTH(financials[[#This Row],[Date]])</f>
        <v>5</v>
      </c>
      <c r="P1322" s="6" t="str">
        <f ca="1">TEXT(financials[[#This Row],[Date]],"MMM")</f>
        <v>May</v>
      </c>
      <c r="Q1322">
        <f ca="1">YEAR(financials[[#This Row],[Date]])</f>
        <v>2023</v>
      </c>
    </row>
    <row r="1323" spans="1:17" x14ac:dyDescent="0.3">
      <c r="A1323" t="s">
        <v>25</v>
      </c>
      <c r="B1323" t="s">
        <v>22</v>
      </c>
      <c r="C1323" s="6" t="s">
        <v>28</v>
      </c>
      <c r="D1323" s="6" t="str">
        <f>CONCATENATE(financials[[#This Row],[Segment]],",",financials[[#This Row],[Country]],",",financials[[#This Row],[Product]])</f>
        <v>Channel Partners,France,Paseo</v>
      </c>
      <c r="E1323" s="6" t="s">
        <v>34</v>
      </c>
      <c r="F1323">
        <f t="shared" ca="1" si="40"/>
        <v>962</v>
      </c>
      <c r="G1323" s="1">
        <f ca="1">VLOOKUP(financials[[#This Row],[ID]],Prices!D:F,2,FALSE)</f>
        <v>14</v>
      </c>
      <c r="H1323" s="1">
        <f ca="1">VLOOKUP(financials[[#This Row],[ID]],Prices!D:F,3,FALSE)</f>
        <v>30</v>
      </c>
      <c r="I1323" s="1">
        <f ca="1">financials[[#This Row],[Units Sold]]*financials[[#This Row],[Sale Price]]</f>
        <v>28860</v>
      </c>
      <c r="J132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1443</v>
      </c>
      <c r="K1323" s="1">
        <f ca="1">financials[[#This Row],[Gross Sales]]-financials[[#This Row],[Discounts]]</f>
        <v>27417</v>
      </c>
      <c r="L1323" s="1">
        <f ca="1">financials[[#This Row],[Units Sold]]*financials[[#This Row],[Manufacturing Price]]</f>
        <v>13468</v>
      </c>
      <c r="M1323" s="1">
        <f ca="1">financials[[#This Row],[Sales]]-financials[[#This Row],[COGS]]</f>
        <v>13949</v>
      </c>
      <c r="N1323" s="7">
        <f t="shared" ca="1" si="41"/>
        <v>45592</v>
      </c>
      <c r="O1323" s="8">
        <f ca="1">MONTH(financials[[#This Row],[Date]])</f>
        <v>10</v>
      </c>
      <c r="P1323" s="6" t="str">
        <f ca="1">TEXT(financials[[#This Row],[Date]],"MMM")</f>
        <v>Oct</v>
      </c>
      <c r="Q1323">
        <f ca="1">YEAR(financials[[#This Row],[Date]])</f>
        <v>2024</v>
      </c>
    </row>
    <row r="1324" spans="1:17" x14ac:dyDescent="0.3">
      <c r="A1324" t="s">
        <v>16</v>
      </c>
      <c r="B1324" t="s">
        <v>20</v>
      </c>
      <c r="C1324" s="6" t="s">
        <v>30</v>
      </c>
      <c r="D1324" s="6" t="str">
        <f>CONCATENATE(financials[[#This Row],[Segment]],",",financials[[#This Row],[Country]],",",financials[[#This Row],[Product]])</f>
        <v>Government,Germany,VTT</v>
      </c>
      <c r="E1324" s="6" t="s">
        <v>34</v>
      </c>
      <c r="F1324">
        <f t="shared" ca="1" si="40"/>
        <v>45</v>
      </c>
      <c r="G1324" s="1">
        <f ca="1">VLOOKUP(financials[[#This Row],[ID]],Prices!D:F,2,FALSE)</f>
        <v>16</v>
      </c>
      <c r="H1324" s="1">
        <f ca="1">VLOOKUP(financials[[#This Row],[ID]],Prices!D:F,3,FALSE)</f>
        <v>20</v>
      </c>
      <c r="I1324" s="1">
        <f ca="1">financials[[#This Row],[Units Sold]]*financials[[#This Row],[Sale Price]]</f>
        <v>900</v>
      </c>
      <c r="J132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</v>
      </c>
      <c r="K1324" s="1">
        <f ca="1">financials[[#This Row],[Gross Sales]]-financials[[#This Row],[Discounts]]</f>
        <v>891</v>
      </c>
      <c r="L1324" s="1">
        <f ca="1">financials[[#This Row],[Units Sold]]*financials[[#This Row],[Manufacturing Price]]</f>
        <v>720</v>
      </c>
      <c r="M1324" s="1">
        <f ca="1">financials[[#This Row],[Sales]]-financials[[#This Row],[COGS]]</f>
        <v>171</v>
      </c>
      <c r="N1324" s="7">
        <f t="shared" ca="1" si="41"/>
        <v>45613</v>
      </c>
      <c r="O1324" s="8">
        <f ca="1">MONTH(financials[[#This Row],[Date]])</f>
        <v>11</v>
      </c>
      <c r="P1324" s="6" t="str">
        <f ca="1">TEXT(financials[[#This Row],[Date]],"MMM")</f>
        <v>Nov</v>
      </c>
      <c r="Q1324">
        <f ca="1">YEAR(financials[[#This Row],[Date]])</f>
        <v>2024</v>
      </c>
    </row>
    <row r="1325" spans="1:17" x14ac:dyDescent="0.3">
      <c r="A1325" t="s">
        <v>25</v>
      </c>
      <c r="B1325" t="s">
        <v>22</v>
      </c>
      <c r="C1325" s="6" t="s">
        <v>31</v>
      </c>
      <c r="D1325" s="6" t="str">
        <f>CONCATENATE(financials[[#This Row],[Segment]],",",financials[[#This Row],[Country]],",",financials[[#This Row],[Product]])</f>
        <v>Channel Partners,France,Amarilla</v>
      </c>
      <c r="E1325" s="6" t="s">
        <v>34</v>
      </c>
      <c r="F1325">
        <f t="shared" ca="1" si="40"/>
        <v>742</v>
      </c>
      <c r="G1325" s="1">
        <f ca="1">VLOOKUP(financials[[#This Row],[ID]],Prices!D:F,2,FALSE)</f>
        <v>15</v>
      </c>
      <c r="H1325" s="1">
        <f ca="1">VLOOKUP(financials[[#This Row],[ID]],Prices!D:F,3,FALSE)</f>
        <v>24</v>
      </c>
      <c r="I1325" s="1">
        <f ca="1">financials[[#This Row],[Units Sold]]*financials[[#This Row],[Sale Price]]</f>
        <v>17808</v>
      </c>
      <c r="J132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890.40000000000009</v>
      </c>
      <c r="K1325" s="1">
        <f ca="1">financials[[#This Row],[Gross Sales]]-financials[[#This Row],[Discounts]]</f>
        <v>16917.599999999999</v>
      </c>
      <c r="L1325" s="1">
        <f ca="1">financials[[#This Row],[Units Sold]]*financials[[#This Row],[Manufacturing Price]]</f>
        <v>11130</v>
      </c>
      <c r="M1325" s="1">
        <f ca="1">financials[[#This Row],[Sales]]-financials[[#This Row],[COGS]]</f>
        <v>5787.5999999999985</v>
      </c>
      <c r="N1325" s="7">
        <f t="shared" ca="1" si="41"/>
        <v>45751</v>
      </c>
      <c r="O1325" s="8">
        <f ca="1">MONTH(financials[[#This Row],[Date]])</f>
        <v>4</v>
      </c>
      <c r="P1325" s="6" t="str">
        <f ca="1">TEXT(financials[[#This Row],[Date]],"MMM")</f>
        <v>Apr</v>
      </c>
      <c r="Q1325">
        <f ca="1">YEAR(financials[[#This Row],[Date]])</f>
        <v>2025</v>
      </c>
    </row>
    <row r="1326" spans="1:17" x14ac:dyDescent="0.3">
      <c r="A1326" t="s">
        <v>25</v>
      </c>
      <c r="B1326" t="s">
        <v>36</v>
      </c>
      <c r="C1326" s="6" t="s">
        <v>31</v>
      </c>
      <c r="D1326" s="6" t="str">
        <f>CONCATENATE(financials[[#This Row],[Segment]],",",financials[[#This Row],[Country]],",",financials[[#This Row],[Product]])</f>
        <v>Channel Partners,USA,Amarilla</v>
      </c>
      <c r="E1326" s="6" t="s">
        <v>34</v>
      </c>
      <c r="F1326">
        <f t="shared" ca="1" si="40"/>
        <v>171</v>
      </c>
      <c r="G1326" s="1">
        <f ca="1">VLOOKUP(financials[[#This Row],[ID]],Prices!D:F,2,FALSE)</f>
        <v>11</v>
      </c>
      <c r="H1326" s="1">
        <f ca="1">VLOOKUP(financials[[#This Row],[ID]],Prices!D:F,3,FALSE)</f>
        <v>17</v>
      </c>
      <c r="I1326" s="1">
        <f ca="1">financials[[#This Row],[Units Sold]]*financials[[#This Row],[Sale Price]]</f>
        <v>2907</v>
      </c>
      <c r="J132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145.35</v>
      </c>
      <c r="K1326" s="1">
        <f ca="1">financials[[#This Row],[Gross Sales]]-financials[[#This Row],[Discounts]]</f>
        <v>2761.65</v>
      </c>
      <c r="L1326" s="1">
        <f ca="1">financials[[#This Row],[Units Sold]]*financials[[#This Row],[Manufacturing Price]]</f>
        <v>1881</v>
      </c>
      <c r="M1326" s="1">
        <f ca="1">financials[[#This Row],[Sales]]-financials[[#This Row],[COGS]]</f>
        <v>880.65000000000009</v>
      </c>
      <c r="N1326" s="7">
        <f t="shared" ca="1" si="41"/>
        <v>45380</v>
      </c>
      <c r="O1326" s="8">
        <f ca="1">MONTH(financials[[#This Row],[Date]])</f>
        <v>3</v>
      </c>
      <c r="P1326" s="6" t="str">
        <f ca="1">TEXT(financials[[#This Row],[Date]],"MMM")</f>
        <v>Mar</v>
      </c>
      <c r="Q1326">
        <f ca="1">YEAR(financials[[#This Row],[Date]])</f>
        <v>2024</v>
      </c>
    </row>
    <row r="1327" spans="1:17" x14ac:dyDescent="0.3">
      <c r="A1327" t="s">
        <v>27</v>
      </c>
      <c r="B1327" t="s">
        <v>23</v>
      </c>
      <c r="C1327" s="6" t="s">
        <v>18</v>
      </c>
      <c r="D1327" s="6" t="str">
        <f>CONCATENATE(financials[[#This Row],[Segment]],",",financials[[#This Row],[Country]],",",financials[[#This Row],[Product]])</f>
        <v>Small Business,Mexico,Carretera</v>
      </c>
      <c r="E1327" s="6" t="s">
        <v>34</v>
      </c>
      <c r="F1327">
        <f t="shared" ca="1" si="40"/>
        <v>578</v>
      </c>
      <c r="G1327" s="1">
        <f ca="1">VLOOKUP(financials[[#This Row],[ID]],Prices!D:F,2,FALSE)</f>
        <v>20</v>
      </c>
      <c r="H1327" s="1">
        <f ca="1">VLOOKUP(financials[[#This Row],[ID]],Prices!D:F,3,FALSE)</f>
        <v>25</v>
      </c>
      <c r="I1327" s="1">
        <f ca="1">financials[[#This Row],[Units Sold]]*financials[[#This Row],[Sale Price]]</f>
        <v>14450</v>
      </c>
      <c r="J132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722.5</v>
      </c>
      <c r="K1327" s="1">
        <f ca="1">financials[[#This Row],[Gross Sales]]-financials[[#This Row],[Discounts]]</f>
        <v>13727.5</v>
      </c>
      <c r="L1327" s="1">
        <f ca="1">financials[[#This Row],[Units Sold]]*financials[[#This Row],[Manufacturing Price]]</f>
        <v>11560</v>
      </c>
      <c r="M1327" s="1">
        <f ca="1">financials[[#This Row],[Sales]]-financials[[#This Row],[COGS]]</f>
        <v>2167.5</v>
      </c>
      <c r="N1327" s="7">
        <f t="shared" ca="1" si="41"/>
        <v>45274</v>
      </c>
      <c r="O1327" s="8">
        <f ca="1">MONTH(financials[[#This Row],[Date]])</f>
        <v>12</v>
      </c>
      <c r="P1327" s="6" t="str">
        <f ca="1">TEXT(financials[[#This Row],[Date]],"MMM")</f>
        <v>Dec</v>
      </c>
      <c r="Q1327">
        <f ca="1">YEAR(financials[[#This Row],[Date]])</f>
        <v>2023</v>
      </c>
    </row>
    <row r="1328" spans="1:17" x14ac:dyDescent="0.3">
      <c r="A1328" t="s">
        <v>26</v>
      </c>
      <c r="B1328" t="s">
        <v>22</v>
      </c>
      <c r="C1328" s="6" t="s">
        <v>18</v>
      </c>
      <c r="D1328" s="6" t="str">
        <f>CONCATENATE(financials[[#This Row],[Segment]],",",financials[[#This Row],[Country]],",",financials[[#This Row],[Product]])</f>
        <v>Enterprise,France,Carretera</v>
      </c>
      <c r="E1328" s="6" t="s">
        <v>34</v>
      </c>
      <c r="F1328">
        <f t="shared" ca="1" si="40"/>
        <v>281</v>
      </c>
      <c r="G1328" s="1">
        <f ca="1">VLOOKUP(financials[[#This Row],[ID]],Prices!D:F,2,FALSE)</f>
        <v>12</v>
      </c>
      <c r="H1328" s="1">
        <f ca="1">VLOOKUP(financials[[#This Row],[ID]],Prices!D:F,3,FALSE)</f>
        <v>35</v>
      </c>
      <c r="I1328" s="1">
        <f ca="1">financials[[#This Row],[Units Sold]]*financials[[#This Row],[Sale Price]]</f>
        <v>9835</v>
      </c>
      <c r="J132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491.75</v>
      </c>
      <c r="K1328" s="1">
        <f ca="1">financials[[#This Row],[Gross Sales]]-financials[[#This Row],[Discounts]]</f>
        <v>9343.25</v>
      </c>
      <c r="L1328" s="1">
        <f ca="1">financials[[#This Row],[Units Sold]]*financials[[#This Row],[Manufacturing Price]]</f>
        <v>3372</v>
      </c>
      <c r="M1328" s="1">
        <f ca="1">financials[[#This Row],[Sales]]-financials[[#This Row],[COGS]]</f>
        <v>5971.25</v>
      </c>
      <c r="N1328" s="7">
        <f t="shared" ca="1" si="41"/>
        <v>45347</v>
      </c>
      <c r="O1328" s="8">
        <f ca="1">MONTH(financials[[#This Row],[Date]])</f>
        <v>2</v>
      </c>
      <c r="P1328" s="6" t="str">
        <f ca="1">TEXT(financials[[#This Row],[Date]],"MMM")</f>
        <v>Feb</v>
      </c>
      <c r="Q1328">
        <f ca="1">YEAR(financials[[#This Row],[Date]])</f>
        <v>2024</v>
      </c>
    </row>
    <row r="1329" spans="1:17" x14ac:dyDescent="0.3">
      <c r="A1329" t="s">
        <v>27</v>
      </c>
      <c r="B1329" t="s">
        <v>17</v>
      </c>
      <c r="C1329" s="6" t="s">
        <v>18</v>
      </c>
      <c r="D1329" s="6" t="str">
        <f>CONCATENATE(financials[[#This Row],[Segment]],",",financials[[#This Row],[Country]],",",financials[[#This Row],[Product]])</f>
        <v>Small Business,Canada,Carretera</v>
      </c>
      <c r="E1329" s="6" t="s">
        <v>34</v>
      </c>
      <c r="F1329">
        <f t="shared" ca="1" si="40"/>
        <v>65</v>
      </c>
      <c r="G1329" s="1">
        <f ca="1">VLOOKUP(financials[[#This Row],[ID]],Prices!D:F,2,FALSE)</f>
        <v>16</v>
      </c>
      <c r="H1329" s="1">
        <f ca="1">VLOOKUP(financials[[#This Row],[ID]],Prices!D:F,3,FALSE)</f>
        <v>20</v>
      </c>
      <c r="I1329" s="1">
        <f ca="1">financials[[#This Row],[Units Sold]]*financials[[#This Row],[Sale Price]]</f>
        <v>1300</v>
      </c>
      <c r="J132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</v>
      </c>
      <c r="K1329" s="1">
        <f ca="1">financials[[#This Row],[Gross Sales]]-financials[[#This Row],[Discounts]]</f>
        <v>1235</v>
      </c>
      <c r="L1329" s="1">
        <f ca="1">financials[[#This Row],[Units Sold]]*financials[[#This Row],[Manufacturing Price]]</f>
        <v>1040</v>
      </c>
      <c r="M1329" s="1">
        <f ca="1">financials[[#This Row],[Sales]]-financials[[#This Row],[COGS]]</f>
        <v>195</v>
      </c>
      <c r="N1329" s="7">
        <f t="shared" ca="1" si="41"/>
        <v>45146</v>
      </c>
      <c r="O1329" s="8">
        <f ca="1">MONTH(financials[[#This Row],[Date]])</f>
        <v>8</v>
      </c>
      <c r="P1329" s="6" t="str">
        <f ca="1">TEXT(financials[[#This Row],[Date]],"MMM")</f>
        <v>Aug</v>
      </c>
      <c r="Q1329">
        <f ca="1">YEAR(financials[[#This Row],[Date]])</f>
        <v>2023</v>
      </c>
    </row>
    <row r="1330" spans="1:17" x14ac:dyDescent="0.3">
      <c r="A1330" t="s">
        <v>27</v>
      </c>
      <c r="B1330" t="s">
        <v>36</v>
      </c>
      <c r="C1330" s="6" t="s">
        <v>18</v>
      </c>
      <c r="D1330" s="6" t="str">
        <f>CONCATENATE(financials[[#This Row],[Segment]],",",financials[[#This Row],[Country]],",",financials[[#This Row],[Product]])</f>
        <v>Small Business,USA,Carretera</v>
      </c>
      <c r="E1330" s="6" t="s">
        <v>34</v>
      </c>
      <c r="F1330">
        <f t="shared" ca="1" si="40"/>
        <v>543</v>
      </c>
      <c r="G1330" s="1">
        <f ca="1">VLOOKUP(financials[[#This Row],[ID]],Prices!D:F,2,FALSE)</f>
        <v>14</v>
      </c>
      <c r="H1330" s="1">
        <f ca="1">VLOOKUP(financials[[#This Row],[ID]],Prices!D:F,3,FALSE)</f>
        <v>25</v>
      </c>
      <c r="I1330" s="1">
        <f ca="1">financials[[#This Row],[Units Sold]]*financials[[#This Row],[Sale Price]]</f>
        <v>13575</v>
      </c>
      <c r="J133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678.75</v>
      </c>
      <c r="K1330" s="1">
        <f ca="1">financials[[#This Row],[Gross Sales]]-financials[[#This Row],[Discounts]]</f>
        <v>12896.25</v>
      </c>
      <c r="L1330" s="1">
        <f ca="1">financials[[#This Row],[Units Sold]]*financials[[#This Row],[Manufacturing Price]]</f>
        <v>7602</v>
      </c>
      <c r="M1330" s="1">
        <f ca="1">financials[[#This Row],[Sales]]-financials[[#This Row],[COGS]]</f>
        <v>5294.25</v>
      </c>
      <c r="N1330" s="7">
        <f t="shared" ca="1" si="41"/>
        <v>45625</v>
      </c>
      <c r="O1330" s="8">
        <f ca="1">MONTH(financials[[#This Row],[Date]])</f>
        <v>11</v>
      </c>
      <c r="P1330" s="6" t="str">
        <f ca="1">TEXT(financials[[#This Row],[Date]],"MMM")</f>
        <v>Nov</v>
      </c>
      <c r="Q1330">
        <f ca="1">YEAR(financials[[#This Row],[Date]])</f>
        <v>2024</v>
      </c>
    </row>
    <row r="1331" spans="1:17" x14ac:dyDescent="0.3">
      <c r="A1331" t="s">
        <v>21</v>
      </c>
      <c r="B1331" t="s">
        <v>20</v>
      </c>
      <c r="C1331" s="6" t="s">
        <v>18</v>
      </c>
      <c r="D1331" s="6" t="str">
        <f>CONCATENATE(financials[[#This Row],[Segment]],",",financials[[#This Row],[Country]],",",financials[[#This Row],[Product]])</f>
        <v>Midmarket,Germany,Carretera</v>
      </c>
      <c r="E1331" s="6" t="s">
        <v>34</v>
      </c>
      <c r="F1331">
        <f t="shared" ca="1" si="40"/>
        <v>610</v>
      </c>
      <c r="G1331" s="1">
        <f ca="1">VLOOKUP(financials[[#This Row],[ID]],Prices!D:F,2,FALSE)</f>
        <v>17</v>
      </c>
      <c r="H1331" s="1">
        <f ca="1">VLOOKUP(financials[[#This Row],[ID]],Prices!D:F,3,FALSE)</f>
        <v>28</v>
      </c>
      <c r="I1331" s="1">
        <f ca="1">financials[[#This Row],[Units Sold]]*financials[[#This Row],[Sale Price]]</f>
        <v>17080</v>
      </c>
      <c r="J133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854</v>
      </c>
      <c r="K1331" s="1">
        <f ca="1">financials[[#This Row],[Gross Sales]]-financials[[#This Row],[Discounts]]</f>
        <v>16226</v>
      </c>
      <c r="L1331" s="1">
        <f ca="1">financials[[#This Row],[Units Sold]]*financials[[#This Row],[Manufacturing Price]]</f>
        <v>10370</v>
      </c>
      <c r="M1331" s="1">
        <f ca="1">financials[[#This Row],[Sales]]-financials[[#This Row],[COGS]]</f>
        <v>5856</v>
      </c>
      <c r="N1331" s="7">
        <f t="shared" ca="1" si="41"/>
        <v>45079</v>
      </c>
      <c r="O1331" s="8">
        <f ca="1">MONTH(financials[[#This Row],[Date]])</f>
        <v>6</v>
      </c>
      <c r="P1331" s="6" t="str">
        <f ca="1">TEXT(financials[[#This Row],[Date]],"MMM")</f>
        <v>Jun</v>
      </c>
      <c r="Q1331">
        <f ca="1">YEAR(financials[[#This Row],[Date]])</f>
        <v>2023</v>
      </c>
    </row>
    <row r="1332" spans="1:17" x14ac:dyDescent="0.3">
      <c r="A1332" t="s">
        <v>21</v>
      </c>
      <c r="B1332" t="s">
        <v>17</v>
      </c>
      <c r="C1332" s="6" t="s">
        <v>18</v>
      </c>
      <c r="D1332" s="6" t="str">
        <f>CONCATENATE(financials[[#This Row],[Segment]],",",financials[[#This Row],[Country]],",",financials[[#This Row],[Product]])</f>
        <v>Midmarket,Canada,Carretera</v>
      </c>
      <c r="E1332" s="6" t="s">
        <v>34</v>
      </c>
      <c r="F1332">
        <f t="shared" ca="1" si="40"/>
        <v>142</v>
      </c>
      <c r="G1332" s="1">
        <f ca="1">VLOOKUP(financials[[#This Row],[ID]],Prices!D:F,2,FALSE)</f>
        <v>10</v>
      </c>
      <c r="H1332" s="1">
        <f ca="1">VLOOKUP(financials[[#This Row],[ID]],Prices!D:F,3,FALSE)</f>
        <v>29</v>
      </c>
      <c r="I1332" s="1">
        <f ca="1">financials[[#This Row],[Units Sold]]*financials[[#This Row],[Sale Price]]</f>
        <v>4118</v>
      </c>
      <c r="J133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205.9</v>
      </c>
      <c r="K1332" s="1">
        <f ca="1">financials[[#This Row],[Gross Sales]]-financials[[#This Row],[Discounts]]</f>
        <v>3912.1</v>
      </c>
      <c r="L1332" s="1">
        <f ca="1">financials[[#This Row],[Units Sold]]*financials[[#This Row],[Manufacturing Price]]</f>
        <v>1420</v>
      </c>
      <c r="M1332" s="1">
        <f ca="1">financials[[#This Row],[Sales]]-financials[[#This Row],[COGS]]</f>
        <v>2492.1</v>
      </c>
      <c r="N1332" s="7">
        <f t="shared" ca="1" si="41"/>
        <v>45090</v>
      </c>
      <c r="O1332" s="8">
        <f ca="1">MONTH(financials[[#This Row],[Date]])</f>
        <v>6</v>
      </c>
      <c r="P1332" s="6" t="str">
        <f ca="1">TEXT(financials[[#This Row],[Date]],"MMM")</f>
        <v>Jun</v>
      </c>
      <c r="Q1332">
        <f ca="1">YEAR(financials[[#This Row],[Date]])</f>
        <v>2023</v>
      </c>
    </row>
    <row r="1333" spans="1:17" x14ac:dyDescent="0.3">
      <c r="A1333" t="s">
        <v>26</v>
      </c>
      <c r="B1333" t="s">
        <v>23</v>
      </c>
      <c r="C1333" s="6" t="s">
        <v>18</v>
      </c>
      <c r="D1333" s="6" t="str">
        <f>CONCATENATE(financials[[#This Row],[Segment]],",",financials[[#This Row],[Country]],",",financials[[#This Row],[Product]])</f>
        <v>Enterprise,Mexico,Carretera</v>
      </c>
      <c r="E1333" s="6" t="s">
        <v>34</v>
      </c>
      <c r="F1333">
        <f t="shared" ca="1" si="40"/>
        <v>729</v>
      </c>
      <c r="G1333" s="1">
        <f ca="1">VLOOKUP(financials[[#This Row],[ID]],Prices!D:F,2,FALSE)</f>
        <v>17</v>
      </c>
      <c r="H1333" s="1">
        <f ca="1">VLOOKUP(financials[[#This Row],[ID]],Prices!D:F,3,FALSE)</f>
        <v>23</v>
      </c>
      <c r="I1333" s="1">
        <f ca="1">financials[[#This Row],[Units Sold]]*financials[[#This Row],[Sale Price]]</f>
        <v>16767</v>
      </c>
      <c r="J133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838.35</v>
      </c>
      <c r="K1333" s="1">
        <f ca="1">financials[[#This Row],[Gross Sales]]-financials[[#This Row],[Discounts]]</f>
        <v>15928.65</v>
      </c>
      <c r="L1333" s="1">
        <f ca="1">financials[[#This Row],[Units Sold]]*financials[[#This Row],[Manufacturing Price]]</f>
        <v>12393</v>
      </c>
      <c r="M1333" s="1">
        <f ca="1">financials[[#This Row],[Sales]]-financials[[#This Row],[COGS]]</f>
        <v>3535.6499999999996</v>
      </c>
      <c r="N1333" s="7">
        <f t="shared" ca="1" si="41"/>
        <v>45684</v>
      </c>
      <c r="O1333" s="8">
        <f ca="1">MONTH(financials[[#This Row],[Date]])</f>
        <v>1</v>
      </c>
      <c r="P1333" s="6" t="str">
        <f ca="1">TEXT(financials[[#This Row],[Date]],"MMM")</f>
        <v>Jan</v>
      </c>
      <c r="Q1333">
        <f ca="1">YEAR(financials[[#This Row],[Date]])</f>
        <v>2025</v>
      </c>
    </row>
    <row r="1334" spans="1:17" x14ac:dyDescent="0.3">
      <c r="A1334" t="s">
        <v>16</v>
      </c>
      <c r="B1334" t="s">
        <v>17</v>
      </c>
      <c r="C1334" s="6" t="s">
        <v>24</v>
      </c>
      <c r="D1334" s="6" t="str">
        <f>CONCATENATE(financials[[#This Row],[Segment]],",",financials[[#This Row],[Country]],",",financials[[#This Row],[Product]])</f>
        <v>Government,Canada,Montana</v>
      </c>
      <c r="E1334" s="6" t="s">
        <v>34</v>
      </c>
      <c r="F1334">
        <f t="shared" ca="1" si="40"/>
        <v>310</v>
      </c>
      <c r="G1334" s="1">
        <f ca="1">VLOOKUP(financials[[#This Row],[ID]],Prices!D:F,2,FALSE)</f>
        <v>12</v>
      </c>
      <c r="H1334" s="1">
        <f ca="1">VLOOKUP(financials[[#This Row],[ID]],Prices!D:F,3,FALSE)</f>
        <v>30</v>
      </c>
      <c r="I1334" s="1">
        <f ca="1">financials[[#This Row],[Units Sold]]*financials[[#This Row],[Sale Price]]</f>
        <v>9300</v>
      </c>
      <c r="J133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465</v>
      </c>
      <c r="K1334" s="1">
        <f ca="1">financials[[#This Row],[Gross Sales]]-financials[[#This Row],[Discounts]]</f>
        <v>8835</v>
      </c>
      <c r="L1334" s="1">
        <f ca="1">financials[[#This Row],[Units Sold]]*financials[[#This Row],[Manufacturing Price]]</f>
        <v>3720</v>
      </c>
      <c r="M1334" s="1">
        <f ca="1">financials[[#This Row],[Sales]]-financials[[#This Row],[COGS]]</f>
        <v>5115</v>
      </c>
      <c r="N1334" s="7">
        <f t="shared" ca="1" si="41"/>
        <v>45609</v>
      </c>
      <c r="O1334" s="8">
        <f ca="1">MONTH(financials[[#This Row],[Date]])</f>
        <v>11</v>
      </c>
      <c r="P1334" s="6" t="str">
        <f ca="1">TEXT(financials[[#This Row],[Date]],"MMM")</f>
        <v>Nov</v>
      </c>
      <c r="Q1334">
        <f ca="1">YEAR(financials[[#This Row],[Date]])</f>
        <v>2024</v>
      </c>
    </row>
    <row r="1335" spans="1:17" x14ac:dyDescent="0.3">
      <c r="A1335" t="s">
        <v>16</v>
      </c>
      <c r="B1335" t="s">
        <v>20</v>
      </c>
      <c r="C1335" s="6" t="s">
        <v>24</v>
      </c>
      <c r="D1335" s="6" t="str">
        <f>CONCATENATE(financials[[#This Row],[Segment]],",",financials[[#This Row],[Country]],",",financials[[#This Row],[Product]])</f>
        <v>Government,Germany,Montana</v>
      </c>
      <c r="E1335" s="6" t="s">
        <v>34</v>
      </c>
      <c r="F1335">
        <f t="shared" ca="1" si="40"/>
        <v>79</v>
      </c>
      <c r="G1335" s="1">
        <f ca="1">VLOOKUP(financials[[#This Row],[ID]],Prices!D:F,2,FALSE)</f>
        <v>20</v>
      </c>
      <c r="H1335" s="1">
        <f ca="1">VLOOKUP(financials[[#This Row],[ID]],Prices!D:F,3,FALSE)</f>
        <v>27</v>
      </c>
      <c r="I1335" s="1">
        <f ca="1">financials[[#This Row],[Units Sold]]*financials[[#This Row],[Sale Price]]</f>
        <v>2133</v>
      </c>
      <c r="J133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106.65</v>
      </c>
      <c r="K1335" s="1">
        <f ca="1">financials[[#This Row],[Gross Sales]]-financials[[#This Row],[Discounts]]</f>
        <v>2026.35</v>
      </c>
      <c r="L1335" s="1">
        <f ca="1">financials[[#This Row],[Units Sold]]*financials[[#This Row],[Manufacturing Price]]</f>
        <v>1580</v>
      </c>
      <c r="M1335" s="1">
        <f ca="1">financials[[#This Row],[Sales]]-financials[[#This Row],[COGS]]</f>
        <v>446.34999999999991</v>
      </c>
      <c r="N1335" s="7">
        <f t="shared" ca="1" si="41"/>
        <v>45622</v>
      </c>
      <c r="O1335" s="8">
        <f ca="1">MONTH(financials[[#This Row],[Date]])</f>
        <v>11</v>
      </c>
      <c r="P1335" s="6" t="str">
        <f ca="1">TEXT(financials[[#This Row],[Date]],"MMM")</f>
        <v>Nov</v>
      </c>
      <c r="Q1335">
        <f ca="1">YEAR(financials[[#This Row],[Date]])</f>
        <v>2024</v>
      </c>
    </row>
    <row r="1336" spans="1:17" x14ac:dyDescent="0.3">
      <c r="A1336" t="s">
        <v>16</v>
      </c>
      <c r="B1336" t="s">
        <v>17</v>
      </c>
      <c r="C1336" s="6" t="s">
        <v>24</v>
      </c>
      <c r="D1336" s="6" t="str">
        <f>CONCATENATE(financials[[#This Row],[Segment]],",",financials[[#This Row],[Country]],",",financials[[#This Row],[Product]])</f>
        <v>Government,Canada,Montana</v>
      </c>
      <c r="E1336" s="6" t="s">
        <v>34</v>
      </c>
      <c r="F1336">
        <f t="shared" ca="1" si="40"/>
        <v>163</v>
      </c>
      <c r="G1336" s="1">
        <f ca="1">VLOOKUP(financials[[#This Row],[ID]],Prices!D:F,2,FALSE)</f>
        <v>12</v>
      </c>
      <c r="H1336" s="1">
        <f ca="1">VLOOKUP(financials[[#This Row],[ID]],Prices!D:F,3,FALSE)</f>
        <v>30</v>
      </c>
      <c r="I1336" s="1">
        <f ca="1">financials[[#This Row],[Units Sold]]*financials[[#This Row],[Sale Price]]</f>
        <v>4890</v>
      </c>
      <c r="J133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244.5</v>
      </c>
      <c r="K1336" s="1">
        <f ca="1">financials[[#This Row],[Gross Sales]]-financials[[#This Row],[Discounts]]</f>
        <v>4645.5</v>
      </c>
      <c r="L1336" s="1">
        <f ca="1">financials[[#This Row],[Units Sold]]*financials[[#This Row],[Manufacturing Price]]</f>
        <v>1956</v>
      </c>
      <c r="M1336" s="1">
        <f ca="1">financials[[#This Row],[Sales]]-financials[[#This Row],[COGS]]</f>
        <v>2689.5</v>
      </c>
      <c r="N1336" s="7">
        <f t="shared" ca="1" si="41"/>
        <v>45345</v>
      </c>
      <c r="O1336" s="8">
        <f ca="1">MONTH(financials[[#This Row],[Date]])</f>
        <v>2</v>
      </c>
      <c r="P1336" s="6" t="str">
        <f ca="1">TEXT(financials[[#This Row],[Date]],"MMM")</f>
        <v>Feb</v>
      </c>
      <c r="Q1336">
        <f ca="1">YEAR(financials[[#This Row],[Date]])</f>
        <v>2024</v>
      </c>
    </row>
    <row r="1337" spans="1:17" x14ac:dyDescent="0.3">
      <c r="A1337" t="s">
        <v>16</v>
      </c>
      <c r="B1337" t="s">
        <v>17</v>
      </c>
      <c r="C1337" s="6" t="s">
        <v>24</v>
      </c>
      <c r="D1337" s="6" t="str">
        <f>CONCATENATE(financials[[#This Row],[Segment]],",",financials[[#This Row],[Country]],",",financials[[#This Row],[Product]])</f>
        <v>Government,Canada,Montana</v>
      </c>
      <c r="E1337" s="6" t="s">
        <v>34</v>
      </c>
      <c r="F1337">
        <f t="shared" ca="1" si="40"/>
        <v>340</v>
      </c>
      <c r="G1337" s="1">
        <f ca="1">VLOOKUP(financials[[#This Row],[ID]],Prices!D:F,2,FALSE)</f>
        <v>12</v>
      </c>
      <c r="H1337" s="1">
        <f ca="1">VLOOKUP(financials[[#This Row],[ID]],Prices!D:F,3,FALSE)</f>
        <v>30</v>
      </c>
      <c r="I1337" s="1">
        <f ca="1">financials[[#This Row],[Units Sold]]*financials[[#This Row],[Sale Price]]</f>
        <v>10200</v>
      </c>
      <c r="J133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510</v>
      </c>
      <c r="K1337" s="1">
        <f ca="1">financials[[#This Row],[Gross Sales]]-financials[[#This Row],[Discounts]]</f>
        <v>9690</v>
      </c>
      <c r="L1337" s="1">
        <f ca="1">financials[[#This Row],[Units Sold]]*financials[[#This Row],[Manufacturing Price]]</f>
        <v>4080</v>
      </c>
      <c r="M1337" s="1">
        <f ca="1">financials[[#This Row],[Sales]]-financials[[#This Row],[COGS]]</f>
        <v>5610</v>
      </c>
      <c r="N1337" s="7">
        <f t="shared" ca="1" si="41"/>
        <v>45467</v>
      </c>
      <c r="O1337" s="8">
        <f ca="1">MONTH(financials[[#This Row],[Date]])</f>
        <v>6</v>
      </c>
      <c r="P1337" s="6" t="str">
        <f ca="1">TEXT(financials[[#This Row],[Date]],"MMM")</f>
        <v>Jun</v>
      </c>
      <c r="Q1337">
        <f ca="1">YEAR(financials[[#This Row],[Date]])</f>
        <v>2024</v>
      </c>
    </row>
    <row r="1338" spans="1:17" x14ac:dyDescent="0.3">
      <c r="A1338" t="s">
        <v>16</v>
      </c>
      <c r="B1338" t="s">
        <v>23</v>
      </c>
      <c r="C1338" s="6" t="s">
        <v>24</v>
      </c>
      <c r="D1338" s="6" t="str">
        <f>CONCATENATE(financials[[#This Row],[Segment]],",",financials[[#This Row],[Country]],",",financials[[#This Row],[Product]])</f>
        <v>Government,Mexico,Montana</v>
      </c>
      <c r="E1338" s="6" t="s">
        <v>34</v>
      </c>
      <c r="F1338">
        <f t="shared" ca="1" si="40"/>
        <v>814</v>
      </c>
      <c r="G1338" s="1">
        <f ca="1">VLOOKUP(financials[[#This Row],[ID]],Prices!D:F,2,FALSE)</f>
        <v>19</v>
      </c>
      <c r="H1338" s="1">
        <f ca="1">VLOOKUP(financials[[#This Row],[ID]],Prices!D:F,3,FALSE)</f>
        <v>20</v>
      </c>
      <c r="I1338" s="1">
        <f ca="1">financials[[#This Row],[Units Sold]]*financials[[#This Row],[Sale Price]]</f>
        <v>16280</v>
      </c>
      <c r="J133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814</v>
      </c>
      <c r="K1338" s="1">
        <f ca="1">financials[[#This Row],[Gross Sales]]-financials[[#This Row],[Discounts]]</f>
        <v>15466</v>
      </c>
      <c r="L1338" s="1">
        <f ca="1">financials[[#This Row],[Units Sold]]*financials[[#This Row],[Manufacturing Price]]</f>
        <v>15466</v>
      </c>
      <c r="M1338" s="1">
        <f ca="1">financials[[#This Row],[Sales]]-financials[[#This Row],[COGS]]</f>
        <v>0</v>
      </c>
      <c r="N1338" s="7">
        <f t="shared" ca="1" si="41"/>
        <v>45474</v>
      </c>
      <c r="O1338" s="8">
        <f ca="1">MONTH(financials[[#This Row],[Date]])</f>
        <v>7</v>
      </c>
      <c r="P1338" s="6" t="str">
        <f ca="1">TEXT(financials[[#This Row],[Date]],"MMM")</f>
        <v>Jul</v>
      </c>
      <c r="Q1338">
        <f ca="1">YEAR(financials[[#This Row],[Date]])</f>
        <v>2024</v>
      </c>
    </row>
    <row r="1339" spans="1:17" x14ac:dyDescent="0.3">
      <c r="A1339" t="s">
        <v>21</v>
      </c>
      <c r="B1339" t="s">
        <v>17</v>
      </c>
      <c r="C1339" s="6" t="s">
        <v>24</v>
      </c>
      <c r="D1339" s="6" t="str">
        <f>CONCATENATE(financials[[#This Row],[Segment]],",",financials[[#This Row],[Country]],",",financials[[#This Row],[Product]])</f>
        <v>Midmarket,Canada,Montana</v>
      </c>
      <c r="E1339" s="6" t="s">
        <v>34</v>
      </c>
      <c r="F1339">
        <f t="shared" ca="1" si="40"/>
        <v>261</v>
      </c>
      <c r="G1339" s="1">
        <f ca="1">VLOOKUP(financials[[#This Row],[ID]],Prices!D:F,2,FALSE)</f>
        <v>14</v>
      </c>
      <c r="H1339" s="1">
        <f ca="1">VLOOKUP(financials[[#This Row],[ID]],Prices!D:F,3,FALSE)</f>
        <v>37</v>
      </c>
      <c r="I1339" s="1">
        <f ca="1">financials[[#This Row],[Units Sold]]*financials[[#This Row],[Sale Price]]</f>
        <v>9657</v>
      </c>
      <c r="J133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482.85</v>
      </c>
      <c r="K1339" s="1">
        <f ca="1">financials[[#This Row],[Gross Sales]]-financials[[#This Row],[Discounts]]</f>
        <v>9174.15</v>
      </c>
      <c r="L1339" s="1">
        <f ca="1">financials[[#This Row],[Units Sold]]*financials[[#This Row],[Manufacturing Price]]</f>
        <v>3654</v>
      </c>
      <c r="M1339" s="1">
        <f ca="1">financials[[#This Row],[Sales]]-financials[[#This Row],[COGS]]</f>
        <v>5520.15</v>
      </c>
      <c r="N1339" s="7">
        <f t="shared" ca="1" si="41"/>
        <v>45070</v>
      </c>
      <c r="O1339" s="8">
        <f ca="1">MONTH(financials[[#This Row],[Date]])</f>
        <v>5</v>
      </c>
      <c r="P1339" s="6" t="str">
        <f ca="1">TEXT(financials[[#This Row],[Date]],"MMM")</f>
        <v>May</v>
      </c>
      <c r="Q1339">
        <f ca="1">YEAR(financials[[#This Row],[Date]])</f>
        <v>2023</v>
      </c>
    </row>
    <row r="1340" spans="1:17" x14ac:dyDescent="0.3">
      <c r="A1340" t="s">
        <v>16</v>
      </c>
      <c r="B1340" t="s">
        <v>23</v>
      </c>
      <c r="C1340" s="6" t="s">
        <v>28</v>
      </c>
      <c r="D1340" s="6" t="str">
        <f>CONCATENATE(financials[[#This Row],[Segment]],",",financials[[#This Row],[Country]],",",financials[[#This Row],[Product]])</f>
        <v>Government,Mexico,Paseo</v>
      </c>
      <c r="E1340" s="6" t="s">
        <v>34</v>
      </c>
      <c r="F1340">
        <f t="shared" ca="1" si="40"/>
        <v>717</v>
      </c>
      <c r="G1340" s="1">
        <f ca="1">VLOOKUP(financials[[#This Row],[ID]],Prices!D:F,2,FALSE)</f>
        <v>18</v>
      </c>
      <c r="H1340" s="1">
        <f ca="1">VLOOKUP(financials[[#This Row],[ID]],Prices!D:F,3,FALSE)</f>
        <v>19</v>
      </c>
      <c r="I1340" s="1">
        <f ca="1">financials[[#This Row],[Units Sold]]*financials[[#This Row],[Sale Price]]</f>
        <v>13623</v>
      </c>
      <c r="J134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681.15000000000009</v>
      </c>
      <c r="K1340" s="1">
        <f ca="1">financials[[#This Row],[Gross Sales]]-financials[[#This Row],[Discounts]]</f>
        <v>12941.85</v>
      </c>
      <c r="L1340" s="1">
        <f ca="1">financials[[#This Row],[Units Sold]]*financials[[#This Row],[Manufacturing Price]]</f>
        <v>12906</v>
      </c>
      <c r="M1340" s="1">
        <f ca="1">financials[[#This Row],[Sales]]-financials[[#This Row],[COGS]]</f>
        <v>35.850000000000364</v>
      </c>
      <c r="N1340" s="7">
        <f t="shared" ca="1" si="41"/>
        <v>45099</v>
      </c>
      <c r="O1340" s="8">
        <f ca="1">MONTH(financials[[#This Row],[Date]])</f>
        <v>6</v>
      </c>
      <c r="P1340" s="6" t="str">
        <f ca="1">TEXT(financials[[#This Row],[Date]],"MMM")</f>
        <v>Jun</v>
      </c>
      <c r="Q1340">
        <f ca="1">YEAR(financials[[#This Row],[Date]])</f>
        <v>2023</v>
      </c>
    </row>
    <row r="1341" spans="1:17" x14ac:dyDescent="0.3">
      <c r="A1341" t="s">
        <v>21</v>
      </c>
      <c r="B1341" t="s">
        <v>17</v>
      </c>
      <c r="C1341" s="6" t="s">
        <v>28</v>
      </c>
      <c r="D1341" s="6" t="str">
        <f>CONCATENATE(financials[[#This Row],[Segment]],",",financials[[#This Row],[Country]],",",financials[[#This Row],[Product]])</f>
        <v>Midmarket,Canada,Paseo</v>
      </c>
      <c r="E1341" s="6" t="s">
        <v>34</v>
      </c>
      <c r="F1341">
        <f t="shared" ca="1" si="40"/>
        <v>363</v>
      </c>
      <c r="G1341" s="1">
        <f ca="1">VLOOKUP(financials[[#This Row],[ID]],Prices!D:F,2,FALSE)</f>
        <v>15</v>
      </c>
      <c r="H1341" s="1">
        <f ca="1">VLOOKUP(financials[[#This Row],[ID]],Prices!D:F,3,FALSE)</f>
        <v>36</v>
      </c>
      <c r="I1341" s="1">
        <f ca="1">financials[[#This Row],[Units Sold]]*financials[[#This Row],[Sale Price]]</f>
        <v>13068</v>
      </c>
      <c r="J134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653.40000000000009</v>
      </c>
      <c r="K1341" s="1">
        <f ca="1">financials[[#This Row],[Gross Sales]]-financials[[#This Row],[Discounts]]</f>
        <v>12414.6</v>
      </c>
      <c r="L1341" s="1">
        <f ca="1">financials[[#This Row],[Units Sold]]*financials[[#This Row],[Manufacturing Price]]</f>
        <v>5445</v>
      </c>
      <c r="M1341" s="1">
        <f ca="1">financials[[#This Row],[Sales]]-financials[[#This Row],[COGS]]</f>
        <v>6969.6</v>
      </c>
      <c r="N1341" s="7">
        <f t="shared" ca="1" si="41"/>
        <v>45544</v>
      </c>
      <c r="O1341" s="8">
        <f ca="1">MONTH(financials[[#This Row],[Date]])</f>
        <v>9</v>
      </c>
      <c r="P1341" s="6" t="str">
        <f ca="1">TEXT(financials[[#This Row],[Date]],"MMM")</f>
        <v>Sep</v>
      </c>
      <c r="Q1341">
        <f ca="1">YEAR(financials[[#This Row],[Date]])</f>
        <v>2024</v>
      </c>
    </row>
    <row r="1342" spans="1:17" x14ac:dyDescent="0.3">
      <c r="A1342" t="s">
        <v>21</v>
      </c>
      <c r="B1342" t="s">
        <v>17</v>
      </c>
      <c r="C1342" s="6" t="s">
        <v>28</v>
      </c>
      <c r="D1342" s="6" t="str">
        <f>CONCATENATE(financials[[#This Row],[Segment]],",",financials[[#This Row],[Country]],",",financials[[#This Row],[Product]])</f>
        <v>Midmarket,Canada,Paseo</v>
      </c>
      <c r="E1342" s="6" t="s">
        <v>34</v>
      </c>
      <c r="F1342">
        <f t="shared" ca="1" si="40"/>
        <v>276</v>
      </c>
      <c r="G1342" s="1">
        <f ca="1">VLOOKUP(financials[[#This Row],[ID]],Prices!D:F,2,FALSE)</f>
        <v>15</v>
      </c>
      <c r="H1342" s="1">
        <f ca="1">VLOOKUP(financials[[#This Row],[ID]],Prices!D:F,3,FALSE)</f>
        <v>36</v>
      </c>
      <c r="I1342" s="1">
        <f ca="1">financials[[#This Row],[Units Sold]]*financials[[#This Row],[Sale Price]]</f>
        <v>9936</v>
      </c>
      <c r="J134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496.8</v>
      </c>
      <c r="K1342" s="1">
        <f ca="1">financials[[#This Row],[Gross Sales]]-financials[[#This Row],[Discounts]]</f>
        <v>9439.2000000000007</v>
      </c>
      <c r="L1342" s="1">
        <f ca="1">financials[[#This Row],[Units Sold]]*financials[[#This Row],[Manufacturing Price]]</f>
        <v>4140</v>
      </c>
      <c r="M1342" s="1">
        <f ca="1">financials[[#This Row],[Sales]]-financials[[#This Row],[COGS]]</f>
        <v>5299.2000000000007</v>
      </c>
      <c r="N1342" s="7">
        <f t="shared" ca="1" si="41"/>
        <v>45534</v>
      </c>
      <c r="O1342" s="8">
        <f ca="1">MONTH(financials[[#This Row],[Date]])</f>
        <v>8</v>
      </c>
      <c r="P1342" s="6" t="str">
        <f ca="1">TEXT(financials[[#This Row],[Date]],"MMM")</f>
        <v>Aug</v>
      </c>
      <c r="Q1342">
        <f ca="1">YEAR(financials[[#This Row],[Date]])</f>
        <v>2024</v>
      </c>
    </row>
    <row r="1343" spans="1:17" x14ac:dyDescent="0.3">
      <c r="A1343" t="s">
        <v>25</v>
      </c>
      <c r="B1343" t="s">
        <v>36</v>
      </c>
      <c r="C1343" s="6" t="s">
        <v>28</v>
      </c>
      <c r="D1343" s="6" t="str">
        <f>CONCATENATE(financials[[#This Row],[Segment]],",",financials[[#This Row],[Country]],",",financials[[#This Row],[Product]])</f>
        <v>Channel Partners,USA,Paseo</v>
      </c>
      <c r="E1343" s="6" t="s">
        <v>34</v>
      </c>
      <c r="F1343">
        <f t="shared" ca="1" si="40"/>
        <v>370</v>
      </c>
      <c r="G1343" s="1">
        <f ca="1">VLOOKUP(financials[[#This Row],[ID]],Prices!D:F,2,FALSE)</f>
        <v>19</v>
      </c>
      <c r="H1343" s="1">
        <f ca="1">VLOOKUP(financials[[#This Row],[ID]],Prices!D:F,3,FALSE)</f>
        <v>26</v>
      </c>
      <c r="I1343" s="1">
        <f ca="1">financials[[#This Row],[Units Sold]]*financials[[#This Row],[Sale Price]]</f>
        <v>9620</v>
      </c>
      <c r="J134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481</v>
      </c>
      <c r="K1343" s="1">
        <f ca="1">financials[[#This Row],[Gross Sales]]-financials[[#This Row],[Discounts]]</f>
        <v>9139</v>
      </c>
      <c r="L1343" s="1">
        <f ca="1">financials[[#This Row],[Units Sold]]*financials[[#This Row],[Manufacturing Price]]</f>
        <v>7030</v>
      </c>
      <c r="M1343" s="1">
        <f ca="1">financials[[#This Row],[Sales]]-financials[[#This Row],[COGS]]</f>
        <v>2109</v>
      </c>
      <c r="N1343" s="7">
        <f t="shared" ca="1" si="41"/>
        <v>45588</v>
      </c>
      <c r="O1343" s="8">
        <f ca="1">MONTH(financials[[#This Row],[Date]])</f>
        <v>10</v>
      </c>
      <c r="P1343" s="6" t="str">
        <f ca="1">TEXT(financials[[#This Row],[Date]],"MMM")</f>
        <v>Oct</v>
      </c>
      <c r="Q1343">
        <f ca="1">YEAR(financials[[#This Row],[Date]])</f>
        <v>2024</v>
      </c>
    </row>
    <row r="1344" spans="1:17" x14ac:dyDescent="0.3">
      <c r="A1344" t="s">
        <v>16</v>
      </c>
      <c r="B1344" t="s">
        <v>22</v>
      </c>
      <c r="C1344" s="6" t="s">
        <v>28</v>
      </c>
      <c r="D1344" s="6" t="str">
        <f>CONCATENATE(financials[[#This Row],[Segment]],",",financials[[#This Row],[Country]],",",financials[[#This Row],[Product]])</f>
        <v>Government,France,Paseo</v>
      </c>
      <c r="E1344" s="6" t="s">
        <v>34</v>
      </c>
      <c r="F1344">
        <f t="shared" ca="1" si="40"/>
        <v>912</v>
      </c>
      <c r="G1344" s="1">
        <f ca="1">VLOOKUP(financials[[#This Row],[ID]],Prices!D:F,2,FALSE)</f>
        <v>14</v>
      </c>
      <c r="H1344" s="1">
        <f ca="1">VLOOKUP(financials[[#This Row],[ID]],Prices!D:F,3,FALSE)</f>
        <v>18</v>
      </c>
      <c r="I1344" s="1">
        <f ca="1">financials[[#This Row],[Units Sold]]*financials[[#This Row],[Sale Price]]</f>
        <v>16416</v>
      </c>
      <c r="J134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820.80000000000007</v>
      </c>
      <c r="K1344" s="1">
        <f ca="1">financials[[#This Row],[Gross Sales]]-financials[[#This Row],[Discounts]]</f>
        <v>15595.2</v>
      </c>
      <c r="L1344" s="1">
        <f ca="1">financials[[#This Row],[Units Sold]]*financials[[#This Row],[Manufacturing Price]]</f>
        <v>12768</v>
      </c>
      <c r="M1344" s="1">
        <f ca="1">financials[[#This Row],[Sales]]-financials[[#This Row],[COGS]]</f>
        <v>2827.2000000000007</v>
      </c>
      <c r="N1344" s="7">
        <f t="shared" ca="1" si="41"/>
        <v>45429</v>
      </c>
      <c r="O1344" s="8">
        <f ca="1">MONTH(financials[[#This Row],[Date]])</f>
        <v>5</v>
      </c>
      <c r="P1344" s="6" t="str">
        <f ca="1">TEXT(financials[[#This Row],[Date]],"MMM")</f>
        <v>May</v>
      </c>
      <c r="Q1344">
        <f ca="1">YEAR(financials[[#This Row],[Date]])</f>
        <v>2024</v>
      </c>
    </row>
    <row r="1345" spans="1:17" x14ac:dyDescent="0.3">
      <c r="A1345" t="s">
        <v>16</v>
      </c>
      <c r="B1345" t="s">
        <v>17</v>
      </c>
      <c r="C1345" s="6" t="s">
        <v>28</v>
      </c>
      <c r="D1345" s="6" t="str">
        <f>CONCATENATE(financials[[#This Row],[Segment]],",",financials[[#This Row],[Country]],",",financials[[#This Row],[Product]])</f>
        <v>Government,Canada,Paseo</v>
      </c>
      <c r="E1345" s="6" t="s">
        <v>34</v>
      </c>
      <c r="F1345">
        <f t="shared" ca="1" si="40"/>
        <v>579</v>
      </c>
      <c r="G1345" s="1">
        <f ca="1">VLOOKUP(financials[[#This Row],[ID]],Prices!D:F,2,FALSE)</f>
        <v>10</v>
      </c>
      <c r="H1345" s="1">
        <f ca="1">VLOOKUP(financials[[#This Row],[ID]],Prices!D:F,3,FALSE)</f>
        <v>23</v>
      </c>
      <c r="I1345" s="1">
        <f ca="1">financials[[#This Row],[Units Sold]]*financials[[#This Row],[Sale Price]]</f>
        <v>13317</v>
      </c>
      <c r="J134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665.85</v>
      </c>
      <c r="K1345" s="1">
        <f ca="1">financials[[#This Row],[Gross Sales]]-financials[[#This Row],[Discounts]]</f>
        <v>12651.15</v>
      </c>
      <c r="L1345" s="1">
        <f ca="1">financials[[#This Row],[Units Sold]]*financials[[#This Row],[Manufacturing Price]]</f>
        <v>5790</v>
      </c>
      <c r="M1345" s="1">
        <f ca="1">financials[[#This Row],[Sales]]-financials[[#This Row],[COGS]]</f>
        <v>6861.15</v>
      </c>
      <c r="N1345" s="7">
        <f t="shared" ca="1" si="41"/>
        <v>45298</v>
      </c>
      <c r="O1345" s="8">
        <f ca="1">MONTH(financials[[#This Row],[Date]])</f>
        <v>1</v>
      </c>
      <c r="P1345" s="6" t="str">
        <f ca="1">TEXT(financials[[#This Row],[Date]],"MMM")</f>
        <v>Jan</v>
      </c>
      <c r="Q1345">
        <f ca="1">YEAR(financials[[#This Row],[Date]])</f>
        <v>2024</v>
      </c>
    </row>
    <row r="1346" spans="1:17" x14ac:dyDescent="0.3">
      <c r="A1346" t="s">
        <v>25</v>
      </c>
      <c r="B1346" t="s">
        <v>17</v>
      </c>
      <c r="C1346" s="6" t="s">
        <v>28</v>
      </c>
      <c r="D1346" s="6" t="str">
        <f>CONCATENATE(financials[[#This Row],[Segment]],",",financials[[#This Row],[Country]],",",financials[[#This Row],[Product]])</f>
        <v>Channel Partners,Canada,Paseo</v>
      </c>
      <c r="E1346" s="6" t="s">
        <v>34</v>
      </c>
      <c r="F1346">
        <f t="shared" ca="1" si="40"/>
        <v>877</v>
      </c>
      <c r="G1346" s="1">
        <f ca="1">VLOOKUP(financials[[#This Row],[ID]],Prices!D:F,2,FALSE)</f>
        <v>13</v>
      </c>
      <c r="H1346" s="1">
        <f ca="1">VLOOKUP(financials[[#This Row],[ID]],Prices!D:F,3,FALSE)</f>
        <v>26</v>
      </c>
      <c r="I1346" s="1">
        <f ca="1">financials[[#This Row],[Units Sold]]*financials[[#This Row],[Sale Price]]</f>
        <v>22802</v>
      </c>
      <c r="J134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1140.1000000000001</v>
      </c>
      <c r="K1346" s="1">
        <f ca="1">financials[[#This Row],[Gross Sales]]-financials[[#This Row],[Discounts]]</f>
        <v>21661.9</v>
      </c>
      <c r="L1346" s="1">
        <f ca="1">financials[[#This Row],[Units Sold]]*financials[[#This Row],[Manufacturing Price]]</f>
        <v>11401</v>
      </c>
      <c r="M1346" s="1">
        <f ca="1">financials[[#This Row],[Sales]]-financials[[#This Row],[COGS]]</f>
        <v>10260.900000000001</v>
      </c>
      <c r="N1346" s="7">
        <f t="shared" ca="1" si="41"/>
        <v>45153</v>
      </c>
      <c r="O1346" s="8">
        <f ca="1">MONTH(financials[[#This Row],[Date]])</f>
        <v>8</v>
      </c>
      <c r="P1346" s="6" t="str">
        <f ca="1">TEXT(financials[[#This Row],[Date]],"MMM")</f>
        <v>Aug</v>
      </c>
      <c r="Q1346">
        <f ca="1">YEAR(financials[[#This Row],[Date]])</f>
        <v>2023</v>
      </c>
    </row>
    <row r="1347" spans="1:17" x14ac:dyDescent="0.3">
      <c r="A1347" t="s">
        <v>16</v>
      </c>
      <c r="B1347" t="s">
        <v>36</v>
      </c>
      <c r="C1347" s="6" t="s">
        <v>28</v>
      </c>
      <c r="D1347" s="6" t="str">
        <f>CONCATENATE(financials[[#This Row],[Segment]],",",financials[[#This Row],[Country]],",",financials[[#This Row],[Product]])</f>
        <v>Government,USA,Paseo</v>
      </c>
      <c r="E1347" s="6" t="s">
        <v>34</v>
      </c>
      <c r="F1347">
        <f t="shared" ref="F1347:F1401" ca="1" si="42">RANDBETWEEN(10,1000)</f>
        <v>940</v>
      </c>
      <c r="G1347" s="1">
        <f ca="1">VLOOKUP(financials[[#This Row],[ID]],Prices!D:F,2,FALSE)</f>
        <v>17</v>
      </c>
      <c r="H1347" s="1">
        <f ca="1">VLOOKUP(financials[[#This Row],[ID]],Prices!D:F,3,FALSE)</f>
        <v>36</v>
      </c>
      <c r="I1347" s="1">
        <f ca="1">financials[[#This Row],[Units Sold]]*financials[[#This Row],[Sale Price]]</f>
        <v>33840</v>
      </c>
      <c r="J134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1692</v>
      </c>
      <c r="K1347" s="1">
        <f ca="1">financials[[#This Row],[Gross Sales]]-financials[[#This Row],[Discounts]]</f>
        <v>32148</v>
      </c>
      <c r="L1347" s="1">
        <f ca="1">financials[[#This Row],[Units Sold]]*financials[[#This Row],[Manufacturing Price]]</f>
        <v>15980</v>
      </c>
      <c r="M1347" s="1">
        <f ca="1">financials[[#This Row],[Sales]]-financials[[#This Row],[COGS]]</f>
        <v>16168</v>
      </c>
      <c r="N1347" s="7">
        <f t="shared" ref="N1347:N1401" ca="1" si="43">TODAY()-RANDBETWEEN(1,732)</f>
        <v>45189</v>
      </c>
      <c r="O1347" s="8">
        <f ca="1">MONTH(financials[[#This Row],[Date]])</f>
        <v>9</v>
      </c>
      <c r="P1347" s="6" t="str">
        <f ca="1">TEXT(financials[[#This Row],[Date]],"MMM")</f>
        <v>Sep</v>
      </c>
      <c r="Q1347">
        <f ca="1">YEAR(financials[[#This Row],[Date]])</f>
        <v>2023</v>
      </c>
    </row>
    <row r="1348" spans="1:17" x14ac:dyDescent="0.3">
      <c r="A1348" t="s">
        <v>16</v>
      </c>
      <c r="B1348" t="s">
        <v>22</v>
      </c>
      <c r="C1348" s="6" t="s">
        <v>28</v>
      </c>
      <c r="D1348" s="6" t="str">
        <f>CONCATENATE(financials[[#This Row],[Segment]],",",financials[[#This Row],[Country]],",",financials[[#This Row],[Product]])</f>
        <v>Government,France,Paseo</v>
      </c>
      <c r="E1348" s="6" t="s">
        <v>34</v>
      </c>
      <c r="F1348">
        <f t="shared" ca="1" si="42"/>
        <v>449</v>
      </c>
      <c r="G1348" s="1">
        <f ca="1">VLOOKUP(financials[[#This Row],[ID]],Prices!D:F,2,FALSE)</f>
        <v>14</v>
      </c>
      <c r="H1348" s="1">
        <f ca="1">VLOOKUP(financials[[#This Row],[ID]],Prices!D:F,3,FALSE)</f>
        <v>18</v>
      </c>
      <c r="I1348" s="1">
        <f ca="1">financials[[#This Row],[Units Sold]]*financials[[#This Row],[Sale Price]]</f>
        <v>8082</v>
      </c>
      <c r="J134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404.1</v>
      </c>
      <c r="K1348" s="1">
        <f ca="1">financials[[#This Row],[Gross Sales]]-financials[[#This Row],[Discounts]]</f>
        <v>7677.9</v>
      </c>
      <c r="L1348" s="1">
        <f ca="1">financials[[#This Row],[Units Sold]]*financials[[#This Row],[Manufacturing Price]]</f>
        <v>6286</v>
      </c>
      <c r="M1348" s="1">
        <f ca="1">financials[[#This Row],[Sales]]-financials[[#This Row],[COGS]]</f>
        <v>1391.8999999999996</v>
      </c>
      <c r="N1348" s="7">
        <f t="shared" ca="1" si="43"/>
        <v>45735</v>
      </c>
      <c r="O1348" s="8">
        <f ca="1">MONTH(financials[[#This Row],[Date]])</f>
        <v>3</v>
      </c>
      <c r="P1348" s="6" t="str">
        <f ca="1">TEXT(financials[[#This Row],[Date]],"MMM")</f>
        <v>Mar</v>
      </c>
      <c r="Q1348">
        <f ca="1">YEAR(financials[[#This Row],[Date]])</f>
        <v>2025</v>
      </c>
    </row>
    <row r="1349" spans="1:17" x14ac:dyDescent="0.3">
      <c r="A1349" t="s">
        <v>26</v>
      </c>
      <c r="B1349" t="s">
        <v>23</v>
      </c>
      <c r="C1349" s="6" t="s">
        <v>29</v>
      </c>
      <c r="D1349" s="6" t="str">
        <f>CONCATENATE(financials[[#This Row],[Segment]],",",financials[[#This Row],[Country]],",",financials[[#This Row],[Product]])</f>
        <v>Enterprise,Mexico,Velo</v>
      </c>
      <c r="E1349" s="6" t="s">
        <v>34</v>
      </c>
      <c r="F1349">
        <f t="shared" ca="1" si="42"/>
        <v>882</v>
      </c>
      <c r="G1349" s="1">
        <f ca="1">VLOOKUP(financials[[#This Row],[ID]],Prices!D:F,2,FALSE)</f>
        <v>19</v>
      </c>
      <c r="H1349" s="1">
        <f ca="1">VLOOKUP(financials[[#This Row],[ID]],Prices!D:F,3,FALSE)</f>
        <v>23</v>
      </c>
      <c r="I1349" s="1">
        <f ca="1">financials[[#This Row],[Units Sold]]*financials[[#This Row],[Sale Price]]</f>
        <v>20286</v>
      </c>
      <c r="J134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1014.3000000000001</v>
      </c>
      <c r="K1349" s="1">
        <f ca="1">financials[[#This Row],[Gross Sales]]-financials[[#This Row],[Discounts]]</f>
        <v>19271.7</v>
      </c>
      <c r="L1349" s="1">
        <f ca="1">financials[[#This Row],[Units Sold]]*financials[[#This Row],[Manufacturing Price]]</f>
        <v>16758</v>
      </c>
      <c r="M1349" s="1">
        <f ca="1">financials[[#This Row],[Sales]]-financials[[#This Row],[COGS]]</f>
        <v>2513.7000000000007</v>
      </c>
      <c r="N1349" s="7">
        <f t="shared" ca="1" si="43"/>
        <v>45330</v>
      </c>
      <c r="O1349" s="8">
        <f ca="1">MONTH(financials[[#This Row],[Date]])</f>
        <v>2</v>
      </c>
      <c r="P1349" s="6" t="str">
        <f ca="1">TEXT(financials[[#This Row],[Date]],"MMM")</f>
        <v>Feb</v>
      </c>
      <c r="Q1349">
        <f ca="1">YEAR(financials[[#This Row],[Date]])</f>
        <v>2024</v>
      </c>
    </row>
    <row r="1350" spans="1:17" x14ac:dyDescent="0.3">
      <c r="A1350" t="s">
        <v>16</v>
      </c>
      <c r="B1350" t="s">
        <v>36</v>
      </c>
      <c r="C1350" s="6" t="s">
        <v>29</v>
      </c>
      <c r="D1350" s="6" t="str">
        <f>CONCATENATE(financials[[#This Row],[Segment]],",",financials[[#This Row],[Country]],",",financials[[#This Row],[Product]])</f>
        <v>Government,USA,Velo</v>
      </c>
      <c r="E1350" s="6" t="s">
        <v>34</v>
      </c>
      <c r="F1350">
        <f t="shared" ca="1" si="42"/>
        <v>377</v>
      </c>
      <c r="G1350" s="1">
        <f ca="1">VLOOKUP(financials[[#This Row],[ID]],Prices!D:F,2,FALSE)</f>
        <v>18</v>
      </c>
      <c r="H1350" s="1">
        <f ca="1">VLOOKUP(financials[[#This Row],[ID]],Prices!D:F,3,FALSE)</f>
        <v>38</v>
      </c>
      <c r="I1350" s="1">
        <f ca="1">financials[[#This Row],[Units Sold]]*financials[[#This Row],[Sale Price]]</f>
        <v>14326</v>
      </c>
      <c r="J135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716.30000000000007</v>
      </c>
      <c r="K1350" s="1">
        <f ca="1">financials[[#This Row],[Gross Sales]]-financials[[#This Row],[Discounts]]</f>
        <v>13609.7</v>
      </c>
      <c r="L1350" s="1">
        <f ca="1">financials[[#This Row],[Units Sold]]*financials[[#This Row],[Manufacturing Price]]</f>
        <v>6786</v>
      </c>
      <c r="M1350" s="1">
        <f ca="1">financials[[#This Row],[Sales]]-financials[[#This Row],[COGS]]</f>
        <v>6823.7000000000007</v>
      </c>
      <c r="N1350" s="7">
        <f t="shared" ca="1" si="43"/>
        <v>45669</v>
      </c>
      <c r="O1350" s="8">
        <f ca="1">MONTH(financials[[#This Row],[Date]])</f>
        <v>1</v>
      </c>
      <c r="P1350" s="6" t="str">
        <f ca="1">TEXT(financials[[#This Row],[Date]],"MMM")</f>
        <v>Jan</v>
      </c>
      <c r="Q1350">
        <f ca="1">YEAR(financials[[#This Row],[Date]])</f>
        <v>2025</v>
      </c>
    </row>
    <row r="1351" spans="1:17" x14ac:dyDescent="0.3">
      <c r="A1351" t="s">
        <v>27</v>
      </c>
      <c r="B1351" t="s">
        <v>36</v>
      </c>
      <c r="C1351" s="6" t="s">
        <v>29</v>
      </c>
      <c r="D1351" s="6" t="str">
        <f>CONCATENATE(financials[[#This Row],[Segment]],",",financials[[#This Row],[Country]],",",financials[[#This Row],[Product]])</f>
        <v>Small Business,USA,Velo</v>
      </c>
      <c r="E1351" s="6" t="s">
        <v>34</v>
      </c>
      <c r="F1351">
        <f t="shared" ca="1" si="42"/>
        <v>912</v>
      </c>
      <c r="G1351" s="1">
        <f ca="1">VLOOKUP(financials[[#This Row],[ID]],Prices!D:F,2,FALSE)</f>
        <v>13</v>
      </c>
      <c r="H1351" s="1">
        <f ca="1">VLOOKUP(financials[[#This Row],[ID]],Prices!D:F,3,FALSE)</f>
        <v>22</v>
      </c>
      <c r="I1351" s="1">
        <f ca="1">financials[[#This Row],[Units Sold]]*financials[[#This Row],[Sale Price]]</f>
        <v>20064</v>
      </c>
      <c r="J135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1003.2</v>
      </c>
      <c r="K1351" s="1">
        <f ca="1">financials[[#This Row],[Gross Sales]]-financials[[#This Row],[Discounts]]</f>
        <v>19060.8</v>
      </c>
      <c r="L1351" s="1">
        <f ca="1">financials[[#This Row],[Units Sold]]*financials[[#This Row],[Manufacturing Price]]</f>
        <v>11856</v>
      </c>
      <c r="M1351" s="1">
        <f ca="1">financials[[#This Row],[Sales]]-financials[[#This Row],[COGS]]</f>
        <v>7204.7999999999993</v>
      </c>
      <c r="N1351" s="7">
        <f t="shared" ca="1" si="43"/>
        <v>45173</v>
      </c>
      <c r="O1351" s="8">
        <f ca="1">MONTH(financials[[#This Row],[Date]])</f>
        <v>9</v>
      </c>
      <c r="P1351" s="6" t="str">
        <f ca="1">TEXT(financials[[#This Row],[Date]],"MMM")</f>
        <v>Sep</v>
      </c>
      <c r="Q1351">
        <f ca="1">YEAR(financials[[#This Row],[Date]])</f>
        <v>2023</v>
      </c>
    </row>
    <row r="1352" spans="1:17" x14ac:dyDescent="0.3">
      <c r="A1352" t="s">
        <v>27</v>
      </c>
      <c r="B1352" t="s">
        <v>17</v>
      </c>
      <c r="C1352" s="6" t="s">
        <v>29</v>
      </c>
      <c r="D1352" s="6" t="str">
        <f>CONCATENATE(financials[[#This Row],[Segment]],",",financials[[#This Row],[Country]],",",financials[[#This Row],[Product]])</f>
        <v>Small Business,Canada,Velo</v>
      </c>
      <c r="E1352" s="6" t="s">
        <v>34</v>
      </c>
      <c r="F1352">
        <f t="shared" ca="1" si="42"/>
        <v>461</v>
      </c>
      <c r="G1352" s="1">
        <f ca="1">VLOOKUP(financials[[#This Row],[ID]],Prices!D:F,2,FALSE)</f>
        <v>14</v>
      </c>
      <c r="H1352" s="1">
        <f ca="1">VLOOKUP(financials[[#This Row],[ID]],Prices!D:F,3,FALSE)</f>
        <v>30</v>
      </c>
      <c r="I1352" s="1">
        <f ca="1">financials[[#This Row],[Units Sold]]*financials[[#This Row],[Sale Price]]</f>
        <v>13830</v>
      </c>
      <c r="J135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691.5</v>
      </c>
      <c r="K1352" s="1">
        <f ca="1">financials[[#This Row],[Gross Sales]]-financials[[#This Row],[Discounts]]</f>
        <v>13138.5</v>
      </c>
      <c r="L1352" s="1">
        <f ca="1">financials[[#This Row],[Units Sold]]*financials[[#This Row],[Manufacturing Price]]</f>
        <v>6454</v>
      </c>
      <c r="M1352" s="1">
        <f ca="1">financials[[#This Row],[Sales]]-financials[[#This Row],[COGS]]</f>
        <v>6684.5</v>
      </c>
      <c r="N1352" s="7">
        <f t="shared" ca="1" si="43"/>
        <v>45164</v>
      </c>
      <c r="O1352" s="8">
        <f ca="1">MONTH(financials[[#This Row],[Date]])</f>
        <v>8</v>
      </c>
      <c r="P1352" s="6" t="str">
        <f ca="1">TEXT(financials[[#This Row],[Date]],"MMM")</f>
        <v>Aug</v>
      </c>
      <c r="Q1352">
        <f ca="1">YEAR(financials[[#This Row],[Date]])</f>
        <v>2023</v>
      </c>
    </row>
    <row r="1353" spans="1:17" x14ac:dyDescent="0.3">
      <c r="A1353" t="s">
        <v>27</v>
      </c>
      <c r="B1353" t="s">
        <v>20</v>
      </c>
      <c r="C1353" s="6" t="s">
        <v>29</v>
      </c>
      <c r="D1353" s="6" t="str">
        <f>CONCATENATE(financials[[#This Row],[Segment]],",",financials[[#This Row],[Country]],",",financials[[#This Row],[Product]])</f>
        <v>Small Business,Germany,Velo</v>
      </c>
      <c r="E1353" s="6" t="s">
        <v>34</v>
      </c>
      <c r="F1353">
        <f t="shared" ca="1" si="42"/>
        <v>912</v>
      </c>
      <c r="G1353" s="1">
        <f ca="1">VLOOKUP(financials[[#This Row],[ID]],Prices!D:F,2,FALSE)</f>
        <v>15</v>
      </c>
      <c r="H1353" s="1">
        <f ca="1">VLOOKUP(financials[[#This Row],[ID]],Prices!D:F,3,FALSE)</f>
        <v>30</v>
      </c>
      <c r="I1353" s="1">
        <f ca="1">financials[[#This Row],[Units Sold]]*financials[[#This Row],[Sale Price]]</f>
        <v>27360</v>
      </c>
      <c r="J135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1368</v>
      </c>
      <c r="K1353" s="1">
        <f ca="1">financials[[#This Row],[Gross Sales]]-financials[[#This Row],[Discounts]]</f>
        <v>25992</v>
      </c>
      <c r="L1353" s="1">
        <f ca="1">financials[[#This Row],[Units Sold]]*financials[[#This Row],[Manufacturing Price]]</f>
        <v>13680</v>
      </c>
      <c r="M1353" s="1">
        <f ca="1">financials[[#This Row],[Sales]]-financials[[#This Row],[COGS]]</f>
        <v>12312</v>
      </c>
      <c r="N1353" s="7">
        <f t="shared" ca="1" si="43"/>
        <v>45272</v>
      </c>
      <c r="O1353" s="8">
        <f ca="1">MONTH(financials[[#This Row],[Date]])</f>
        <v>12</v>
      </c>
      <c r="P1353" s="6" t="str">
        <f ca="1">TEXT(financials[[#This Row],[Date]],"MMM")</f>
        <v>Dec</v>
      </c>
      <c r="Q1353">
        <f ca="1">YEAR(financials[[#This Row],[Date]])</f>
        <v>2023</v>
      </c>
    </row>
    <row r="1354" spans="1:17" x14ac:dyDescent="0.3">
      <c r="A1354" t="s">
        <v>16</v>
      </c>
      <c r="B1354" t="s">
        <v>23</v>
      </c>
      <c r="C1354" s="6" t="s">
        <v>30</v>
      </c>
      <c r="D1354" s="6" t="str">
        <f>CONCATENATE(financials[[#This Row],[Segment]],",",financials[[#This Row],[Country]],",",financials[[#This Row],[Product]])</f>
        <v>Government,Mexico,VTT</v>
      </c>
      <c r="E1354" s="6" t="s">
        <v>34</v>
      </c>
      <c r="F1354">
        <f t="shared" ca="1" si="42"/>
        <v>234</v>
      </c>
      <c r="G1354" s="1">
        <f ca="1">VLOOKUP(financials[[#This Row],[ID]],Prices!D:F,2,FALSE)</f>
        <v>18</v>
      </c>
      <c r="H1354" s="1">
        <f ca="1">VLOOKUP(financials[[#This Row],[ID]],Prices!D:F,3,FALSE)</f>
        <v>20</v>
      </c>
      <c r="I1354" s="1">
        <f ca="1">financials[[#This Row],[Units Sold]]*financials[[#This Row],[Sale Price]]</f>
        <v>4680</v>
      </c>
      <c r="J135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234</v>
      </c>
      <c r="K1354" s="1">
        <f ca="1">financials[[#This Row],[Gross Sales]]-financials[[#This Row],[Discounts]]</f>
        <v>4446</v>
      </c>
      <c r="L1354" s="1">
        <f ca="1">financials[[#This Row],[Units Sold]]*financials[[#This Row],[Manufacturing Price]]</f>
        <v>4212</v>
      </c>
      <c r="M1354" s="1">
        <f ca="1">financials[[#This Row],[Sales]]-financials[[#This Row],[COGS]]</f>
        <v>234</v>
      </c>
      <c r="N1354" s="7">
        <f t="shared" ca="1" si="43"/>
        <v>45301</v>
      </c>
      <c r="O1354" s="8">
        <f ca="1">MONTH(financials[[#This Row],[Date]])</f>
        <v>1</v>
      </c>
      <c r="P1354" s="6" t="str">
        <f ca="1">TEXT(financials[[#This Row],[Date]],"MMM")</f>
        <v>Jan</v>
      </c>
      <c r="Q1354">
        <f ca="1">YEAR(financials[[#This Row],[Date]])</f>
        <v>2024</v>
      </c>
    </row>
    <row r="1355" spans="1:17" x14ac:dyDescent="0.3">
      <c r="A1355" t="s">
        <v>27</v>
      </c>
      <c r="B1355" t="s">
        <v>36</v>
      </c>
      <c r="C1355" s="6" t="s">
        <v>30</v>
      </c>
      <c r="D1355" s="6" t="str">
        <f>CONCATENATE(financials[[#This Row],[Segment]],",",financials[[#This Row],[Country]],",",financials[[#This Row],[Product]])</f>
        <v>Small Business,USA,VTT</v>
      </c>
      <c r="E1355" s="6" t="s">
        <v>34</v>
      </c>
      <c r="F1355">
        <f t="shared" ca="1" si="42"/>
        <v>19</v>
      </c>
      <c r="G1355" s="1">
        <f ca="1">VLOOKUP(financials[[#This Row],[ID]],Prices!D:F,2,FALSE)</f>
        <v>13</v>
      </c>
      <c r="H1355" s="1">
        <f ca="1">VLOOKUP(financials[[#This Row],[ID]],Prices!D:F,3,FALSE)</f>
        <v>19</v>
      </c>
      <c r="I1355" s="1">
        <f ca="1">financials[[#This Row],[Units Sold]]*financials[[#This Row],[Sale Price]]</f>
        <v>361</v>
      </c>
      <c r="J135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3.61</v>
      </c>
      <c r="K1355" s="1">
        <f ca="1">financials[[#This Row],[Gross Sales]]-financials[[#This Row],[Discounts]]</f>
        <v>357.39</v>
      </c>
      <c r="L1355" s="1">
        <f ca="1">financials[[#This Row],[Units Sold]]*financials[[#This Row],[Manufacturing Price]]</f>
        <v>247</v>
      </c>
      <c r="M1355" s="1">
        <f ca="1">financials[[#This Row],[Sales]]-financials[[#This Row],[COGS]]</f>
        <v>110.38999999999999</v>
      </c>
      <c r="N1355" s="7">
        <f t="shared" ca="1" si="43"/>
        <v>45127</v>
      </c>
      <c r="O1355" s="8">
        <f ca="1">MONTH(financials[[#This Row],[Date]])</f>
        <v>7</v>
      </c>
      <c r="P1355" s="6" t="str">
        <f ca="1">TEXT(financials[[#This Row],[Date]],"MMM")</f>
        <v>Jul</v>
      </c>
      <c r="Q1355">
        <f ca="1">YEAR(financials[[#This Row],[Date]])</f>
        <v>2023</v>
      </c>
    </row>
    <row r="1356" spans="1:17" x14ac:dyDescent="0.3">
      <c r="A1356" t="s">
        <v>27</v>
      </c>
      <c r="B1356" t="s">
        <v>17</v>
      </c>
      <c r="C1356" s="6" t="s">
        <v>30</v>
      </c>
      <c r="D1356" s="6" t="str">
        <f>CONCATENATE(financials[[#This Row],[Segment]],",",financials[[#This Row],[Country]],",",financials[[#This Row],[Product]])</f>
        <v>Small Business,Canada,VTT</v>
      </c>
      <c r="E1356" s="6" t="s">
        <v>34</v>
      </c>
      <c r="F1356">
        <f t="shared" ca="1" si="42"/>
        <v>922</v>
      </c>
      <c r="G1356" s="1">
        <f ca="1">VLOOKUP(financials[[#This Row],[ID]],Prices!D:F,2,FALSE)</f>
        <v>10</v>
      </c>
      <c r="H1356" s="1">
        <f ca="1">VLOOKUP(financials[[#This Row],[ID]],Prices!D:F,3,FALSE)</f>
        <v>21</v>
      </c>
      <c r="I1356" s="1">
        <f ca="1">financials[[#This Row],[Units Sold]]*financials[[#This Row],[Sale Price]]</f>
        <v>19362</v>
      </c>
      <c r="J135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968.1</v>
      </c>
      <c r="K1356" s="1">
        <f ca="1">financials[[#This Row],[Gross Sales]]-financials[[#This Row],[Discounts]]</f>
        <v>18393.900000000001</v>
      </c>
      <c r="L1356" s="1">
        <f ca="1">financials[[#This Row],[Units Sold]]*financials[[#This Row],[Manufacturing Price]]</f>
        <v>9220</v>
      </c>
      <c r="M1356" s="1">
        <f ca="1">financials[[#This Row],[Sales]]-financials[[#This Row],[COGS]]</f>
        <v>9173.9000000000015</v>
      </c>
      <c r="N1356" s="7">
        <f t="shared" ca="1" si="43"/>
        <v>45749</v>
      </c>
      <c r="O1356" s="8">
        <f ca="1">MONTH(financials[[#This Row],[Date]])</f>
        <v>4</v>
      </c>
      <c r="P1356" s="6" t="str">
        <f ca="1">TEXT(financials[[#This Row],[Date]],"MMM")</f>
        <v>Apr</v>
      </c>
      <c r="Q1356">
        <f ca="1">YEAR(financials[[#This Row],[Date]])</f>
        <v>2025</v>
      </c>
    </row>
    <row r="1357" spans="1:17" x14ac:dyDescent="0.3">
      <c r="A1357" t="s">
        <v>27</v>
      </c>
      <c r="B1357" t="s">
        <v>17</v>
      </c>
      <c r="C1357" s="6" t="s">
        <v>30</v>
      </c>
      <c r="D1357" s="6" t="str">
        <f>CONCATENATE(financials[[#This Row],[Segment]],",",financials[[#This Row],[Country]],",",financials[[#This Row],[Product]])</f>
        <v>Small Business,Canada,VTT</v>
      </c>
      <c r="E1357" s="6" t="s">
        <v>34</v>
      </c>
      <c r="F1357">
        <f t="shared" ca="1" si="42"/>
        <v>791</v>
      </c>
      <c r="G1357" s="1">
        <f ca="1">VLOOKUP(financials[[#This Row],[ID]],Prices!D:F,2,FALSE)</f>
        <v>10</v>
      </c>
      <c r="H1357" s="1">
        <f ca="1">VLOOKUP(financials[[#This Row],[ID]],Prices!D:F,3,FALSE)</f>
        <v>21</v>
      </c>
      <c r="I1357" s="1">
        <f ca="1">financials[[#This Row],[Units Sold]]*financials[[#This Row],[Sale Price]]</f>
        <v>16611</v>
      </c>
      <c r="J135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830.55000000000007</v>
      </c>
      <c r="K1357" s="1">
        <f ca="1">financials[[#This Row],[Gross Sales]]-financials[[#This Row],[Discounts]]</f>
        <v>15780.45</v>
      </c>
      <c r="L1357" s="1">
        <f ca="1">financials[[#This Row],[Units Sold]]*financials[[#This Row],[Manufacturing Price]]</f>
        <v>7910</v>
      </c>
      <c r="M1357" s="1">
        <f ca="1">financials[[#This Row],[Sales]]-financials[[#This Row],[COGS]]</f>
        <v>7870.4500000000007</v>
      </c>
      <c r="N1357" s="7">
        <f t="shared" ca="1" si="43"/>
        <v>45357</v>
      </c>
      <c r="O1357" s="8">
        <f ca="1">MONTH(financials[[#This Row],[Date]])</f>
        <v>3</v>
      </c>
      <c r="P1357" s="6" t="str">
        <f ca="1">TEXT(financials[[#This Row],[Date]],"MMM")</f>
        <v>Mar</v>
      </c>
      <c r="Q1357">
        <f ca="1">YEAR(financials[[#This Row],[Date]])</f>
        <v>2024</v>
      </c>
    </row>
    <row r="1358" spans="1:17" x14ac:dyDescent="0.3">
      <c r="A1358" t="s">
        <v>27</v>
      </c>
      <c r="B1358" t="s">
        <v>36</v>
      </c>
      <c r="C1358" s="6" t="s">
        <v>30</v>
      </c>
      <c r="D1358" s="6" t="str">
        <f>CONCATENATE(financials[[#This Row],[Segment]],",",financials[[#This Row],[Country]],",",financials[[#This Row],[Product]])</f>
        <v>Small Business,USA,VTT</v>
      </c>
      <c r="E1358" s="6" t="s">
        <v>34</v>
      </c>
      <c r="F1358">
        <f t="shared" ca="1" si="42"/>
        <v>185</v>
      </c>
      <c r="G1358" s="1">
        <f ca="1">VLOOKUP(financials[[#This Row],[ID]],Prices!D:F,2,FALSE)</f>
        <v>13</v>
      </c>
      <c r="H1358" s="1">
        <f ca="1">VLOOKUP(financials[[#This Row],[ID]],Prices!D:F,3,FALSE)</f>
        <v>19</v>
      </c>
      <c r="I1358" s="1">
        <f ca="1">financials[[#This Row],[Units Sold]]*financials[[#This Row],[Sale Price]]</f>
        <v>3515</v>
      </c>
      <c r="J135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175.75</v>
      </c>
      <c r="K1358" s="1">
        <f ca="1">financials[[#This Row],[Gross Sales]]-financials[[#This Row],[Discounts]]</f>
        <v>3339.25</v>
      </c>
      <c r="L1358" s="1">
        <f ca="1">financials[[#This Row],[Units Sold]]*financials[[#This Row],[Manufacturing Price]]</f>
        <v>2405</v>
      </c>
      <c r="M1358" s="1">
        <f ca="1">financials[[#This Row],[Sales]]-financials[[#This Row],[COGS]]</f>
        <v>934.25</v>
      </c>
      <c r="N1358" s="7">
        <f t="shared" ca="1" si="43"/>
        <v>45243</v>
      </c>
      <c r="O1358" s="8">
        <f ca="1">MONTH(financials[[#This Row],[Date]])</f>
        <v>11</v>
      </c>
      <c r="P1358" s="6" t="str">
        <f ca="1">TEXT(financials[[#This Row],[Date]],"MMM")</f>
        <v>Nov</v>
      </c>
      <c r="Q1358">
        <f ca="1">YEAR(financials[[#This Row],[Date]])</f>
        <v>2023</v>
      </c>
    </row>
    <row r="1359" spans="1:17" x14ac:dyDescent="0.3">
      <c r="A1359" t="s">
        <v>16</v>
      </c>
      <c r="B1359" t="s">
        <v>22</v>
      </c>
      <c r="C1359" s="6" t="s">
        <v>30</v>
      </c>
      <c r="D1359" s="6" t="str">
        <f>CONCATENATE(financials[[#This Row],[Segment]],",",financials[[#This Row],[Country]],",",financials[[#This Row],[Product]])</f>
        <v>Government,France,VTT</v>
      </c>
      <c r="E1359" s="6" t="s">
        <v>34</v>
      </c>
      <c r="F1359">
        <f t="shared" ca="1" si="42"/>
        <v>726</v>
      </c>
      <c r="G1359" s="1">
        <f ca="1">VLOOKUP(financials[[#This Row],[ID]],Prices!D:F,2,FALSE)</f>
        <v>18</v>
      </c>
      <c r="H1359" s="1">
        <f ca="1">VLOOKUP(financials[[#This Row],[ID]],Prices!D:F,3,FALSE)</f>
        <v>32</v>
      </c>
      <c r="I1359" s="1">
        <f ca="1">financials[[#This Row],[Units Sold]]*financials[[#This Row],[Sale Price]]</f>
        <v>23232</v>
      </c>
      <c r="J135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1161.6000000000001</v>
      </c>
      <c r="K1359" s="1">
        <f ca="1">financials[[#This Row],[Gross Sales]]-financials[[#This Row],[Discounts]]</f>
        <v>22070.400000000001</v>
      </c>
      <c r="L1359" s="1">
        <f ca="1">financials[[#This Row],[Units Sold]]*financials[[#This Row],[Manufacturing Price]]</f>
        <v>13068</v>
      </c>
      <c r="M1359" s="1">
        <f ca="1">financials[[#This Row],[Sales]]-financials[[#This Row],[COGS]]</f>
        <v>9002.4000000000015</v>
      </c>
      <c r="N1359" s="7">
        <f t="shared" ca="1" si="43"/>
        <v>45592</v>
      </c>
      <c r="O1359" s="8">
        <f ca="1">MONTH(financials[[#This Row],[Date]])</f>
        <v>10</v>
      </c>
      <c r="P1359" s="6" t="str">
        <f ca="1">TEXT(financials[[#This Row],[Date]],"MMM")</f>
        <v>Oct</v>
      </c>
      <c r="Q1359">
        <f ca="1">YEAR(financials[[#This Row],[Date]])</f>
        <v>2024</v>
      </c>
    </row>
    <row r="1360" spans="1:17" x14ac:dyDescent="0.3">
      <c r="A1360" t="s">
        <v>27</v>
      </c>
      <c r="B1360" t="s">
        <v>17</v>
      </c>
      <c r="C1360" s="6" t="s">
        <v>31</v>
      </c>
      <c r="D1360" s="6" t="str">
        <f>CONCATENATE(financials[[#This Row],[Segment]],",",financials[[#This Row],[Country]],",",financials[[#This Row],[Product]])</f>
        <v>Small Business,Canada,Amarilla</v>
      </c>
      <c r="E1360" s="6" t="s">
        <v>34</v>
      </c>
      <c r="F1360">
        <f t="shared" ca="1" si="42"/>
        <v>171</v>
      </c>
      <c r="G1360" s="1">
        <f ca="1">VLOOKUP(financials[[#This Row],[ID]],Prices!D:F,2,FALSE)</f>
        <v>13</v>
      </c>
      <c r="H1360" s="1">
        <f ca="1">VLOOKUP(financials[[#This Row],[ID]],Prices!D:F,3,FALSE)</f>
        <v>16</v>
      </c>
      <c r="I1360" s="1">
        <f ca="1">financials[[#This Row],[Units Sold]]*financials[[#This Row],[Sale Price]]</f>
        <v>2736</v>
      </c>
      <c r="J136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136.80000000000001</v>
      </c>
      <c r="K1360" s="1">
        <f ca="1">financials[[#This Row],[Gross Sales]]-financials[[#This Row],[Discounts]]</f>
        <v>2599.1999999999998</v>
      </c>
      <c r="L1360" s="1">
        <f ca="1">financials[[#This Row],[Units Sold]]*financials[[#This Row],[Manufacturing Price]]</f>
        <v>2223</v>
      </c>
      <c r="M1360" s="1">
        <f ca="1">financials[[#This Row],[Sales]]-financials[[#This Row],[COGS]]</f>
        <v>376.19999999999982</v>
      </c>
      <c r="N1360" s="7">
        <f t="shared" ca="1" si="43"/>
        <v>45611</v>
      </c>
      <c r="O1360" s="8">
        <f ca="1">MONTH(financials[[#This Row],[Date]])</f>
        <v>11</v>
      </c>
      <c r="P1360" s="6" t="str">
        <f ca="1">TEXT(financials[[#This Row],[Date]],"MMM")</f>
        <v>Nov</v>
      </c>
      <c r="Q1360">
        <f ca="1">YEAR(financials[[#This Row],[Date]])</f>
        <v>2024</v>
      </c>
    </row>
    <row r="1361" spans="1:17" x14ac:dyDescent="0.3">
      <c r="A1361" t="s">
        <v>26</v>
      </c>
      <c r="B1361" t="s">
        <v>36</v>
      </c>
      <c r="C1361" s="6" t="s">
        <v>31</v>
      </c>
      <c r="D1361" s="6" t="str">
        <f>CONCATENATE(financials[[#This Row],[Segment]],",",financials[[#This Row],[Country]],",",financials[[#This Row],[Product]])</f>
        <v>Enterprise,USA,Amarilla</v>
      </c>
      <c r="E1361" s="6" t="s">
        <v>34</v>
      </c>
      <c r="F1361">
        <f t="shared" ca="1" si="42"/>
        <v>727</v>
      </c>
      <c r="G1361" s="1">
        <f ca="1">VLOOKUP(financials[[#This Row],[ID]],Prices!D:F,2,FALSE)</f>
        <v>15</v>
      </c>
      <c r="H1361" s="1">
        <f ca="1">VLOOKUP(financials[[#This Row],[ID]],Prices!D:F,3,FALSE)</f>
        <v>32</v>
      </c>
      <c r="I1361" s="1">
        <f ca="1">financials[[#This Row],[Units Sold]]*financials[[#This Row],[Sale Price]]</f>
        <v>23264</v>
      </c>
      <c r="J136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1163.2</v>
      </c>
      <c r="K1361" s="1">
        <f ca="1">financials[[#This Row],[Gross Sales]]-financials[[#This Row],[Discounts]]</f>
        <v>22100.799999999999</v>
      </c>
      <c r="L1361" s="1">
        <f ca="1">financials[[#This Row],[Units Sold]]*financials[[#This Row],[Manufacturing Price]]</f>
        <v>10905</v>
      </c>
      <c r="M1361" s="1">
        <f ca="1">financials[[#This Row],[Sales]]-financials[[#This Row],[COGS]]</f>
        <v>11195.8</v>
      </c>
      <c r="N1361" s="7">
        <f t="shared" ca="1" si="43"/>
        <v>45081</v>
      </c>
      <c r="O1361" s="8">
        <f ca="1">MONTH(financials[[#This Row],[Date]])</f>
        <v>6</v>
      </c>
      <c r="P1361" s="6" t="str">
        <f ca="1">TEXT(financials[[#This Row],[Date]],"MMM")</f>
        <v>Jun</v>
      </c>
      <c r="Q1361">
        <f ca="1">YEAR(financials[[#This Row],[Date]])</f>
        <v>2023</v>
      </c>
    </row>
    <row r="1362" spans="1:17" x14ac:dyDescent="0.3">
      <c r="A1362" t="s">
        <v>25</v>
      </c>
      <c r="B1362" t="s">
        <v>22</v>
      </c>
      <c r="C1362" s="6" t="s">
        <v>31</v>
      </c>
      <c r="D1362" s="6" t="str">
        <f>CONCATENATE(financials[[#This Row],[Segment]],",",financials[[#This Row],[Country]],",",financials[[#This Row],[Product]])</f>
        <v>Channel Partners,France,Amarilla</v>
      </c>
      <c r="E1362" s="6" t="s">
        <v>34</v>
      </c>
      <c r="F1362">
        <f t="shared" ca="1" si="42"/>
        <v>687</v>
      </c>
      <c r="G1362" s="1">
        <f ca="1">VLOOKUP(financials[[#This Row],[ID]],Prices!D:F,2,FALSE)</f>
        <v>15</v>
      </c>
      <c r="H1362" s="1">
        <f ca="1">VLOOKUP(financials[[#This Row],[ID]],Prices!D:F,3,FALSE)</f>
        <v>24</v>
      </c>
      <c r="I1362" s="1">
        <f ca="1">financials[[#This Row],[Units Sold]]*financials[[#This Row],[Sale Price]]</f>
        <v>16488</v>
      </c>
      <c r="J136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824.40000000000009</v>
      </c>
      <c r="K1362" s="1">
        <f ca="1">financials[[#This Row],[Gross Sales]]-financials[[#This Row],[Discounts]]</f>
        <v>15663.6</v>
      </c>
      <c r="L1362" s="1">
        <f ca="1">financials[[#This Row],[Units Sold]]*financials[[#This Row],[Manufacturing Price]]</f>
        <v>10305</v>
      </c>
      <c r="M1362" s="1">
        <f ca="1">financials[[#This Row],[Sales]]-financials[[#This Row],[COGS]]</f>
        <v>5358.6</v>
      </c>
      <c r="N1362" s="7">
        <f t="shared" ca="1" si="43"/>
        <v>45549</v>
      </c>
      <c r="O1362" s="8">
        <f ca="1">MONTH(financials[[#This Row],[Date]])</f>
        <v>9</v>
      </c>
      <c r="P1362" s="6" t="str">
        <f ca="1">TEXT(financials[[#This Row],[Date]],"MMM")</f>
        <v>Sep</v>
      </c>
      <c r="Q1362">
        <f ca="1">YEAR(financials[[#This Row],[Date]])</f>
        <v>2024</v>
      </c>
    </row>
    <row r="1363" spans="1:17" x14ac:dyDescent="0.3">
      <c r="A1363" t="s">
        <v>21</v>
      </c>
      <c r="B1363" t="s">
        <v>17</v>
      </c>
      <c r="C1363" s="6" t="s">
        <v>31</v>
      </c>
      <c r="D1363" s="6" t="str">
        <f>CONCATENATE(financials[[#This Row],[Segment]],",",financials[[#This Row],[Country]],",",financials[[#This Row],[Product]])</f>
        <v>Midmarket,Canada,Amarilla</v>
      </c>
      <c r="E1363" s="6" t="s">
        <v>34</v>
      </c>
      <c r="F1363">
        <f t="shared" ca="1" si="42"/>
        <v>865</v>
      </c>
      <c r="G1363" s="1">
        <f ca="1">VLOOKUP(financials[[#This Row],[ID]],Prices!D:F,2,FALSE)</f>
        <v>16</v>
      </c>
      <c r="H1363" s="1">
        <f ca="1">VLOOKUP(financials[[#This Row],[ID]],Prices!D:F,3,FALSE)</f>
        <v>32</v>
      </c>
      <c r="I1363" s="1">
        <f ca="1">financials[[#This Row],[Units Sold]]*financials[[#This Row],[Sale Price]]</f>
        <v>27680</v>
      </c>
      <c r="J136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1384</v>
      </c>
      <c r="K1363" s="1">
        <f ca="1">financials[[#This Row],[Gross Sales]]-financials[[#This Row],[Discounts]]</f>
        <v>26296</v>
      </c>
      <c r="L1363" s="1">
        <f ca="1">financials[[#This Row],[Units Sold]]*financials[[#This Row],[Manufacturing Price]]</f>
        <v>13840</v>
      </c>
      <c r="M1363" s="1">
        <f ca="1">financials[[#This Row],[Sales]]-financials[[#This Row],[COGS]]</f>
        <v>12456</v>
      </c>
      <c r="N1363" s="7">
        <f t="shared" ca="1" si="43"/>
        <v>45633</v>
      </c>
      <c r="O1363" s="8">
        <f ca="1">MONTH(financials[[#This Row],[Date]])</f>
        <v>12</v>
      </c>
      <c r="P1363" s="6" t="str">
        <f ca="1">TEXT(financials[[#This Row],[Date]],"MMM")</f>
        <v>Dec</v>
      </c>
      <c r="Q1363">
        <f ca="1">YEAR(financials[[#This Row],[Date]])</f>
        <v>2024</v>
      </c>
    </row>
    <row r="1364" spans="1:17" x14ac:dyDescent="0.3">
      <c r="A1364" t="s">
        <v>25</v>
      </c>
      <c r="B1364" t="s">
        <v>36</v>
      </c>
      <c r="C1364" s="6" t="s">
        <v>31</v>
      </c>
      <c r="D1364" s="6" t="str">
        <f>CONCATENATE(financials[[#This Row],[Segment]],",",financials[[#This Row],[Country]],",",financials[[#This Row],[Product]])</f>
        <v>Channel Partners,USA,Amarilla</v>
      </c>
      <c r="E1364" s="6" t="s">
        <v>34</v>
      </c>
      <c r="F1364">
        <f t="shared" ca="1" si="42"/>
        <v>291</v>
      </c>
      <c r="G1364" s="1">
        <f ca="1">VLOOKUP(financials[[#This Row],[ID]],Prices!D:F,2,FALSE)</f>
        <v>11</v>
      </c>
      <c r="H1364" s="1">
        <f ca="1">VLOOKUP(financials[[#This Row],[ID]],Prices!D:F,3,FALSE)</f>
        <v>17</v>
      </c>
      <c r="I1364" s="1">
        <f ca="1">financials[[#This Row],[Units Sold]]*financials[[#This Row],[Sale Price]]</f>
        <v>4947</v>
      </c>
      <c r="J136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247.35000000000002</v>
      </c>
      <c r="K1364" s="1">
        <f ca="1">financials[[#This Row],[Gross Sales]]-financials[[#This Row],[Discounts]]</f>
        <v>4699.6499999999996</v>
      </c>
      <c r="L1364" s="1">
        <f ca="1">financials[[#This Row],[Units Sold]]*financials[[#This Row],[Manufacturing Price]]</f>
        <v>3201</v>
      </c>
      <c r="M1364" s="1">
        <f ca="1">financials[[#This Row],[Sales]]-financials[[#This Row],[COGS]]</f>
        <v>1498.6499999999996</v>
      </c>
      <c r="N1364" s="7">
        <f t="shared" ca="1" si="43"/>
        <v>45085</v>
      </c>
      <c r="O1364" s="8">
        <f ca="1">MONTH(financials[[#This Row],[Date]])</f>
        <v>6</v>
      </c>
      <c r="P1364" s="6" t="str">
        <f ca="1">TEXT(financials[[#This Row],[Date]],"MMM")</f>
        <v>Jun</v>
      </c>
      <c r="Q1364">
        <f ca="1">YEAR(financials[[#This Row],[Date]])</f>
        <v>2023</v>
      </c>
    </row>
    <row r="1365" spans="1:17" x14ac:dyDescent="0.3">
      <c r="A1365" t="s">
        <v>16</v>
      </c>
      <c r="B1365" t="s">
        <v>22</v>
      </c>
      <c r="C1365" s="6" t="s">
        <v>31</v>
      </c>
      <c r="D1365" s="6" t="str">
        <f>CONCATENATE(financials[[#This Row],[Segment]],",",financials[[#This Row],[Country]],",",financials[[#This Row],[Product]])</f>
        <v>Government,France,Amarilla</v>
      </c>
      <c r="E1365" s="6" t="s">
        <v>34</v>
      </c>
      <c r="F1365">
        <f t="shared" ca="1" si="42"/>
        <v>327</v>
      </c>
      <c r="G1365" s="1">
        <f ca="1">VLOOKUP(financials[[#This Row],[ID]],Prices!D:F,2,FALSE)</f>
        <v>10</v>
      </c>
      <c r="H1365" s="1">
        <f ca="1">VLOOKUP(financials[[#This Row],[ID]],Prices!D:F,3,FALSE)</f>
        <v>25</v>
      </c>
      <c r="I1365" s="1">
        <f ca="1">financials[[#This Row],[Units Sold]]*financials[[#This Row],[Sale Price]]</f>
        <v>8175</v>
      </c>
      <c r="J136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408.75</v>
      </c>
      <c r="K1365" s="1">
        <f ca="1">financials[[#This Row],[Gross Sales]]-financials[[#This Row],[Discounts]]</f>
        <v>7766.25</v>
      </c>
      <c r="L1365" s="1">
        <f ca="1">financials[[#This Row],[Units Sold]]*financials[[#This Row],[Manufacturing Price]]</f>
        <v>3270</v>
      </c>
      <c r="M1365" s="1">
        <f ca="1">financials[[#This Row],[Sales]]-financials[[#This Row],[COGS]]</f>
        <v>4496.25</v>
      </c>
      <c r="N1365" s="7">
        <f t="shared" ca="1" si="43"/>
        <v>45298</v>
      </c>
      <c r="O1365" s="8">
        <f ca="1">MONTH(financials[[#This Row],[Date]])</f>
        <v>1</v>
      </c>
      <c r="P1365" s="6" t="str">
        <f ca="1">TEXT(financials[[#This Row],[Date]],"MMM")</f>
        <v>Jan</v>
      </c>
      <c r="Q1365">
        <f ca="1">YEAR(financials[[#This Row],[Date]])</f>
        <v>2024</v>
      </c>
    </row>
    <row r="1366" spans="1:17" x14ac:dyDescent="0.3">
      <c r="A1366" t="s">
        <v>16</v>
      </c>
      <c r="B1366" t="s">
        <v>23</v>
      </c>
      <c r="C1366" s="6" t="s">
        <v>31</v>
      </c>
      <c r="D1366" s="6" t="str">
        <f>CONCATENATE(financials[[#This Row],[Segment]],",",financials[[#This Row],[Country]],",",financials[[#This Row],[Product]])</f>
        <v>Government,Mexico,Amarilla</v>
      </c>
      <c r="E1366" s="6" t="s">
        <v>34</v>
      </c>
      <c r="F1366">
        <f t="shared" ca="1" si="42"/>
        <v>705</v>
      </c>
      <c r="G1366" s="1">
        <f ca="1">VLOOKUP(financials[[#This Row],[ID]],Prices!D:F,2,FALSE)</f>
        <v>15</v>
      </c>
      <c r="H1366" s="1">
        <f ca="1">VLOOKUP(financials[[#This Row],[ID]],Prices!D:F,3,FALSE)</f>
        <v>32</v>
      </c>
      <c r="I1366" s="1">
        <f ca="1">financials[[#This Row],[Units Sold]]*financials[[#This Row],[Sale Price]]</f>
        <v>22560</v>
      </c>
      <c r="J136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1128</v>
      </c>
      <c r="K1366" s="1">
        <f ca="1">financials[[#This Row],[Gross Sales]]-financials[[#This Row],[Discounts]]</f>
        <v>21432</v>
      </c>
      <c r="L1366" s="1">
        <f ca="1">financials[[#This Row],[Units Sold]]*financials[[#This Row],[Manufacturing Price]]</f>
        <v>10575</v>
      </c>
      <c r="M1366" s="1">
        <f ca="1">financials[[#This Row],[Sales]]-financials[[#This Row],[COGS]]</f>
        <v>10857</v>
      </c>
      <c r="N1366" s="7">
        <f t="shared" ca="1" si="43"/>
        <v>45436</v>
      </c>
      <c r="O1366" s="8">
        <f ca="1">MONTH(financials[[#This Row],[Date]])</f>
        <v>5</v>
      </c>
      <c r="P1366" s="6" t="str">
        <f ca="1">TEXT(financials[[#This Row],[Date]],"MMM")</f>
        <v>May</v>
      </c>
      <c r="Q1366">
        <f ca="1">YEAR(financials[[#This Row],[Date]])</f>
        <v>2024</v>
      </c>
    </row>
    <row r="1367" spans="1:17" x14ac:dyDescent="0.3">
      <c r="A1367" t="s">
        <v>21</v>
      </c>
      <c r="B1367" t="s">
        <v>23</v>
      </c>
      <c r="C1367" s="6" t="s">
        <v>31</v>
      </c>
      <c r="D1367" s="6" t="str">
        <f>CONCATENATE(financials[[#This Row],[Segment]],",",financials[[#This Row],[Country]],",",financials[[#This Row],[Product]])</f>
        <v>Midmarket,Mexico,Amarilla</v>
      </c>
      <c r="E1367" s="6" t="s">
        <v>34</v>
      </c>
      <c r="F1367">
        <f t="shared" ca="1" si="42"/>
        <v>825</v>
      </c>
      <c r="G1367" s="1">
        <f ca="1">VLOOKUP(financials[[#This Row],[ID]],Prices!D:F,2,FALSE)</f>
        <v>13</v>
      </c>
      <c r="H1367" s="1">
        <f ca="1">VLOOKUP(financials[[#This Row],[ID]],Prices!D:F,3,FALSE)</f>
        <v>29</v>
      </c>
      <c r="I1367" s="1">
        <f ca="1">financials[[#This Row],[Units Sold]]*financials[[#This Row],[Sale Price]]</f>
        <v>23925</v>
      </c>
      <c r="J136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1196.25</v>
      </c>
      <c r="K1367" s="1">
        <f ca="1">financials[[#This Row],[Gross Sales]]-financials[[#This Row],[Discounts]]</f>
        <v>22728.75</v>
      </c>
      <c r="L1367" s="1">
        <f ca="1">financials[[#This Row],[Units Sold]]*financials[[#This Row],[Manufacturing Price]]</f>
        <v>10725</v>
      </c>
      <c r="M1367" s="1">
        <f ca="1">financials[[#This Row],[Sales]]-financials[[#This Row],[COGS]]</f>
        <v>12003.75</v>
      </c>
      <c r="N1367" s="7">
        <f t="shared" ca="1" si="43"/>
        <v>45456</v>
      </c>
      <c r="O1367" s="8">
        <f ca="1">MONTH(financials[[#This Row],[Date]])</f>
        <v>6</v>
      </c>
      <c r="P1367" s="6" t="str">
        <f ca="1">TEXT(financials[[#This Row],[Date]],"MMM")</f>
        <v>Jun</v>
      </c>
      <c r="Q1367">
        <f ca="1">YEAR(financials[[#This Row],[Date]])</f>
        <v>2024</v>
      </c>
    </row>
    <row r="1368" spans="1:17" x14ac:dyDescent="0.3">
      <c r="A1368" t="s">
        <v>26</v>
      </c>
      <c r="B1368" t="s">
        <v>22</v>
      </c>
      <c r="C1368" s="6" t="s">
        <v>18</v>
      </c>
      <c r="D1368" s="6" t="str">
        <f>CONCATENATE(financials[[#This Row],[Segment]],",",financials[[#This Row],[Country]],",",financials[[#This Row],[Product]])</f>
        <v>Enterprise,France,Carretera</v>
      </c>
      <c r="E1368" s="6" t="s">
        <v>34</v>
      </c>
      <c r="F1368">
        <f t="shared" ca="1" si="42"/>
        <v>860</v>
      </c>
      <c r="G1368" s="1">
        <f ca="1">VLOOKUP(financials[[#This Row],[ID]],Prices!D:F,2,FALSE)</f>
        <v>12</v>
      </c>
      <c r="H1368" s="1">
        <f ca="1">VLOOKUP(financials[[#This Row],[ID]],Prices!D:F,3,FALSE)</f>
        <v>35</v>
      </c>
      <c r="I1368" s="1">
        <f ca="1">financials[[#This Row],[Units Sold]]*financials[[#This Row],[Sale Price]]</f>
        <v>30100</v>
      </c>
      <c r="J136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1505</v>
      </c>
      <c r="K1368" s="1">
        <f ca="1">financials[[#This Row],[Gross Sales]]-financials[[#This Row],[Discounts]]</f>
        <v>28595</v>
      </c>
      <c r="L1368" s="1">
        <f ca="1">financials[[#This Row],[Units Sold]]*financials[[#This Row],[Manufacturing Price]]</f>
        <v>10320</v>
      </c>
      <c r="M1368" s="1">
        <f ca="1">financials[[#This Row],[Sales]]-financials[[#This Row],[COGS]]</f>
        <v>18275</v>
      </c>
      <c r="N1368" s="7">
        <f t="shared" ca="1" si="43"/>
        <v>45625</v>
      </c>
      <c r="O1368" s="8">
        <f ca="1">MONTH(financials[[#This Row],[Date]])</f>
        <v>11</v>
      </c>
      <c r="P1368" s="6" t="str">
        <f ca="1">TEXT(financials[[#This Row],[Date]],"MMM")</f>
        <v>Nov</v>
      </c>
      <c r="Q1368">
        <f ca="1">YEAR(financials[[#This Row],[Date]])</f>
        <v>2024</v>
      </c>
    </row>
    <row r="1369" spans="1:17" x14ac:dyDescent="0.3">
      <c r="A1369" t="s">
        <v>26</v>
      </c>
      <c r="B1369" t="s">
        <v>20</v>
      </c>
      <c r="C1369" s="6" t="s">
        <v>18</v>
      </c>
      <c r="D1369" s="6" t="str">
        <f>CONCATENATE(financials[[#This Row],[Segment]],",",financials[[#This Row],[Country]],",",financials[[#This Row],[Product]])</f>
        <v>Enterprise,Germany,Carretera</v>
      </c>
      <c r="E1369" s="6" t="s">
        <v>34</v>
      </c>
      <c r="F1369">
        <f t="shared" ca="1" si="42"/>
        <v>986</v>
      </c>
      <c r="G1369" s="1">
        <f ca="1">VLOOKUP(financials[[#This Row],[ID]],Prices!D:F,2,FALSE)</f>
        <v>20</v>
      </c>
      <c r="H1369" s="1">
        <f ca="1">VLOOKUP(financials[[#This Row],[ID]],Prices!D:F,3,FALSE)</f>
        <v>37</v>
      </c>
      <c r="I1369" s="1">
        <f ca="1">financials[[#This Row],[Units Sold]]*financials[[#This Row],[Sale Price]]</f>
        <v>36482</v>
      </c>
      <c r="J136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1824.1000000000001</v>
      </c>
      <c r="K1369" s="1">
        <f ca="1">financials[[#This Row],[Gross Sales]]-financials[[#This Row],[Discounts]]</f>
        <v>34657.9</v>
      </c>
      <c r="L1369" s="1">
        <f ca="1">financials[[#This Row],[Units Sold]]*financials[[#This Row],[Manufacturing Price]]</f>
        <v>19720</v>
      </c>
      <c r="M1369" s="1">
        <f ca="1">financials[[#This Row],[Sales]]-financials[[#This Row],[COGS]]</f>
        <v>14937.900000000001</v>
      </c>
      <c r="N1369" s="7">
        <f t="shared" ca="1" si="43"/>
        <v>45147</v>
      </c>
      <c r="O1369" s="8">
        <f ca="1">MONTH(financials[[#This Row],[Date]])</f>
        <v>8</v>
      </c>
      <c r="P1369" s="6" t="str">
        <f ca="1">TEXT(financials[[#This Row],[Date]],"MMM")</f>
        <v>Aug</v>
      </c>
      <c r="Q1369">
        <f ca="1">YEAR(financials[[#This Row],[Date]])</f>
        <v>2023</v>
      </c>
    </row>
    <row r="1370" spans="1:17" x14ac:dyDescent="0.3">
      <c r="A1370" t="s">
        <v>26</v>
      </c>
      <c r="B1370" t="s">
        <v>20</v>
      </c>
      <c r="C1370" s="6" t="s">
        <v>18</v>
      </c>
      <c r="D1370" s="6" t="str">
        <f>CONCATENATE(financials[[#This Row],[Segment]],",",financials[[#This Row],[Country]],",",financials[[#This Row],[Product]])</f>
        <v>Enterprise,Germany,Carretera</v>
      </c>
      <c r="E1370" s="6" t="s">
        <v>34</v>
      </c>
      <c r="F1370">
        <f t="shared" ca="1" si="42"/>
        <v>801</v>
      </c>
      <c r="G1370" s="1">
        <f ca="1">VLOOKUP(financials[[#This Row],[ID]],Prices!D:F,2,FALSE)</f>
        <v>20</v>
      </c>
      <c r="H1370" s="1">
        <f ca="1">VLOOKUP(financials[[#This Row],[ID]],Prices!D:F,3,FALSE)</f>
        <v>37</v>
      </c>
      <c r="I1370" s="1">
        <f ca="1">financials[[#This Row],[Units Sold]]*financials[[#This Row],[Sale Price]]</f>
        <v>29637</v>
      </c>
      <c r="J137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1481.8500000000001</v>
      </c>
      <c r="K1370" s="1">
        <f ca="1">financials[[#This Row],[Gross Sales]]-financials[[#This Row],[Discounts]]</f>
        <v>28155.15</v>
      </c>
      <c r="L1370" s="1">
        <f ca="1">financials[[#This Row],[Units Sold]]*financials[[#This Row],[Manufacturing Price]]</f>
        <v>16020</v>
      </c>
      <c r="M1370" s="1">
        <f ca="1">financials[[#This Row],[Sales]]-financials[[#This Row],[COGS]]</f>
        <v>12135.150000000001</v>
      </c>
      <c r="N1370" s="7">
        <f t="shared" ca="1" si="43"/>
        <v>45448</v>
      </c>
      <c r="O1370" s="8">
        <f ca="1">MONTH(financials[[#This Row],[Date]])</f>
        <v>6</v>
      </c>
      <c r="P1370" s="6" t="str">
        <f ca="1">TEXT(financials[[#This Row],[Date]],"MMM")</f>
        <v>Jun</v>
      </c>
      <c r="Q1370">
        <f ca="1">YEAR(financials[[#This Row],[Date]])</f>
        <v>2024</v>
      </c>
    </row>
    <row r="1371" spans="1:17" x14ac:dyDescent="0.3">
      <c r="A1371" t="s">
        <v>27</v>
      </c>
      <c r="B1371" t="s">
        <v>23</v>
      </c>
      <c r="C1371" s="6" t="s">
        <v>24</v>
      </c>
      <c r="D1371" s="6" t="str">
        <f>CONCATENATE(financials[[#This Row],[Segment]],",",financials[[#This Row],[Country]],",",financials[[#This Row],[Product]])</f>
        <v>Small Business,Mexico,Montana</v>
      </c>
      <c r="E1371" s="6" t="s">
        <v>34</v>
      </c>
      <c r="F1371">
        <f t="shared" ca="1" si="42"/>
        <v>519</v>
      </c>
      <c r="G1371" s="1">
        <f ca="1">VLOOKUP(financials[[#This Row],[ID]],Prices!D:F,2,FALSE)</f>
        <v>20</v>
      </c>
      <c r="H1371" s="1">
        <f ca="1">VLOOKUP(financials[[#This Row],[ID]],Prices!D:F,3,FALSE)</f>
        <v>37</v>
      </c>
      <c r="I1371" s="1">
        <f ca="1">financials[[#This Row],[Units Sold]]*financials[[#This Row],[Sale Price]]</f>
        <v>19203</v>
      </c>
      <c r="J137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960.15000000000009</v>
      </c>
      <c r="K1371" s="1">
        <f ca="1">financials[[#This Row],[Gross Sales]]-financials[[#This Row],[Discounts]]</f>
        <v>18242.849999999999</v>
      </c>
      <c r="L1371" s="1">
        <f ca="1">financials[[#This Row],[Units Sold]]*financials[[#This Row],[Manufacturing Price]]</f>
        <v>10380</v>
      </c>
      <c r="M1371" s="1">
        <f ca="1">financials[[#This Row],[Sales]]-financials[[#This Row],[COGS]]</f>
        <v>7862.8499999999985</v>
      </c>
      <c r="N1371" s="7">
        <f t="shared" ca="1" si="43"/>
        <v>45189</v>
      </c>
      <c r="O1371" s="8">
        <f ca="1">MONTH(financials[[#This Row],[Date]])</f>
        <v>9</v>
      </c>
      <c r="P1371" s="6" t="str">
        <f ca="1">TEXT(financials[[#This Row],[Date]],"MMM")</f>
        <v>Sep</v>
      </c>
      <c r="Q1371">
        <f ca="1">YEAR(financials[[#This Row],[Date]])</f>
        <v>2023</v>
      </c>
    </row>
    <row r="1372" spans="1:17" x14ac:dyDescent="0.3">
      <c r="A1372" t="s">
        <v>16</v>
      </c>
      <c r="B1372" t="s">
        <v>20</v>
      </c>
      <c r="C1372" s="6" t="s">
        <v>28</v>
      </c>
      <c r="D1372" s="6" t="str">
        <f>CONCATENATE(financials[[#This Row],[Segment]],",",financials[[#This Row],[Country]],",",financials[[#This Row],[Product]])</f>
        <v>Government,Germany,Paseo</v>
      </c>
      <c r="E1372" s="6" t="s">
        <v>34</v>
      </c>
      <c r="F1372">
        <f t="shared" ca="1" si="42"/>
        <v>215</v>
      </c>
      <c r="G1372" s="1">
        <f ca="1">VLOOKUP(financials[[#This Row],[ID]],Prices!D:F,2,FALSE)</f>
        <v>19</v>
      </c>
      <c r="H1372" s="1">
        <f ca="1">VLOOKUP(financials[[#This Row],[ID]],Prices!D:F,3,FALSE)</f>
        <v>37</v>
      </c>
      <c r="I1372" s="1">
        <f ca="1">financials[[#This Row],[Units Sold]]*financials[[#This Row],[Sale Price]]</f>
        <v>7955</v>
      </c>
      <c r="J137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397.75</v>
      </c>
      <c r="K1372" s="1">
        <f ca="1">financials[[#This Row],[Gross Sales]]-financials[[#This Row],[Discounts]]</f>
        <v>7557.25</v>
      </c>
      <c r="L1372" s="1">
        <f ca="1">financials[[#This Row],[Units Sold]]*financials[[#This Row],[Manufacturing Price]]</f>
        <v>4085</v>
      </c>
      <c r="M1372" s="1">
        <f ca="1">financials[[#This Row],[Sales]]-financials[[#This Row],[COGS]]</f>
        <v>3472.25</v>
      </c>
      <c r="N1372" s="7">
        <f t="shared" ca="1" si="43"/>
        <v>45709</v>
      </c>
      <c r="O1372" s="8">
        <f ca="1">MONTH(financials[[#This Row],[Date]])</f>
        <v>2</v>
      </c>
      <c r="P1372" s="6" t="str">
        <f ca="1">TEXT(financials[[#This Row],[Date]],"MMM")</f>
        <v>Feb</v>
      </c>
      <c r="Q1372">
        <f ca="1">YEAR(financials[[#This Row],[Date]])</f>
        <v>2025</v>
      </c>
    </row>
    <row r="1373" spans="1:17" x14ac:dyDescent="0.3">
      <c r="A1373" t="s">
        <v>21</v>
      </c>
      <c r="B1373" t="s">
        <v>17</v>
      </c>
      <c r="C1373" s="6" t="s">
        <v>28</v>
      </c>
      <c r="D1373" s="6" t="str">
        <f>CONCATENATE(financials[[#This Row],[Segment]],",",financials[[#This Row],[Country]],",",financials[[#This Row],[Product]])</f>
        <v>Midmarket,Canada,Paseo</v>
      </c>
      <c r="E1373" s="6" t="s">
        <v>34</v>
      </c>
      <c r="F1373">
        <f t="shared" ca="1" si="42"/>
        <v>931</v>
      </c>
      <c r="G1373" s="1">
        <f ca="1">VLOOKUP(financials[[#This Row],[ID]],Prices!D:F,2,FALSE)</f>
        <v>15</v>
      </c>
      <c r="H1373" s="1">
        <f ca="1">VLOOKUP(financials[[#This Row],[ID]],Prices!D:F,3,FALSE)</f>
        <v>36</v>
      </c>
      <c r="I1373" s="1">
        <f ca="1">financials[[#This Row],[Units Sold]]*financials[[#This Row],[Sale Price]]</f>
        <v>33516</v>
      </c>
      <c r="J137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1675.8000000000002</v>
      </c>
      <c r="K1373" s="1">
        <f ca="1">financials[[#This Row],[Gross Sales]]-financials[[#This Row],[Discounts]]</f>
        <v>31840.2</v>
      </c>
      <c r="L1373" s="1">
        <f ca="1">financials[[#This Row],[Units Sold]]*financials[[#This Row],[Manufacturing Price]]</f>
        <v>13965</v>
      </c>
      <c r="M1373" s="1">
        <f ca="1">financials[[#This Row],[Sales]]-financials[[#This Row],[COGS]]</f>
        <v>17875.2</v>
      </c>
      <c r="N1373" s="7">
        <f t="shared" ca="1" si="43"/>
        <v>45221</v>
      </c>
      <c r="O1373" s="8">
        <f ca="1">MONTH(financials[[#This Row],[Date]])</f>
        <v>10</v>
      </c>
      <c r="P1373" s="6" t="str">
        <f ca="1">TEXT(financials[[#This Row],[Date]],"MMM")</f>
        <v>Oct</v>
      </c>
      <c r="Q1373">
        <f ca="1">YEAR(financials[[#This Row],[Date]])</f>
        <v>2023</v>
      </c>
    </row>
    <row r="1374" spans="1:17" x14ac:dyDescent="0.3">
      <c r="A1374" t="s">
        <v>16</v>
      </c>
      <c r="B1374" t="s">
        <v>23</v>
      </c>
      <c r="C1374" s="6" t="s">
        <v>28</v>
      </c>
      <c r="D1374" s="6" t="str">
        <f>CONCATENATE(financials[[#This Row],[Segment]],",",financials[[#This Row],[Country]],",",financials[[#This Row],[Product]])</f>
        <v>Government,Mexico,Paseo</v>
      </c>
      <c r="E1374" s="6" t="s">
        <v>34</v>
      </c>
      <c r="F1374">
        <f t="shared" ca="1" si="42"/>
        <v>232</v>
      </c>
      <c r="G1374" s="1">
        <f ca="1">VLOOKUP(financials[[#This Row],[ID]],Prices!D:F,2,FALSE)</f>
        <v>18</v>
      </c>
      <c r="H1374" s="1">
        <f ca="1">VLOOKUP(financials[[#This Row],[ID]],Prices!D:F,3,FALSE)</f>
        <v>19</v>
      </c>
      <c r="I1374" s="1">
        <f ca="1">financials[[#This Row],[Units Sold]]*financials[[#This Row],[Sale Price]]</f>
        <v>4408</v>
      </c>
      <c r="J137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220.4</v>
      </c>
      <c r="K1374" s="1">
        <f ca="1">financials[[#This Row],[Gross Sales]]-financials[[#This Row],[Discounts]]</f>
        <v>4187.6000000000004</v>
      </c>
      <c r="L1374" s="1">
        <f ca="1">financials[[#This Row],[Units Sold]]*financials[[#This Row],[Manufacturing Price]]</f>
        <v>4176</v>
      </c>
      <c r="M1374" s="1">
        <f ca="1">financials[[#This Row],[Sales]]-financials[[#This Row],[COGS]]</f>
        <v>11.600000000000364</v>
      </c>
      <c r="N1374" s="7">
        <f t="shared" ca="1" si="43"/>
        <v>45373</v>
      </c>
      <c r="O1374" s="8">
        <f ca="1">MONTH(financials[[#This Row],[Date]])</f>
        <v>3</v>
      </c>
      <c r="P1374" s="6" t="str">
        <f ca="1">TEXT(financials[[#This Row],[Date]],"MMM")</f>
        <v>Mar</v>
      </c>
      <c r="Q1374">
        <f ca="1">YEAR(financials[[#This Row],[Date]])</f>
        <v>2024</v>
      </c>
    </row>
    <row r="1375" spans="1:17" x14ac:dyDescent="0.3">
      <c r="A1375" t="s">
        <v>16</v>
      </c>
      <c r="B1375" t="s">
        <v>23</v>
      </c>
      <c r="C1375" s="6" t="s">
        <v>28</v>
      </c>
      <c r="D1375" s="6" t="str">
        <f>CONCATENATE(financials[[#This Row],[Segment]],",",financials[[#This Row],[Country]],",",financials[[#This Row],[Product]])</f>
        <v>Government,Mexico,Paseo</v>
      </c>
      <c r="E1375" s="6" t="s">
        <v>34</v>
      </c>
      <c r="F1375">
        <f t="shared" ca="1" si="42"/>
        <v>505</v>
      </c>
      <c r="G1375" s="1">
        <f ca="1">VLOOKUP(financials[[#This Row],[ID]],Prices!D:F,2,FALSE)</f>
        <v>18</v>
      </c>
      <c r="H1375" s="1">
        <f ca="1">VLOOKUP(financials[[#This Row],[ID]],Prices!D:F,3,FALSE)</f>
        <v>19</v>
      </c>
      <c r="I1375" s="1">
        <f ca="1">financials[[#This Row],[Units Sold]]*financials[[#This Row],[Sale Price]]</f>
        <v>9595</v>
      </c>
      <c r="J137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479.75</v>
      </c>
      <c r="K1375" s="1">
        <f ca="1">financials[[#This Row],[Gross Sales]]-financials[[#This Row],[Discounts]]</f>
        <v>9115.25</v>
      </c>
      <c r="L1375" s="1">
        <f ca="1">financials[[#This Row],[Units Sold]]*financials[[#This Row],[Manufacturing Price]]</f>
        <v>9090</v>
      </c>
      <c r="M1375" s="1">
        <f ca="1">financials[[#This Row],[Sales]]-financials[[#This Row],[COGS]]</f>
        <v>25.25</v>
      </c>
      <c r="N1375" s="7">
        <f t="shared" ca="1" si="43"/>
        <v>45469</v>
      </c>
      <c r="O1375" s="8">
        <f ca="1">MONTH(financials[[#This Row],[Date]])</f>
        <v>6</v>
      </c>
      <c r="P1375" s="6" t="str">
        <f ca="1">TEXT(financials[[#This Row],[Date]],"MMM")</f>
        <v>Jun</v>
      </c>
      <c r="Q1375">
        <f ca="1">YEAR(financials[[#This Row],[Date]])</f>
        <v>2024</v>
      </c>
    </row>
    <row r="1376" spans="1:17" x14ac:dyDescent="0.3">
      <c r="A1376" t="s">
        <v>21</v>
      </c>
      <c r="B1376" t="s">
        <v>17</v>
      </c>
      <c r="C1376" s="6" t="s">
        <v>28</v>
      </c>
      <c r="D1376" s="6" t="str">
        <f>CONCATENATE(financials[[#This Row],[Segment]],",",financials[[#This Row],[Country]],",",financials[[#This Row],[Product]])</f>
        <v>Midmarket,Canada,Paseo</v>
      </c>
      <c r="E1376" s="6" t="s">
        <v>34</v>
      </c>
      <c r="F1376">
        <f t="shared" ca="1" si="42"/>
        <v>886</v>
      </c>
      <c r="G1376" s="1">
        <f ca="1">VLOOKUP(financials[[#This Row],[ID]],Prices!D:F,2,FALSE)</f>
        <v>15</v>
      </c>
      <c r="H1376" s="1">
        <f ca="1">VLOOKUP(financials[[#This Row],[ID]],Prices!D:F,3,FALSE)</f>
        <v>36</v>
      </c>
      <c r="I1376" s="1">
        <f ca="1">financials[[#This Row],[Units Sold]]*financials[[#This Row],[Sale Price]]</f>
        <v>31896</v>
      </c>
      <c r="J137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1594.8000000000002</v>
      </c>
      <c r="K1376" s="1">
        <f ca="1">financials[[#This Row],[Gross Sales]]-financials[[#This Row],[Discounts]]</f>
        <v>30301.200000000001</v>
      </c>
      <c r="L1376" s="1">
        <f ca="1">financials[[#This Row],[Units Sold]]*financials[[#This Row],[Manufacturing Price]]</f>
        <v>13290</v>
      </c>
      <c r="M1376" s="1">
        <f ca="1">financials[[#This Row],[Sales]]-financials[[#This Row],[COGS]]</f>
        <v>17011.2</v>
      </c>
      <c r="N1376" s="7">
        <f t="shared" ca="1" si="43"/>
        <v>45426</v>
      </c>
      <c r="O1376" s="8">
        <f ca="1">MONTH(financials[[#This Row],[Date]])</f>
        <v>5</v>
      </c>
      <c r="P1376" s="6" t="str">
        <f ca="1">TEXT(financials[[#This Row],[Date]],"MMM")</f>
        <v>May</v>
      </c>
      <c r="Q1376">
        <f ca="1">YEAR(financials[[#This Row],[Date]])</f>
        <v>2024</v>
      </c>
    </row>
    <row r="1377" spans="1:17" x14ac:dyDescent="0.3">
      <c r="A1377" t="s">
        <v>16</v>
      </c>
      <c r="B1377" t="s">
        <v>36</v>
      </c>
      <c r="C1377" s="6" t="s">
        <v>28</v>
      </c>
      <c r="D1377" s="6" t="str">
        <f>CONCATENATE(financials[[#This Row],[Segment]],",",financials[[#This Row],[Country]],",",financials[[#This Row],[Product]])</f>
        <v>Government,USA,Paseo</v>
      </c>
      <c r="E1377" s="6" t="s">
        <v>34</v>
      </c>
      <c r="F1377">
        <f t="shared" ca="1" si="42"/>
        <v>337</v>
      </c>
      <c r="G1377" s="1">
        <f ca="1">VLOOKUP(financials[[#This Row],[ID]],Prices!D:F,2,FALSE)</f>
        <v>17</v>
      </c>
      <c r="H1377" s="1">
        <f ca="1">VLOOKUP(financials[[#This Row],[ID]],Prices!D:F,3,FALSE)</f>
        <v>36</v>
      </c>
      <c r="I1377" s="1">
        <f ca="1">financials[[#This Row],[Units Sold]]*financials[[#This Row],[Sale Price]]</f>
        <v>12132</v>
      </c>
      <c r="J137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606.6</v>
      </c>
      <c r="K1377" s="1">
        <f ca="1">financials[[#This Row],[Gross Sales]]-financials[[#This Row],[Discounts]]</f>
        <v>11525.4</v>
      </c>
      <c r="L1377" s="1">
        <f ca="1">financials[[#This Row],[Units Sold]]*financials[[#This Row],[Manufacturing Price]]</f>
        <v>5729</v>
      </c>
      <c r="M1377" s="1">
        <f ca="1">financials[[#This Row],[Sales]]-financials[[#This Row],[COGS]]</f>
        <v>5796.4</v>
      </c>
      <c r="N1377" s="7">
        <f t="shared" ca="1" si="43"/>
        <v>45531</v>
      </c>
      <c r="O1377" s="8">
        <f ca="1">MONTH(financials[[#This Row],[Date]])</f>
        <v>8</v>
      </c>
      <c r="P1377" s="6" t="str">
        <f ca="1">TEXT(financials[[#This Row],[Date]],"MMM")</f>
        <v>Aug</v>
      </c>
      <c r="Q1377">
        <f ca="1">YEAR(financials[[#This Row],[Date]])</f>
        <v>2024</v>
      </c>
    </row>
    <row r="1378" spans="1:17" x14ac:dyDescent="0.3">
      <c r="A1378" t="s">
        <v>26</v>
      </c>
      <c r="B1378" t="s">
        <v>20</v>
      </c>
      <c r="C1378" s="6" t="s">
        <v>28</v>
      </c>
      <c r="D1378" s="6" t="str">
        <f>CONCATENATE(financials[[#This Row],[Segment]],",",financials[[#This Row],[Country]],",",financials[[#This Row],[Product]])</f>
        <v>Enterprise,Germany,Paseo</v>
      </c>
      <c r="E1378" s="6" t="s">
        <v>34</v>
      </c>
      <c r="F1378">
        <f t="shared" ca="1" si="42"/>
        <v>126</v>
      </c>
      <c r="G1378" s="1">
        <f ca="1">VLOOKUP(financials[[#This Row],[ID]],Prices!D:F,2,FALSE)</f>
        <v>14</v>
      </c>
      <c r="H1378" s="1">
        <f ca="1">VLOOKUP(financials[[#This Row],[ID]],Prices!D:F,3,FALSE)</f>
        <v>18</v>
      </c>
      <c r="I1378" s="1">
        <f ca="1">financials[[#This Row],[Units Sold]]*financials[[#This Row],[Sale Price]]</f>
        <v>2268</v>
      </c>
      <c r="J137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113.4</v>
      </c>
      <c r="K1378" s="1">
        <f ca="1">financials[[#This Row],[Gross Sales]]-financials[[#This Row],[Discounts]]</f>
        <v>2154.6</v>
      </c>
      <c r="L1378" s="1">
        <f ca="1">financials[[#This Row],[Units Sold]]*financials[[#This Row],[Manufacturing Price]]</f>
        <v>1764</v>
      </c>
      <c r="M1378" s="1">
        <f ca="1">financials[[#This Row],[Sales]]-financials[[#This Row],[COGS]]</f>
        <v>390.59999999999991</v>
      </c>
      <c r="N1378" s="7">
        <f t="shared" ca="1" si="43"/>
        <v>45289</v>
      </c>
      <c r="O1378" s="8">
        <f ca="1">MONTH(financials[[#This Row],[Date]])</f>
        <v>12</v>
      </c>
      <c r="P1378" s="6" t="str">
        <f ca="1">TEXT(financials[[#This Row],[Date]],"MMM")</f>
        <v>Dec</v>
      </c>
      <c r="Q1378">
        <f ca="1">YEAR(financials[[#This Row],[Date]])</f>
        <v>2023</v>
      </c>
    </row>
    <row r="1379" spans="1:17" x14ac:dyDescent="0.3">
      <c r="A1379" t="s">
        <v>21</v>
      </c>
      <c r="B1379" t="s">
        <v>20</v>
      </c>
      <c r="C1379" s="6" t="s">
        <v>28</v>
      </c>
      <c r="D1379" s="6" t="str">
        <f>CONCATENATE(financials[[#This Row],[Segment]],",",financials[[#This Row],[Country]],",",financials[[#This Row],[Product]])</f>
        <v>Midmarket,Germany,Paseo</v>
      </c>
      <c r="E1379" s="6" t="s">
        <v>34</v>
      </c>
      <c r="F1379">
        <f t="shared" ca="1" si="42"/>
        <v>575</v>
      </c>
      <c r="G1379" s="1">
        <f ca="1">VLOOKUP(financials[[#This Row],[ID]],Prices!D:F,2,FALSE)</f>
        <v>19</v>
      </c>
      <c r="H1379" s="1">
        <f ca="1">VLOOKUP(financials[[#This Row],[ID]],Prices!D:F,3,FALSE)</f>
        <v>25</v>
      </c>
      <c r="I1379" s="1">
        <f ca="1">financials[[#This Row],[Units Sold]]*financials[[#This Row],[Sale Price]]</f>
        <v>14375</v>
      </c>
      <c r="J137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718.75</v>
      </c>
      <c r="K1379" s="1">
        <f ca="1">financials[[#This Row],[Gross Sales]]-financials[[#This Row],[Discounts]]</f>
        <v>13656.25</v>
      </c>
      <c r="L1379" s="1">
        <f ca="1">financials[[#This Row],[Units Sold]]*financials[[#This Row],[Manufacturing Price]]</f>
        <v>10925</v>
      </c>
      <c r="M1379" s="1">
        <f ca="1">financials[[#This Row],[Sales]]-financials[[#This Row],[COGS]]</f>
        <v>2731.25</v>
      </c>
      <c r="N1379" s="7">
        <f t="shared" ca="1" si="43"/>
        <v>45233</v>
      </c>
      <c r="O1379" s="8">
        <f ca="1">MONTH(financials[[#This Row],[Date]])</f>
        <v>11</v>
      </c>
      <c r="P1379" s="6" t="str">
        <f ca="1">TEXT(financials[[#This Row],[Date]],"MMM")</f>
        <v>Nov</v>
      </c>
      <c r="Q1379">
        <f ca="1">YEAR(financials[[#This Row],[Date]])</f>
        <v>2023</v>
      </c>
    </row>
    <row r="1380" spans="1:17" x14ac:dyDescent="0.3">
      <c r="A1380" t="s">
        <v>16</v>
      </c>
      <c r="B1380" t="s">
        <v>36</v>
      </c>
      <c r="C1380" s="6" t="s">
        <v>28</v>
      </c>
      <c r="D1380" s="6" t="str">
        <f>CONCATENATE(financials[[#This Row],[Segment]],",",financials[[#This Row],[Country]],",",financials[[#This Row],[Product]])</f>
        <v>Government,USA,Paseo</v>
      </c>
      <c r="E1380" s="6" t="s">
        <v>34</v>
      </c>
      <c r="F1380">
        <f t="shared" ca="1" si="42"/>
        <v>725</v>
      </c>
      <c r="G1380" s="1">
        <f ca="1">VLOOKUP(financials[[#This Row],[ID]],Prices!D:F,2,FALSE)</f>
        <v>17</v>
      </c>
      <c r="H1380" s="1">
        <f ca="1">VLOOKUP(financials[[#This Row],[ID]],Prices!D:F,3,FALSE)</f>
        <v>36</v>
      </c>
      <c r="I1380" s="1">
        <f ca="1">financials[[#This Row],[Units Sold]]*financials[[#This Row],[Sale Price]]</f>
        <v>26100</v>
      </c>
      <c r="J138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1305</v>
      </c>
      <c r="K1380" s="1">
        <f ca="1">financials[[#This Row],[Gross Sales]]-financials[[#This Row],[Discounts]]</f>
        <v>24795</v>
      </c>
      <c r="L1380" s="1">
        <f ca="1">financials[[#This Row],[Units Sold]]*financials[[#This Row],[Manufacturing Price]]</f>
        <v>12325</v>
      </c>
      <c r="M1380" s="1">
        <f ca="1">financials[[#This Row],[Sales]]-financials[[#This Row],[COGS]]</f>
        <v>12470</v>
      </c>
      <c r="N1380" s="7">
        <f t="shared" ca="1" si="43"/>
        <v>45170</v>
      </c>
      <c r="O1380" s="8">
        <f ca="1">MONTH(financials[[#This Row],[Date]])</f>
        <v>9</v>
      </c>
      <c r="P1380" s="6" t="str">
        <f ca="1">TEXT(financials[[#This Row],[Date]],"MMM")</f>
        <v>Sep</v>
      </c>
      <c r="Q1380">
        <f ca="1">YEAR(financials[[#This Row],[Date]])</f>
        <v>2023</v>
      </c>
    </row>
    <row r="1381" spans="1:17" x14ac:dyDescent="0.3">
      <c r="A1381" t="s">
        <v>16</v>
      </c>
      <c r="B1381" t="s">
        <v>23</v>
      </c>
      <c r="C1381" s="6" t="s">
        <v>28</v>
      </c>
      <c r="D1381" s="6" t="str">
        <f>CONCATENATE(financials[[#This Row],[Segment]],",",financials[[#This Row],[Country]],",",financials[[#This Row],[Product]])</f>
        <v>Government,Mexico,Paseo</v>
      </c>
      <c r="E1381" s="6" t="s">
        <v>34</v>
      </c>
      <c r="F1381">
        <f t="shared" ca="1" si="42"/>
        <v>610</v>
      </c>
      <c r="G1381" s="1">
        <f ca="1">VLOOKUP(financials[[#This Row],[ID]],Prices!D:F,2,FALSE)</f>
        <v>18</v>
      </c>
      <c r="H1381" s="1">
        <f ca="1">VLOOKUP(financials[[#This Row],[ID]],Prices!D:F,3,FALSE)</f>
        <v>19</v>
      </c>
      <c r="I1381" s="1">
        <f ca="1">financials[[#This Row],[Units Sold]]*financials[[#This Row],[Sale Price]]</f>
        <v>11590</v>
      </c>
      <c r="J138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579.5</v>
      </c>
      <c r="K1381" s="1">
        <f ca="1">financials[[#This Row],[Gross Sales]]-financials[[#This Row],[Discounts]]</f>
        <v>11010.5</v>
      </c>
      <c r="L1381" s="1">
        <f ca="1">financials[[#This Row],[Units Sold]]*financials[[#This Row],[Manufacturing Price]]</f>
        <v>10980</v>
      </c>
      <c r="M1381" s="1">
        <f ca="1">financials[[#This Row],[Sales]]-financials[[#This Row],[COGS]]</f>
        <v>30.5</v>
      </c>
      <c r="N1381" s="7">
        <f t="shared" ca="1" si="43"/>
        <v>45471</v>
      </c>
      <c r="O1381" s="8">
        <f ca="1">MONTH(financials[[#This Row],[Date]])</f>
        <v>6</v>
      </c>
      <c r="P1381" s="6" t="str">
        <f ca="1">TEXT(financials[[#This Row],[Date]],"MMM")</f>
        <v>Jun</v>
      </c>
      <c r="Q1381">
        <f ca="1">YEAR(financials[[#This Row],[Date]])</f>
        <v>2024</v>
      </c>
    </row>
    <row r="1382" spans="1:17" x14ac:dyDescent="0.3">
      <c r="A1382" t="s">
        <v>25</v>
      </c>
      <c r="B1382" t="s">
        <v>36</v>
      </c>
      <c r="C1382" s="6" t="s">
        <v>28</v>
      </c>
      <c r="D1382" s="6" t="str">
        <f>CONCATENATE(financials[[#This Row],[Segment]],",",financials[[#This Row],[Country]],",",financials[[#This Row],[Product]])</f>
        <v>Channel Partners,USA,Paseo</v>
      </c>
      <c r="E1382" s="6" t="s">
        <v>34</v>
      </c>
      <c r="F1382">
        <f t="shared" ca="1" si="42"/>
        <v>363</v>
      </c>
      <c r="G1382" s="1">
        <f ca="1">VLOOKUP(financials[[#This Row],[ID]],Prices!D:F,2,FALSE)</f>
        <v>19</v>
      </c>
      <c r="H1382" s="1">
        <f ca="1">VLOOKUP(financials[[#This Row],[ID]],Prices!D:F,3,FALSE)</f>
        <v>26</v>
      </c>
      <c r="I1382" s="1">
        <f ca="1">financials[[#This Row],[Units Sold]]*financials[[#This Row],[Sale Price]]</f>
        <v>9438</v>
      </c>
      <c r="J138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471.90000000000003</v>
      </c>
      <c r="K1382" s="1">
        <f ca="1">financials[[#This Row],[Gross Sales]]-financials[[#This Row],[Discounts]]</f>
        <v>8966.1</v>
      </c>
      <c r="L1382" s="1">
        <f ca="1">financials[[#This Row],[Units Sold]]*financials[[#This Row],[Manufacturing Price]]</f>
        <v>6897</v>
      </c>
      <c r="M1382" s="1">
        <f ca="1">financials[[#This Row],[Sales]]-financials[[#This Row],[COGS]]</f>
        <v>2069.1000000000004</v>
      </c>
      <c r="N1382" s="7">
        <f t="shared" ca="1" si="43"/>
        <v>45089</v>
      </c>
      <c r="O1382" s="8">
        <f ca="1">MONTH(financials[[#This Row],[Date]])</f>
        <v>6</v>
      </c>
      <c r="P1382" s="6" t="str">
        <f ca="1">TEXT(financials[[#This Row],[Date]],"MMM")</f>
        <v>Jun</v>
      </c>
      <c r="Q1382">
        <f ca="1">YEAR(financials[[#This Row],[Date]])</f>
        <v>2023</v>
      </c>
    </row>
    <row r="1383" spans="1:17" x14ac:dyDescent="0.3">
      <c r="A1383" t="s">
        <v>16</v>
      </c>
      <c r="B1383" t="s">
        <v>22</v>
      </c>
      <c r="C1383" s="6" t="s">
        <v>28</v>
      </c>
      <c r="D1383" s="6" t="str">
        <f>CONCATENATE(financials[[#This Row],[Segment]],",",financials[[#This Row],[Country]],",",financials[[#This Row],[Product]])</f>
        <v>Government,France,Paseo</v>
      </c>
      <c r="E1383" s="6" t="s">
        <v>34</v>
      </c>
      <c r="F1383">
        <f t="shared" ca="1" si="42"/>
        <v>708</v>
      </c>
      <c r="G1383" s="1">
        <f ca="1">VLOOKUP(financials[[#This Row],[ID]],Prices!D:F,2,FALSE)</f>
        <v>14</v>
      </c>
      <c r="H1383" s="1">
        <f ca="1">VLOOKUP(financials[[#This Row],[ID]],Prices!D:F,3,FALSE)</f>
        <v>18</v>
      </c>
      <c r="I1383" s="1">
        <f ca="1">financials[[#This Row],[Units Sold]]*financials[[#This Row],[Sale Price]]</f>
        <v>12744</v>
      </c>
      <c r="J138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637.20000000000005</v>
      </c>
      <c r="K1383" s="1">
        <f ca="1">financials[[#This Row],[Gross Sales]]-financials[[#This Row],[Discounts]]</f>
        <v>12106.8</v>
      </c>
      <c r="L1383" s="1">
        <f ca="1">financials[[#This Row],[Units Sold]]*financials[[#This Row],[Manufacturing Price]]</f>
        <v>9912</v>
      </c>
      <c r="M1383" s="1">
        <f ca="1">financials[[#This Row],[Sales]]-financials[[#This Row],[COGS]]</f>
        <v>2194.7999999999993</v>
      </c>
      <c r="N1383" s="7">
        <f t="shared" ca="1" si="43"/>
        <v>45048</v>
      </c>
      <c r="O1383" s="8">
        <f ca="1">MONTH(financials[[#This Row],[Date]])</f>
        <v>5</v>
      </c>
      <c r="P1383" s="6" t="str">
        <f ca="1">TEXT(financials[[#This Row],[Date]],"MMM")</f>
        <v>May</v>
      </c>
      <c r="Q1383">
        <f ca="1">YEAR(financials[[#This Row],[Date]])</f>
        <v>2023</v>
      </c>
    </row>
    <row r="1384" spans="1:17" x14ac:dyDescent="0.3">
      <c r="A1384" t="s">
        <v>25</v>
      </c>
      <c r="B1384" t="s">
        <v>23</v>
      </c>
      <c r="C1384" s="6" t="s">
        <v>29</v>
      </c>
      <c r="D1384" s="6" t="str">
        <f>CONCATENATE(financials[[#This Row],[Segment]],",",financials[[#This Row],[Country]],",",financials[[#This Row],[Product]])</f>
        <v>Channel Partners,Mexico,Velo</v>
      </c>
      <c r="E1384" s="6" t="s">
        <v>34</v>
      </c>
      <c r="F1384">
        <f t="shared" ca="1" si="42"/>
        <v>600</v>
      </c>
      <c r="G1384" s="1">
        <f ca="1">VLOOKUP(financials[[#This Row],[ID]],Prices!D:F,2,FALSE)</f>
        <v>19</v>
      </c>
      <c r="H1384" s="1">
        <f ca="1">VLOOKUP(financials[[#This Row],[ID]],Prices!D:F,3,FALSE)</f>
        <v>16</v>
      </c>
      <c r="I1384" s="1">
        <f ca="1">financials[[#This Row],[Units Sold]]*financials[[#This Row],[Sale Price]]</f>
        <v>9600</v>
      </c>
      <c r="J138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480</v>
      </c>
      <c r="K1384" s="1">
        <f ca="1">financials[[#This Row],[Gross Sales]]-financials[[#This Row],[Discounts]]</f>
        <v>9120</v>
      </c>
      <c r="L1384" s="1">
        <f ca="1">financials[[#This Row],[Units Sold]]*financials[[#This Row],[Manufacturing Price]]</f>
        <v>11400</v>
      </c>
      <c r="M1384" s="1">
        <f ca="1">financials[[#This Row],[Sales]]-financials[[#This Row],[COGS]]</f>
        <v>-2280</v>
      </c>
      <c r="N1384" s="7">
        <f t="shared" ca="1" si="43"/>
        <v>45085</v>
      </c>
      <c r="O1384" s="8">
        <f ca="1">MONTH(financials[[#This Row],[Date]])</f>
        <v>6</v>
      </c>
      <c r="P1384" s="6" t="str">
        <f ca="1">TEXT(financials[[#This Row],[Date]],"MMM")</f>
        <v>Jun</v>
      </c>
      <c r="Q1384">
        <f ca="1">YEAR(financials[[#This Row],[Date]])</f>
        <v>2023</v>
      </c>
    </row>
    <row r="1385" spans="1:17" x14ac:dyDescent="0.3">
      <c r="A1385" t="s">
        <v>21</v>
      </c>
      <c r="B1385" t="s">
        <v>22</v>
      </c>
      <c r="C1385" s="6" t="s">
        <v>29</v>
      </c>
      <c r="D1385" s="6" t="str">
        <f>CONCATENATE(financials[[#This Row],[Segment]],",",financials[[#This Row],[Country]],",",financials[[#This Row],[Product]])</f>
        <v>Midmarket,France,Velo</v>
      </c>
      <c r="E1385" s="6" t="s">
        <v>34</v>
      </c>
      <c r="F1385">
        <f t="shared" ca="1" si="42"/>
        <v>132</v>
      </c>
      <c r="G1385" s="1">
        <f ca="1">VLOOKUP(financials[[#This Row],[ID]],Prices!D:F,2,FALSE)</f>
        <v>12</v>
      </c>
      <c r="H1385" s="1">
        <f ca="1">VLOOKUP(financials[[#This Row],[ID]],Prices!D:F,3,FALSE)</f>
        <v>28</v>
      </c>
      <c r="I1385" s="1">
        <f ca="1">financials[[#This Row],[Units Sold]]*financials[[#This Row],[Sale Price]]</f>
        <v>3696</v>
      </c>
      <c r="J138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184.8</v>
      </c>
      <c r="K1385" s="1">
        <f ca="1">financials[[#This Row],[Gross Sales]]-financials[[#This Row],[Discounts]]</f>
        <v>3511.2</v>
      </c>
      <c r="L1385" s="1">
        <f ca="1">financials[[#This Row],[Units Sold]]*financials[[#This Row],[Manufacturing Price]]</f>
        <v>1584</v>
      </c>
      <c r="M1385" s="1">
        <f ca="1">financials[[#This Row],[Sales]]-financials[[#This Row],[COGS]]</f>
        <v>1927.1999999999998</v>
      </c>
      <c r="N1385" s="7">
        <f t="shared" ca="1" si="43"/>
        <v>45204</v>
      </c>
      <c r="O1385" s="8">
        <f ca="1">MONTH(financials[[#This Row],[Date]])</f>
        <v>10</v>
      </c>
      <c r="P1385" s="6" t="str">
        <f ca="1">TEXT(financials[[#This Row],[Date]],"MMM")</f>
        <v>Oct</v>
      </c>
      <c r="Q1385">
        <f ca="1">YEAR(financials[[#This Row],[Date]])</f>
        <v>2023</v>
      </c>
    </row>
    <row r="1386" spans="1:17" x14ac:dyDescent="0.3">
      <c r="A1386" t="s">
        <v>26</v>
      </c>
      <c r="B1386" t="s">
        <v>22</v>
      </c>
      <c r="C1386" s="6" t="s">
        <v>29</v>
      </c>
      <c r="D1386" s="6" t="str">
        <f>CONCATENATE(financials[[#This Row],[Segment]],",",financials[[#This Row],[Country]],",",financials[[#This Row],[Product]])</f>
        <v>Enterprise,France,Velo</v>
      </c>
      <c r="E1386" s="6" t="s">
        <v>34</v>
      </c>
      <c r="F1386">
        <f t="shared" ca="1" si="42"/>
        <v>154</v>
      </c>
      <c r="G1386" s="1">
        <f ca="1">VLOOKUP(financials[[#This Row],[ID]],Prices!D:F,2,FALSE)</f>
        <v>20</v>
      </c>
      <c r="H1386" s="1">
        <f ca="1">VLOOKUP(financials[[#This Row],[ID]],Prices!D:F,3,FALSE)</f>
        <v>27</v>
      </c>
      <c r="I1386" s="1">
        <f ca="1">financials[[#This Row],[Units Sold]]*financials[[#This Row],[Sale Price]]</f>
        <v>4158</v>
      </c>
      <c r="J138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207.9</v>
      </c>
      <c r="K1386" s="1">
        <f ca="1">financials[[#This Row],[Gross Sales]]-financials[[#This Row],[Discounts]]</f>
        <v>3950.1</v>
      </c>
      <c r="L1386" s="1">
        <f ca="1">financials[[#This Row],[Units Sold]]*financials[[#This Row],[Manufacturing Price]]</f>
        <v>3080</v>
      </c>
      <c r="M1386" s="1">
        <f ca="1">financials[[#This Row],[Sales]]-financials[[#This Row],[COGS]]</f>
        <v>870.09999999999991</v>
      </c>
      <c r="N1386" s="7">
        <f t="shared" ca="1" si="43"/>
        <v>45408</v>
      </c>
      <c r="O1386" s="8">
        <f ca="1">MONTH(financials[[#This Row],[Date]])</f>
        <v>4</v>
      </c>
      <c r="P1386" s="6" t="str">
        <f ca="1">TEXT(financials[[#This Row],[Date]],"MMM")</f>
        <v>Apr</v>
      </c>
      <c r="Q1386">
        <f ca="1">YEAR(financials[[#This Row],[Date]])</f>
        <v>2024</v>
      </c>
    </row>
    <row r="1387" spans="1:17" x14ac:dyDescent="0.3">
      <c r="A1387" t="s">
        <v>27</v>
      </c>
      <c r="B1387" t="s">
        <v>36</v>
      </c>
      <c r="C1387" s="6" t="s">
        <v>29</v>
      </c>
      <c r="D1387" s="6" t="str">
        <f>CONCATENATE(financials[[#This Row],[Segment]],",",financials[[#This Row],[Country]],",",financials[[#This Row],[Product]])</f>
        <v>Small Business,USA,Velo</v>
      </c>
      <c r="E1387" s="6" t="s">
        <v>34</v>
      </c>
      <c r="F1387">
        <f t="shared" ca="1" si="42"/>
        <v>647</v>
      </c>
      <c r="G1387" s="1">
        <f ca="1">VLOOKUP(financials[[#This Row],[ID]],Prices!D:F,2,FALSE)</f>
        <v>13</v>
      </c>
      <c r="H1387" s="1">
        <f ca="1">VLOOKUP(financials[[#This Row],[ID]],Prices!D:F,3,FALSE)</f>
        <v>22</v>
      </c>
      <c r="I1387" s="1">
        <f ca="1">financials[[#This Row],[Units Sold]]*financials[[#This Row],[Sale Price]]</f>
        <v>14234</v>
      </c>
      <c r="J138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711.7</v>
      </c>
      <c r="K1387" s="1">
        <f ca="1">financials[[#This Row],[Gross Sales]]-financials[[#This Row],[Discounts]]</f>
        <v>13522.3</v>
      </c>
      <c r="L1387" s="1">
        <f ca="1">financials[[#This Row],[Units Sold]]*financials[[#This Row],[Manufacturing Price]]</f>
        <v>8411</v>
      </c>
      <c r="M1387" s="1">
        <f ca="1">financials[[#This Row],[Sales]]-financials[[#This Row],[COGS]]</f>
        <v>5111.2999999999993</v>
      </c>
      <c r="N1387" s="7">
        <f t="shared" ca="1" si="43"/>
        <v>45556</v>
      </c>
      <c r="O1387" s="8">
        <f ca="1">MONTH(financials[[#This Row],[Date]])</f>
        <v>9</v>
      </c>
      <c r="P1387" s="6" t="str">
        <f ca="1">TEXT(financials[[#This Row],[Date]],"MMM")</f>
        <v>Sep</v>
      </c>
      <c r="Q1387">
        <f ca="1">YEAR(financials[[#This Row],[Date]])</f>
        <v>2024</v>
      </c>
    </row>
    <row r="1388" spans="1:17" x14ac:dyDescent="0.3">
      <c r="A1388" t="s">
        <v>26</v>
      </c>
      <c r="B1388" t="s">
        <v>36</v>
      </c>
      <c r="C1388" s="6" t="s">
        <v>29</v>
      </c>
      <c r="D1388" s="6" t="str">
        <f>CONCATENATE(financials[[#This Row],[Segment]],",",financials[[#This Row],[Country]],",",financials[[#This Row],[Product]])</f>
        <v>Enterprise,USA,Velo</v>
      </c>
      <c r="E1388" s="6" t="s">
        <v>34</v>
      </c>
      <c r="F1388">
        <f t="shared" ca="1" si="42"/>
        <v>177</v>
      </c>
      <c r="G1388" s="1">
        <f ca="1">VLOOKUP(financials[[#This Row],[ID]],Prices!D:F,2,FALSE)</f>
        <v>20</v>
      </c>
      <c r="H1388" s="1">
        <f ca="1">VLOOKUP(financials[[#This Row],[ID]],Prices!D:F,3,FALSE)</f>
        <v>24</v>
      </c>
      <c r="I1388" s="1">
        <f ca="1">financials[[#This Row],[Units Sold]]*financials[[#This Row],[Sale Price]]</f>
        <v>4248</v>
      </c>
      <c r="J138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212.4</v>
      </c>
      <c r="K1388" s="1">
        <f ca="1">financials[[#This Row],[Gross Sales]]-financials[[#This Row],[Discounts]]</f>
        <v>4035.6</v>
      </c>
      <c r="L1388" s="1">
        <f ca="1">financials[[#This Row],[Units Sold]]*financials[[#This Row],[Manufacturing Price]]</f>
        <v>3540</v>
      </c>
      <c r="M1388" s="1">
        <f ca="1">financials[[#This Row],[Sales]]-financials[[#This Row],[COGS]]</f>
        <v>495.59999999999991</v>
      </c>
      <c r="N1388" s="7">
        <f t="shared" ca="1" si="43"/>
        <v>45297</v>
      </c>
      <c r="O1388" s="8">
        <f ca="1">MONTH(financials[[#This Row],[Date]])</f>
        <v>1</v>
      </c>
      <c r="P1388" s="6" t="str">
        <f ca="1">TEXT(financials[[#This Row],[Date]],"MMM")</f>
        <v>Jan</v>
      </c>
      <c r="Q1388">
        <f ca="1">YEAR(financials[[#This Row],[Date]])</f>
        <v>2024</v>
      </c>
    </row>
    <row r="1389" spans="1:17" x14ac:dyDescent="0.3">
      <c r="A1389" t="s">
        <v>25</v>
      </c>
      <c r="B1389" t="s">
        <v>36</v>
      </c>
      <c r="C1389" s="6" t="s">
        <v>29</v>
      </c>
      <c r="D1389" s="6" t="str">
        <f>CONCATENATE(financials[[#This Row],[Segment]],",",financials[[#This Row],[Country]],",",financials[[#This Row],[Product]])</f>
        <v>Channel Partners,USA,Velo</v>
      </c>
      <c r="E1389" s="6" t="s">
        <v>34</v>
      </c>
      <c r="F1389">
        <f t="shared" ca="1" si="42"/>
        <v>743</v>
      </c>
      <c r="G1389" s="1">
        <f ca="1">VLOOKUP(financials[[#This Row],[ID]],Prices!D:F,2,FALSE)</f>
        <v>11</v>
      </c>
      <c r="H1389" s="1">
        <f ca="1">VLOOKUP(financials[[#This Row],[ID]],Prices!D:F,3,FALSE)</f>
        <v>34</v>
      </c>
      <c r="I1389" s="1">
        <f ca="1">financials[[#This Row],[Units Sold]]*financials[[#This Row],[Sale Price]]</f>
        <v>25262</v>
      </c>
      <c r="J138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1263.1000000000001</v>
      </c>
      <c r="K1389" s="1">
        <f ca="1">financials[[#This Row],[Gross Sales]]-financials[[#This Row],[Discounts]]</f>
        <v>23998.9</v>
      </c>
      <c r="L1389" s="1">
        <f ca="1">financials[[#This Row],[Units Sold]]*financials[[#This Row],[Manufacturing Price]]</f>
        <v>8173</v>
      </c>
      <c r="M1389" s="1">
        <f ca="1">financials[[#This Row],[Sales]]-financials[[#This Row],[COGS]]</f>
        <v>15825.900000000001</v>
      </c>
      <c r="N1389" s="7">
        <f t="shared" ca="1" si="43"/>
        <v>45626</v>
      </c>
      <c r="O1389" s="8">
        <f ca="1">MONTH(financials[[#This Row],[Date]])</f>
        <v>11</v>
      </c>
      <c r="P1389" s="6" t="str">
        <f ca="1">TEXT(financials[[#This Row],[Date]],"MMM")</f>
        <v>Nov</v>
      </c>
      <c r="Q1389">
        <f ca="1">YEAR(financials[[#This Row],[Date]])</f>
        <v>2024</v>
      </c>
    </row>
    <row r="1390" spans="1:17" x14ac:dyDescent="0.3">
      <c r="A1390" t="s">
        <v>16</v>
      </c>
      <c r="B1390" t="s">
        <v>17</v>
      </c>
      <c r="C1390" s="6" t="s">
        <v>30</v>
      </c>
      <c r="D1390" s="6" t="str">
        <f>CONCATENATE(financials[[#This Row],[Segment]],",",financials[[#This Row],[Country]],",",financials[[#This Row],[Product]])</f>
        <v>Government,Canada,VTT</v>
      </c>
      <c r="E1390" s="6" t="s">
        <v>34</v>
      </c>
      <c r="F1390">
        <f t="shared" ca="1" si="42"/>
        <v>55</v>
      </c>
      <c r="G1390" s="1">
        <f ca="1">VLOOKUP(financials[[#This Row],[ID]],Prices!D:F,2,FALSE)</f>
        <v>17</v>
      </c>
      <c r="H1390" s="1">
        <f ca="1">VLOOKUP(financials[[#This Row],[ID]],Prices!D:F,3,FALSE)</f>
        <v>38</v>
      </c>
      <c r="I1390" s="1">
        <f ca="1">financials[[#This Row],[Units Sold]]*financials[[#This Row],[Sale Price]]</f>
        <v>2090</v>
      </c>
      <c r="J139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104.5</v>
      </c>
      <c r="K1390" s="1">
        <f ca="1">financials[[#This Row],[Gross Sales]]-financials[[#This Row],[Discounts]]</f>
        <v>1985.5</v>
      </c>
      <c r="L1390" s="1">
        <f ca="1">financials[[#This Row],[Units Sold]]*financials[[#This Row],[Manufacturing Price]]</f>
        <v>935</v>
      </c>
      <c r="M1390" s="1">
        <f ca="1">financials[[#This Row],[Sales]]-financials[[#This Row],[COGS]]</f>
        <v>1050.5</v>
      </c>
      <c r="N1390" s="7">
        <f t="shared" ca="1" si="43"/>
        <v>45090</v>
      </c>
      <c r="O1390" s="8">
        <f ca="1">MONTH(financials[[#This Row],[Date]])</f>
        <v>6</v>
      </c>
      <c r="P1390" s="6" t="str">
        <f ca="1">TEXT(financials[[#This Row],[Date]],"MMM")</f>
        <v>Jun</v>
      </c>
      <c r="Q1390">
        <f ca="1">YEAR(financials[[#This Row],[Date]])</f>
        <v>2023</v>
      </c>
    </row>
    <row r="1391" spans="1:17" x14ac:dyDescent="0.3">
      <c r="A1391" t="s">
        <v>21</v>
      </c>
      <c r="B1391" t="s">
        <v>20</v>
      </c>
      <c r="C1391" s="6" t="s">
        <v>30</v>
      </c>
      <c r="D1391" s="6" t="str">
        <f>CONCATENATE(financials[[#This Row],[Segment]],",",financials[[#This Row],[Country]],",",financials[[#This Row],[Product]])</f>
        <v>Midmarket,Germany,VTT</v>
      </c>
      <c r="E1391" s="6" t="s">
        <v>34</v>
      </c>
      <c r="F1391">
        <f t="shared" ca="1" si="42"/>
        <v>558</v>
      </c>
      <c r="G1391" s="1">
        <f ca="1">VLOOKUP(financials[[#This Row],[ID]],Prices!D:F,2,FALSE)</f>
        <v>12</v>
      </c>
      <c r="H1391" s="1">
        <f ca="1">VLOOKUP(financials[[#This Row],[ID]],Prices!D:F,3,FALSE)</f>
        <v>17</v>
      </c>
      <c r="I1391" s="1">
        <f ca="1">financials[[#This Row],[Units Sold]]*financials[[#This Row],[Sale Price]]</f>
        <v>9486</v>
      </c>
      <c r="J139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474.3</v>
      </c>
      <c r="K1391" s="1">
        <f ca="1">financials[[#This Row],[Gross Sales]]-financials[[#This Row],[Discounts]]</f>
        <v>9011.7000000000007</v>
      </c>
      <c r="L1391" s="1">
        <f ca="1">financials[[#This Row],[Units Sold]]*financials[[#This Row],[Manufacturing Price]]</f>
        <v>6696</v>
      </c>
      <c r="M1391" s="1">
        <f ca="1">financials[[#This Row],[Sales]]-financials[[#This Row],[COGS]]</f>
        <v>2315.7000000000007</v>
      </c>
      <c r="N1391" s="7">
        <f t="shared" ca="1" si="43"/>
        <v>45065</v>
      </c>
      <c r="O1391" s="8">
        <f ca="1">MONTH(financials[[#This Row],[Date]])</f>
        <v>5</v>
      </c>
      <c r="P1391" s="6" t="str">
        <f ca="1">TEXT(financials[[#This Row],[Date]],"MMM")</f>
        <v>May</v>
      </c>
      <c r="Q1391">
        <f ca="1">YEAR(financials[[#This Row],[Date]])</f>
        <v>2023</v>
      </c>
    </row>
    <row r="1392" spans="1:17" x14ac:dyDescent="0.3">
      <c r="A1392" t="s">
        <v>16</v>
      </c>
      <c r="B1392" t="s">
        <v>36</v>
      </c>
      <c r="C1392" s="6" t="s">
        <v>30</v>
      </c>
      <c r="D1392" s="6" t="str">
        <f>CONCATENATE(financials[[#This Row],[Segment]],",",financials[[#This Row],[Country]],",",financials[[#This Row],[Product]])</f>
        <v>Government,USA,VTT</v>
      </c>
      <c r="E1392" s="6" t="s">
        <v>34</v>
      </c>
      <c r="F1392">
        <f t="shared" ca="1" si="42"/>
        <v>84</v>
      </c>
      <c r="G1392" s="1">
        <f ca="1">VLOOKUP(financials[[#This Row],[ID]],Prices!D:F,2,FALSE)</f>
        <v>13</v>
      </c>
      <c r="H1392" s="1">
        <f ca="1">VLOOKUP(financials[[#This Row],[ID]],Prices!D:F,3,FALSE)</f>
        <v>31</v>
      </c>
      <c r="I1392" s="1">
        <f ca="1">financials[[#This Row],[Units Sold]]*financials[[#This Row],[Sale Price]]</f>
        <v>2604</v>
      </c>
      <c r="J1392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130.20000000000002</v>
      </c>
      <c r="K1392" s="1">
        <f ca="1">financials[[#This Row],[Gross Sales]]-financials[[#This Row],[Discounts]]</f>
        <v>2473.8000000000002</v>
      </c>
      <c r="L1392" s="1">
        <f ca="1">financials[[#This Row],[Units Sold]]*financials[[#This Row],[Manufacturing Price]]</f>
        <v>1092</v>
      </c>
      <c r="M1392" s="1">
        <f ca="1">financials[[#This Row],[Sales]]-financials[[#This Row],[COGS]]</f>
        <v>1381.8000000000002</v>
      </c>
      <c r="N1392" s="7">
        <f t="shared" ca="1" si="43"/>
        <v>45611</v>
      </c>
      <c r="O1392" s="8">
        <f ca="1">MONTH(financials[[#This Row],[Date]])</f>
        <v>11</v>
      </c>
      <c r="P1392" s="6" t="str">
        <f ca="1">TEXT(financials[[#This Row],[Date]],"MMM")</f>
        <v>Nov</v>
      </c>
      <c r="Q1392">
        <f ca="1">YEAR(financials[[#This Row],[Date]])</f>
        <v>2024</v>
      </c>
    </row>
    <row r="1393" spans="1:17" x14ac:dyDescent="0.3">
      <c r="A1393" t="s">
        <v>21</v>
      </c>
      <c r="B1393" t="s">
        <v>20</v>
      </c>
      <c r="C1393" s="6" t="s">
        <v>30</v>
      </c>
      <c r="D1393" s="6" t="str">
        <f>CONCATENATE(financials[[#This Row],[Segment]],",",financials[[#This Row],[Country]],",",financials[[#This Row],[Product]])</f>
        <v>Midmarket,Germany,VTT</v>
      </c>
      <c r="E1393" s="6" t="s">
        <v>34</v>
      </c>
      <c r="F1393">
        <f t="shared" ca="1" si="42"/>
        <v>314</v>
      </c>
      <c r="G1393" s="1">
        <f ca="1">VLOOKUP(financials[[#This Row],[ID]],Prices!D:F,2,FALSE)</f>
        <v>12</v>
      </c>
      <c r="H1393" s="1">
        <f ca="1">VLOOKUP(financials[[#This Row],[ID]],Prices!D:F,3,FALSE)</f>
        <v>17</v>
      </c>
      <c r="I1393" s="1">
        <f ca="1">financials[[#This Row],[Units Sold]]*financials[[#This Row],[Sale Price]]</f>
        <v>5338</v>
      </c>
      <c r="J1393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266.90000000000003</v>
      </c>
      <c r="K1393" s="1">
        <f ca="1">financials[[#This Row],[Gross Sales]]-financials[[#This Row],[Discounts]]</f>
        <v>5071.1000000000004</v>
      </c>
      <c r="L1393" s="1">
        <f ca="1">financials[[#This Row],[Units Sold]]*financials[[#This Row],[Manufacturing Price]]</f>
        <v>3768</v>
      </c>
      <c r="M1393" s="1">
        <f ca="1">financials[[#This Row],[Sales]]-financials[[#This Row],[COGS]]</f>
        <v>1303.1000000000004</v>
      </c>
      <c r="N1393" s="7">
        <f t="shared" ca="1" si="43"/>
        <v>45540</v>
      </c>
      <c r="O1393" s="8">
        <f ca="1">MONTH(financials[[#This Row],[Date]])</f>
        <v>9</v>
      </c>
      <c r="P1393" s="6" t="str">
        <f ca="1">TEXT(financials[[#This Row],[Date]],"MMM")</f>
        <v>Sep</v>
      </c>
      <c r="Q1393">
        <f ca="1">YEAR(financials[[#This Row],[Date]])</f>
        <v>2024</v>
      </c>
    </row>
    <row r="1394" spans="1:17" x14ac:dyDescent="0.3">
      <c r="A1394" t="s">
        <v>26</v>
      </c>
      <c r="B1394" t="s">
        <v>17</v>
      </c>
      <c r="C1394" s="6" t="s">
        <v>30</v>
      </c>
      <c r="D1394" s="6" t="str">
        <f>CONCATENATE(financials[[#This Row],[Segment]],",",financials[[#This Row],[Country]],",",financials[[#This Row],[Product]])</f>
        <v>Enterprise,Canada,VTT</v>
      </c>
      <c r="E1394" s="6" t="s">
        <v>34</v>
      </c>
      <c r="F1394">
        <f t="shared" ca="1" si="42"/>
        <v>622</v>
      </c>
      <c r="G1394" s="1">
        <f ca="1">VLOOKUP(financials[[#This Row],[ID]],Prices!D:F,2,FALSE)</f>
        <v>14</v>
      </c>
      <c r="H1394" s="1">
        <f ca="1">VLOOKUP(financials[[#This Row],[ID]],Prices!D:F,3,FALSE)</f>
        <v>29</v>
      </c>
      <c r="I1394" s="1">
        <f ca="1">financials[[#This Row],[Units Sold]]*financials[[#This Row],[Sale Price]]</f>
        <v>18038</v>
      </c>
      <c r="J1394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901.90000000000009</v>
      </c>
      <c r="K1394" s="1">
        <f ca="1">financials[[#This Row],[Gross Sales]]-financials[[#This Row],[Discounts]]</f>
        <v>17136.099999999999</v>
      </c>
      <c r="L1394" s="1">
        <f ca="1">financials[[#This Row],[Units Sold]]*financials[[#This Row],[Manufacturing Price]]</f>
        <v>8708</v>
      </c>
      <c r="M1394" s="1">
        <f ca="1">financials[[#This Row],[Sales]]-financials[[#This Row],[COGS]]</f>
        <v>8428.0999999999985</v>
      </c>
      <c r="N1394" s="7">
        <f t="shared" ca="1" si="43"/>
        <v>45180</v>
      </c>
      <c r="O1394" s="8">
        <f ca="1">MONTH(financials[[#This Row],[Date]])</f>
        <v>9</v>
      </c>
      <c r="P1394" s="6" t="str">
        <f ca="1">TEXT(financials[[#This Row],[Date]],"MMM")</f>
        <v>Sep</v>
      </c>
      <c r="Q1394">
        <f ca="1">YEAR(financials[[#This Row],[Date]])</f>
        <v>2023</v>
      </c>
    </row>
    <row r="1395" spans="1:17" x14ac:dyDescent="0.3">
      <c r="A1395" t="s">
        <v>26</v>
      </c>
      <c r="B1395" t="s">
        <v>20</v>
      </c>
      <c r="C1395" s="6" t="s">
        <v>30</v>
      </c>
      <c r="D1395" s="6" t="str">
        <f>CONCATENATE(financials[[#This Row],[Segment]],",",financials[[#This Row],[Country]],",",financials[[#This Row],[Product]])</f>
        <v>Enterprise,Germany,VTT</v>
      </c>
      <c r="E1395" s="6" t="s">
        <v>34</v>
      </c>
      <c r="F1395">
        <f t="shared" ca="1" si="42"/>
        <v>702</v>
      </c>
      <c r="G1395" s="1">
        <f ca="1">VLOOKUP(financials[[#This Row],[ID]],Prices!D:F,2,FALSE)</f>
        <v>14</v>
      </c>
      <c r="H1395" s="1">
        <f ca="1">VLOOKUP(financials[[#This Row],[ID]],Prices!D:F,3,FALSE)</f>
        <v>23</v>
      </c>
      <c r="I1395" s="1">
        <f ca="1">financials[[#This Row],[Units Sold]]*financials[[#This Row],[Sale Price]]</f>
        <v>16146</v>
      </c>
      <c r="J1395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807.30000000000007</v>
      </c>
      <c r="K1395" s="1">
        <f ca="1">financials[[#This Row],[Gross Sales]]-financials[[#This Row],[Discounts]]</f>
        <v>15338.7</v>
      </c>
      <c r="L1395" s="1">
        <f ca="1">financials[[#This Row],[Units Sold]]*financials[[#This Row],[Manufacturing Price]]</f>
        <v>9828</v>
      </c>
      <c r="M1395" s="1">
        <f ca="1">financials[[#This Row],[Sales]]-financials[[#This Row],[COGS]]</f>
        <v>5510.7000000000007</v>
      </c>
      <c r="N1395" s="7">
        <f t="shared" ca="1" si="43"/>
        <v>45431</v>
      </c>
      <c r="O1395" s="8">
        <f ca="1">MONTH(financials[[#This Row],[Date]])</f>
        <v>5</v>
      </c>
      <c r="P1395" s="6" t="str">
        <f ca="1">TEXT(financials[[#This Row],[Date]],"MMM")</f>
        <v>May</v>
      </c>
      <c r="Q1395">
        <f ca="1">YEAR(financials[[#This Row],[Date]])</f>
        <v>2024</v>
      </c>
    </row>
    <row r="1396" spans="1:17" x14ac:dyDescent="0.3">
      <c r="A1396" t="s">
        <v>16</v>
      </c>
      <c r="B1396" t="s">
        <v>22</v>
      </c>
      <c r="C1396" s="6" t="s">
        <v>30</v>
      </c>
      <c r="D1396" s="6" t="str">
        <f>CONCATENATE(financials[[#This Row],[Segment]],",",financials[[#This Row],[Country]],",",financials[[#This Row],[Product]])</f>
        <v>Government,France,VTT</v>
      </c>
      <c r="E1396" s="6" t="s">
        <v>34</v>
      </c>
      <c r="F1396">
        <f t="shared" ca="1" si="42"/>
        <v>893</v>
      </c>
      <c r="G1396" s="1">
        <f ca="1">VLOOKUP(financials[[#This Row],[ID]],Prices!D:F,2,FALSE)</f>
        <v>18</v>
      </c>
      <c r="H1396" s="1">
        <f ca="1">VLOOKUP(financials[[#This Row],[ID]],Prices!D:F,3,FALSE)</f>
        <v>32</v>
      </c>
      <c r="I1396" s="1">
        <f ca="1">financials[[#This Row],[Units Sold]]*financials[[#This Row],[Sale Price]]</f>
        <v>28576</v>
      </c>
      <c r="J1396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1428.8000000000002</v>
      </c>
      <c r="K1396" s="1">
        <f ca="1">financials[[#This Row],[Gross Sales]]-financials[[#This Row],[Discounts]]</f>
        <v>27147.200000000001</v>
      </c>
      <c r="L1396" s="1">
        <f ca="1">financials[[#This Row],[Units Sold]]*financials[[#This Row],[Manufacturing Price]]</f>
        <v>16074</v>
      </c>
      <c r="M1396" s="1">
        <f ca="1">financials[[#This Row],[Sales]]-financials[[#This Row],[COGS]]</f>
        <v>11073.2</v>
      </c>
      <c r="N1396" s="7">
        <f t="shared" ca="1" si="43"/>
        <v>45470</v>
      </c>
      <c r="O1396" s="8">
        <f ca="1">MONTH(financials[[#This Row],[Date]])</f>
        <v>6</v>
      </c>
      <c r="P1396" s="6" t="str">
        <f ca="1">TEXT(financials[[#This Row],[Date]],"MMM")</f>
        <v>Jun</v>
      </c>
      <c r="Q1396">
        <f ca="1">YEAR(financials[[#This Row],[Date]])</f>
        <v>2024</v>
      </c>
    </row>
    <row r="1397" spans="1:17" x14ac:dyDescent="0.3">
      <c r="A1397" t="s">
        <v>27</v>
      </c>
      <c r="B1397" t="s">
        <v>22</v>
      </c>
      <c r="C1397" s="6" t="s">
        <v>31</v>
      </c>
      <c r="D1397" s="6" t="str">
        <f>CONCATENATE(financials[[#This Row],[Segment]],",",financials[[#This Row],[Country]],",",financials[[#This Row],[Product]])</f>
        <v>Small Business,France,Amarilla</v>
      </c>
      <c r="E1397" s="6" t="s">
        <v>34</v>
      </c>
      <c r="F1397">
        <f t="shared" ca="1" si="42"/>
        <v>686</v>
      </c>
      <c r="G1397" s="1">
        <f ca="1">VLOOKUP(financials[[#This Row],[ID]],Prices!D:F,2,FALSE)</f>
        <v>10</v>
      </c>
      <c r="H1397" s="1">
        <f ca="1">VLOOKUP(financials[[#This Row],[ID]],Prices!D:F,3,FALSE)</f>
        <v>38</v>
      </c>
      <c r="I1397" s="1">
        <f ca="1">financials[[#This Row],[Units Sold]]*financials[[#This Row],[Sale Price]]</f>
        <v>26068</v>
      </c>
      <c r="J1397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1303.4000000000001</v>
      </c>
      <c r="K1397" s="1">
        <f ca="1">financials[[#This Row],[Gross Sales]]-financials[[#This Row],[Discounts]]</f>
        <v>24764.6</v>
      </c>
      <c r="L1397" s="1">
        <f ca="1">financials[[#This Row],[Units Sold]]*financials[[#This Row],[Manufacturing Price]]</f>
        <v>6860</v>
      </c>
      <c r="M1397" s="1">
        <f ca="1">financials[[#This Row],[Sales]]-financials[[#This Row],[COGS]]</f>
        <v>17904.599999999999</v>
      </c>
      <c r="N1397" s="7">
        <f t="shared" ca="1" si="43"/>
        <v>45726</v>
      </c>
      <c r="O1397" s="8">
        <f ca="1">MONTH(financials[[#This Row],[Date]])</f>
        <v>3</v>
      </c>
      <c r="P1397" s="6" t="str">
        <f ca="1">TEXT(financials[[#This Row],[Date]],"MMM")</f>
        <v>Mar</v>
      </c>
      <c r="Q1397">
        <f ca="1">YEAR(financials[[#This Row],[Date]])</f>
        <v>2025</v>
      </c>
    </row>
    <row r="1398" spans="1:17" x14ac:dyDescent="0.3">
      <c r="A1398" t="s">
        <v>27</v>
      </c>
      <c r="B1398" t="s">
        <v>23</v>
      </c>
      <c r="C1398" s="6" t="s">
        <v>31</v>
      </c>
      <c r="D1398" s="6" t="str">
        <f>CONCATENATE(financials[[#This Row],[Segment]],",",financials[[#This Row],[Country]],",",financials[[#This Row],[Product]])</f>
        <v>Small Business,Mexico,Amarilla</v>
      </c>
      <c r="E1398" s="6" t="s">
        <v>34</v>
      </c>
      <c r="F1398">
        <f t="shared" ca="1" si="42"/>
        <v>300</v>
      </c>
      <c r="G1398" s="1">
        <f ca="1">VLOOKUP(financials[[#This Row],[ID]],Prices!D:F,2,FALSE)</f>
        <v>14</v>
      </c>
      <c r="H1398" s="1">
        <f ca="1">VLOOKUP(financials[[#This Row],[ID]],Prices!D:F,3,FALSE)</f>
        <v>33</v>
      </c>
      <c r="I1398" s="1">
        <f ca="1">financials[[#This Row],[Units Sold]]*financials[[#This Row],[Sale Price]]</f>
        <v>9900</v>
      </c>
      <c r="J1398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495</v>
      </c>
      <c r="K1398" s="1">
        <f ca="1">financials[[#This Row],[Gross Sales]]-financials[[#This Row],[Discounts]]</f>
        <v>9405</v>
      </c>
      <c r="L1398" s="1">
        <f ca="1">financials[[#This Row],[Units Sold]]*financials[[#This Row],[Manufacturing Price]]</f>
        <v>4200</v>
      </c>
      <c r="M1398" s="1">
        <f ca="1">financials[[#This Row],[Sales]]-financials[[#This Row],[COGS]]</f>
        <v>5205</v>
      </c>
      <c r="N1398" s="7">
        <f t="shared" ca="1" si="43"/>
        <v>45559</v>
      </c>
      <c r="O1398" s="8">
        <f ca="1">MONTH(financials[[#This Row],[Date]])</f>
        <v>9</v>
      </c>
      <c r="P1398" s="6" t="str">
        <f ca="1">TEXT(financials[[#This Row],[Date]],"MMM")</f>
        <v>Sep</v>
      </c>
      <c r="Q1398">
        <f ca="1">YEAR(financials[[#This Row],[Date]])</f>
        <v>2024</v>
      </c>
    </row>
    <row r="1399" spans="1:17" x14ac:dyDescent="0.3">
      <c r="A1399" t="s">
        <v>16</v>
      </c>
      <c r="B1399" t="s">
        <v>23</v>
      </c>
      <c r="C1399" s="6" t="s">
        <v>24</v>
      </c>
      <c r="D1399" s="6" t="str">
        <f>CONCATENATE(financials[[#This Row],[Segment]],",",financials[[#This Row],[Country]],",",financials[[#This Row],[Product]])</f>
        <v>Government,Mexico,Montana</v>
      </c>
      <c r="E1399" s="6" t="s">
        <v>34</v>
      </c>
      <c r="F1399">
        <f t="shared" ca="1" si="42"/>
        <v>156</v>
      </c>
      <c r="G1399" s="1">
        <f ca="1">VLOOKUP(financials[[#This Row],[ID]],Prices!D:F,2,FALSE)</f>
        <v>19</v>
      </c>
      <c r="H1399" s="1">
        <f ca="1">VLOOKUP(financials[[#This Row],[ID]],Prices!D:F,3,FALSE)</f>
        <v>20</v>
      </c>
      <c r="I1399" s="1">
        <f ca="1">financials[[#This Row],[Units Sold]]*financials[[#This Row],[Sale Price]]</f>
        <v>3120</v>
      </c>
      <c r="J1399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156</v>
      </c>
      <c r="K1399" s="1">
        <f ca="1">financials[[#This Row],[Gross Sales]]-financials[[#This Row],[Discounts]]</f>
        <v>2964</v>
      </c>
      <c r="L1399" s="1">
        <f ca="1">financials[[#This Row],[Units Sold]]*financials[[#This Row],[Manufacturing Price]]</f>
        <v>2964</v>
      </c>
      <c r="M1399" s="1">
        <f ca="1">financials[[#This Row],[Sales]]-financials[[#This Row],[COGS]]</f>
        <v>0</v>
      </c>
      <c r="N1399" s="7">
        <f t="shared" ca="1" si="43"/>
        <v>45401</v>
      </c>
      <c r="O1399" s="8">
        <f ca="1">MONTH(financials[[#This Row],[Date]])</f>
        <v>4</v>
      </c>
      <c r="P1399" s="6" t="str">
        <f ca="1">TEXT(financials[[#This Row],[Date]],"MMM")</f>
        <v>Apr</v>
      </c>
      <c r="Q1399">
        <f ca="1">YEAR(financials[[#This Row],[Date]])</f>
        <v>2024</v>
      </c>
    </row>
    <row r="1400" spans="1:17" x14ac:dyDescent="0.3">
      <c r="A1400" t="s">
        <v>16</v>
      </c>
      <c r="B1400" t="s">
        <v>17</v>
      </c>
      <c r="C1400" s="6" t="s">
        <v>28</v>
      </c>
      <c r="D1400" s="6" t="str">
        <f>CONCATENATE(financials[[#This Row],[Segment]],",",financials[[#This Row],[Country]],",",financials[[#This Row],[Product]])</f>
        <v>Government,Canada,Paseo</v>
      </c>
      <c r="E1400" s="6" t="s">
        <v>34</v>
      </c>
      <c r="F1400">
        <f t="shared" ca="1" si="42"/>
        <v>166</v>
      </c>
      <c r="G1400" s="1">
        <f ca="1">VLOOKUP(financials[[#This Row],[ID]],Prices!D:F,2,FALSE)</f>
        <v>10</v>
      </c>
      <c r="H1400" s="1">
        <f ca="1">VLOOKUP(financials[[#This Row],[ID]],Prices!D:F,3,FALSE)</f>
        <v>23</v>
      </c>
      <c r="I1400" s="1">
        <f ca="1">financials[[#This Row],[Units Sold]]*financials[[#This Row],[Sale Price]]</f>
        <v>3818</v>
      </c>
      <c r="J1400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190.9</v>
      </c>
      <c r="K1400" s="1">
        <f ca="1">financials[[#This Row],[Gross Sales]]-financials[[#This Row],[Discounts]]</f>
        <v>3627.1</v>
      </c>
      <c r="L1400" s="1">
        <f ca="1">financials[[#This Row],[Units Sold]]*financials[[#This Row],[Manufacturing Price]]</f>
        <v>1660</v>
      </c>
      <c r="M1400" s="1">
        <f ca="1">financials[[#This Row],[Sales]]-financials[[#This Row],[COGS]]</f>
        <v>1967.1</v>
      </c>
      <c r="N1400" s="7">
        <f t="shared" ca="1" si="43"/>
        <v>45264</v>
      </c>
      <c r="O1400" s="8">
        <f ca="1">MONTH(financials[[#This Row],[Date]])</f>
        <v>12</v>
      </c>
      <c r="P1400" s="6" t="str">
        <f ca="1">TEXT(financials[[#This Row],[Date]],"MMM")</f>
        <v>Dec</v>
      </c>
      <c r="Q1400">
        <f ca="1">YEAR(financials[[#This Row],[Date]])</f>
        <v>2023</v>
      </c>
    </row>
    <row r="1401" spans="1:17" x14ac:dyDescent="0.3">
      <c r="A1401" t="s">
        <v>25</v>
      </c>
      <c r="B1401" t="s">
        <v>36</v>
      </c>
      <c r="C1401" s="6" t="s">
        <v>30</v>
      </c>
      <c r="D1401" s="6" t="str">
        <f>CONCATENATE(financials[[#This Row],[Segment]],",",financials[[#This Row],[Country]],",",financials[[#This Row],[Product]])</f>
        <v>Channel Partners,USA,VTT</v>
      </c>
      <c r="E1401" s="6" t="s">
        <v>34</v>
      </c>
      <c r="F1401">
        <f t="shared" ca="1" si="42"/>
        <v>798</v>
      </c>
      <c r="G1401" s="1">
        <f ca="1">VLOOKUP(financials[[#This Row],[ID]],Prices!D:F,2,FALSE)</f>
        <v>20</v>
      </c>
      <c r="H1401" s="1">
        <f ca="1">VLOOKUP(financials[[#This Row],[ID]],Prices!D:F,3,FALSE)</f>
        <v>38</v>
      </c>
      <c r="I1401" s="1">
        <f ca="1">financials[[#This Row],[Units Sold]]*financials[[#This Row],[Sale Price]]</f>
        <v>30324</v>
      </c>
      <c r="J1401" s="1">
        <f ca="1">IF(
    financials[[#This Row],[Gross Sales]] &lt; 1000,
    financials[[#This Row],[Gross Sales]] * 0.01,
     IF(
        financials[[#This Row],[Gross Sales]] &gt; 1000,
        financials[[#This Row],[Gross Sales]] * 0.05,
         IF(
            financials[[#This Row],[Gross Sales]] &gt; 10000,
            financials[[#This Row],[Gross Sales]] * 0.1,
             IF(
                financials[[#This Row],[Gross Sales]] &gt; 3000,
                financials[[#This Row],[Gross Sales]] * 0.15
            )
        )
    )
)</f>
        <v>1516.2</v>
      </c>
      <c r="K1401" s="1">
        <f ca="1">financials[[#This Row],[Gross Sales]]-financials[[#This Row],[Discounts]]</f>
        <v>28807.8</v>
      </c>
      <c r="L1401" s="1">
        <f ca="1">financials[[#This Row],[Units Sold]]*financials[[#This Row],[Manufacturing Price]]</f>
        <v>15960</v>
      </c>
      <c r="M1401" s="1">
        <f ca="1">financials[[#This Row],[Sales]]-financials[[#This Row],[COGS]]</f>
        <v>12847.8</v>
      </c>
      <c r="N1401" s="7">
        <f t="shared" ca="1" si="43"/>
        <v>45328</v>
      </c>
      <c r="O1401" s="8">
        <f ca="1">MONTH(financials[[#This Row],[Date]])</f>
        <v>2</v>
      </c>
      <c r="P1401" s="6" t="str">
        <f ca="1">TEXT(financials[[#This Row],[Date]],"MMM")</f>
        <v>Feb</v>
      </c>
      <c r="Q1401">
        <f ca="1">YEAR(financials[[#This Row],[Date]])</f>
        <v>2024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8FFC-38C6-4425-AE21-6E5ADA640F54}">
  <dimension ref="A1:F151"/>
  <sheetViews>
    <sheetView zoomScale="70" zoomScaleNormal="70" workbookViewId="0">
      <selection sqref="A1:F1"/>
    </sheetView>
  </sheetViews>
  <sheetFormatPr defaultRowHeight="14.4" x14ac:dyDescent="0.3"/>
  <cols>
    <col min="1" max="1" width="16.33203125" bestFit="1" customWidth="1"/>
    <col min="2" max="2" width="11.21875" bestFit="1" customWidth="1"/>
    <col min="3" max="3" width="11.109375" bestFit="1" customWidth="1"/>
    <col min="4" max="4" width="33.88671875" bestFit="1" customWidth="1"/>
    <col min="5" max="5" width="21.6640625" bestFit="1" customWidth="1"/>
    <col min="6" max="6" width="12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35</v>
      </c>
      <c r="E1" t="s">
        <v>5</v>
      </c>
      <c r="F1" t="s">
        <v>6</v>
      </c>
    </row>
    <row r="2" spans="1:6" x14ac:dyDescent="0.3">
      <c r="A2" t="s">
        <v>16</v>
      </c>
      <c r="B2" t="s">
        <v>17</v>
      </c>
      <c r="C2" t="s">
        <v>18</v>
      </c>
      <c r="D2" t="str">
        <f>CONCATENATE(A2,",",B2,",",C2)</f>
        <v>Government,Canada,Carretera</v>
      </c>
      <c r="E2">
        <f ca="1">RANDBETWEEN(10,20)</f>
        <v>20</v>
      </c>
      <c r="F2">
        <f ca="1">RANDBETWEEN(16,38)</f>
        <v>29</v>
      </c>
    </row>
    <row r="3" spans="1:6" x14ac:dyDescent="0.3">
      <c r="A3" t="s">
        <v>16</v>
      </c>
      <c r="B3" t="s">
        <v>20</v>
      </c>
      <c r="C3" t="s">
        <v>18</v>
      </c>
      <c r="D3" t="str">
        <f t="shared" ref="D3:D66" si="0">CONCATENATE(A3,",",B3,",",C3)</f>
        <v>Government,Germany,Carretera</v>
      </c>
      <c r="E3">
        <f t="shared" ref="E3:E66" ca="1" si="1">RANDBETWEEN(10,20)</f>
        <v>13</v>
      </c>
      <c r="F3">
        <f t="shared" ref="F3:F66" ca="1" si="2">RANDBETWEEN(16,38)</f>
        <v>22</v>
      </c>
    </row>
    <row r="4" spans="1:6" x14ac:dyDescent="0.3">
      <c r="A4" t="s">
        <v>21</v>
      </c>
      <c r="B4" t="s">
        <v>22</v>
      </c>
      <c r="C4" t="s">
        <v>18</v>
      </c>
      <c r="D4" t="str">
        <f t="shared" si="0"/>
        <v>Midmarket,France,Carretera</v>
      </c>
      <c r="E4">
        <f t="shared" ca="1" si="1"/>
        <v>19</v>
      </c>
      <c r="F4">
        <f t="shared" ca="1" si="2"/>
        <v>32</v>
      </c>
    </row>
    <row r="5" spans="1:6" x14ac:dyDescent="0.3">
      <c r="A5" t="s">
        <v>21</v>
      </c>
      <c r="B5" t="s">
        <v>20</v>
      </c>
      <c r="C5" t="s">
        <v>18</v>
      </c>
      <c r="D5" t="str">
        <f t="shared" si="0"/>
        <v>Midmarket,Germany,Carretera</v>
      </c>
      <c r="E5">
        <f t="shared" ca="1" si="1"/>
        <v>17</v>
      </c>
      <c r="F5">
        <f t="shared" ca="1" si="2"/>
        <v>28</v>
      </c>
    </row>
    <row r="6" spans="1:6" x14ac:dyDescent="0.3">
      <c r="A6" t="s">
        <v>21</v>
      </c>
      <c r="B6" t="s">
        <v>23</v>
      </c>
      <c r="C6" t="s">
        <v>18</v>
      </c>
      <c r="D6" t="str">
        <f t="shared" si="0"/>
        <v>Midmarket,Mexico,Carretera</v>
      </c>
      <c r="E6">
        <f t="shared" ca="1" si="1"/>
        <v>16</v>
      </c>
      <c r="F6">
        <f t="shared" ca="1" si="2"/>
        <v>21</v>
      </c>
    </row>
    <row r="7" spans="1:6" x14ac:dyDescent="0.3">
      <c r="A7" t="s">
        <v>21</v>
      </c>
      <c r="B7" t="s">
        <v>20</v>
      </c>
      <c r="C7" t="s">
        <v>24</v>
      </c>
      <c r="D7" t="str">
        <f t="shared" si="0"/>
        <v>Midmarket,Germany,Montana</v>
      </c>
      <c r="E7">
        <f t="shared" ca="1" si="1"/>
        <v>19</v>
      </c>
      <c r="F7">
        <f t="shared" ca="1" si="2"/>
        <v>34</v>
      </c>
    </row>
    <row r="8" spans="1:6" x14ac:dyDescent="0.3">
      <c r="A8" t="s">
        <v>25</v>
      </c>
      <c r="B8" t="s">
        <v>17</v>
      </c>
      <c r="C8" t="s">
        <v>24</v>
      </c>
      <c r="D8" t="str">
        <f t="shared" si="0"/>
        <v>Channel Partners,Canada,Montana</v>
      </c>
      <c r="E8">
        <f t="shared" ca="1" si="1"/>
        <v>17</v>
      </c>
      <c r="F8">
        <f t="shared" ca="1" si="2"/>
        <v>26</v>
      </c>
    </row>
    <row r="9" spans="1:6" x14ac:dyDescent="0.3">
      <c r="A9" t="s">
        <v>16</v>
      </c>
      <c r="B9" t="s">
        <v>22</v>
      </c>
      <c r="C9" t="s">
        <v>24</v>
      </c>
      <c r="D9" t="str">
        <f t="shared" si="0"/>
        <v>Government,France,Montana</v>
      </c>
      <c r="E9">
        <f t="shared" ca="1" si="1"/>
        <v>19</v>
      </c>
      <c r="F9">
        <f t="shared" ca="1" si="2"/>
        <v>22</v>
      </c>
    </row>
    <row r="10" spans="1:6" x14ac:dyDescent="0.3">
      <c r="A10" t="s">
        <v>25</v>
      </c>
      <c r="B10" t="s">
        <v>20</v>
      </c>
      <c r="C10" t="s">
        <v>24</v>
      </c>
      <c r="D10" t="str">
        <f t="shared" si="0"/>
        <v>Channel Partners,Germany,Montana</v>
      </c>
      <c r="E10">
        <f t="shared" ca="1" si="1"/>
        <v>12</v>
      </c>
      <c r="F10">
        <f t="shared" ca="1" si="2"/>
        <v>33</v>
      </c>
    </row>
    <row r="11" spans="1:6" x14ac:dyDescent="0.3">
      <c r="A11" t="s">
        <v>21</v>
      </c>
      <c r="B11" t="s">
        <v>23</v>
      </c>
      <c r="C11" t="s">
        <v>24</v>
      </c>
      <c r="D11" t="str">
        <f t="shared" si="0"/>
        <v>Midmarket,Mexico,Montana</v>
      </c>
      <c r="E11">
        <f t="shared" ca="1" si="1"/>
        <v>19</v>
      </c>
      <c r="F11">
        <f t="shared" ca="1" si="2"/>
        <v>17</v>
      </c>
    </row>
    <row r="12" spans="1:6" x14ac:dyDescent="0.3">
      <c r="A12" t="s">
        <v>26</v>
      </c>
      <c r="B12" t="s">
        <v>17</v>
      </c>
      <c r="C12" t="s">
        <v>24</v>
      </c>
      <c r="D12" t="str">
        <f t="shared" si="0"/>
        <v>Enterprise,Canada,Montana</v>
      </c>
      <c r="E12">
        <f t="shared" ca="1" si="1"/>
        <v>13</v>
      </c>
      <c r="F12">
        <f t="shared" ca="1" si="2"/>
        <v>23</v>
      </c>
    </row>
    <row r="13" spans="1:6" x14ac:dyDescent="0.3">
      <c r="A13" t="s">
        <v>27</v>
      </c>
      <c r="B13" t="s">
        <v>23</v>
      </c>
      <c r="C13" t="s">
        <v>24</v>
      </c>
      <c r="D13" t="str">
        <f t="shared" si="0"/>
        <v>Small Business,Mexico,Montana</v>
      </c>
      <c r="E13">
        <f t="shared" ca="1" si="1"/>
        <v>20</v>
      </c>
      <c r="F13">
        <f t="shared" ca="1" si="2"/>
        <v>37</v>
      </c>
    </row>
    <row r="14" spans="1:6" x14ac:dyDescent="0.3">
      <c r="A14" t="s">
        <v>16</v>
      </c>
      <c r="B14" t="s">
        <v>20</v>
      </c>
      <c r="C14" t="s">
        <v>24</v>
      </c>
      <c r="D14" t="str">
        <f t="shared" si="0"/>
        <v>Government,Germany,Montana</v>
      </c>
      <c r="E14">
        <f t="shared" ca="1" si="1"/>
        <v>20</v>
      </c>
      <c r="F14">
        <f t="shared" ca="1" si="2"/>
        <v>27</v>
      </c>
    </row>
    <row r="15" spans="1:6" x14ac:dyDescent="0.3">
      <c r="A15" t="s">
        <v>21</v>
      </c>
      <c r="B15" t="s">
        <v>36</v>
      </c>
      <c r="C15" t="s">
        <v>24</v>
      </c>
      <c r="D15" t="str">
        <f t="shared" si="0"/>
        <v>Midmarket,USA,Montana</v>
      </c>
      <c r="E15">
        <f t="shared" ca="1" si="1"/>
        <v>10</v>
      </c>
      <c r="F15">
        <f t="shared" ca="1" si="2"/>
        <v>24</v>
      </c>
    </row>
    <row r="16" spans="1:6" x14ac:dyDescent="0.3">
      <c r="A16" t="s">
        <v>16</v>
      </c>
      <c r="B16" t="s">
        <v>17</v>
      </c>
      <c r="C16" t="s">
        <v>28</v>
      </c>
      <c r="D16" t="str">
        <f t="shared" si="0"/>
        <v>Government,Canada,Paseo</v>
      </c>
      <c r="E16">
        <f t="shared" ca="1" si="1"/>
        <v>10</v>
      </c>
      <c r="F16">
        <f t="shared" ca="1" si="2"/>
        <v>23</v>
      </c>
    </row>
    <row r="17" spans="1:6" x14ac:dyDescent="0.3">
      <c r="A17" t="s">
        <v>21</v>
      </c>
      <c r="B17" t="s">
        <v>23</v>
      </c>
      <c r="C17" t="s">
        <v>28</v>
      </c>
      <c r="D17" t="str">
        <f t="shared" si="0"/>
        <v>Midmarket,Mexico,Paseo</v>
      </c>
      <c r="E17">
        <f t="shared" ca="1" si="1"/>
        <v>11</v>
      </c>
      <c r="F17">
        <f t="shared" ca="1" si="2"/>
        <v>21</v>
      </c>
    </row>
    <row r="18" spans="1:6" x14ac:dyDescent="0.3">
      <c r="A18" t="s">
        <v>25</v>
      </c>
      <c r="B18" t="s">
        <v>17</v>
      </c>
      <c r="C18" t="s">
        <v>28</v>
      </c>
      <c r="D18" t="str">
        <f t="shared" si="0"/>
        <v>Channel Partners,Canada,Paseo</v>
      </c>
      <c r="E18">
        <f t="shared" ca="1" si="1"/>
        <v>13</v>
      </c>
      <c r="F18">
        <f t="shared" ca="1" si="2"/>
        <v>26</v>
      </c>
    </row>
    <row r="19" spans="1:6" x14ac:dyDescent="0.3">
      <c r="A19" t="s">
        <v>16</v>
      </c>
      <c r="B19" t="s">
        <v>20</v>
      </c>
      <c r="C19" t="s">
        <v>28</v>
      </c>
      <c r="D19" t="str">
        <f t="shared" si="0"/>
        <v>Government,Germany,Paseo</v>
      </c>
      <c r="E19">
        <f t="shared" ca="1" si="1"/>
        <v>19</v>
      </c>
      <c r="F19">
        <f t="shared" ca="1" si="2"/>
        <v>37</v>
      </c>
    </row>
    <row r="20" spans="1:6" x14ac:dyDescent="0.3">
      <c r="A20" t="s">
        <v>25</v>
      </c>
      <c r="B20" t="s">
        <v>20</v>
      </c>
      <c r="C20" t="s">
        <v>28</v>
      </c>
      <c r="D20" t="str">
        <f t="shared" si="0"/>
        <v>Channel Partners,Germany,Paseo</v>
      </c>
      <c r="E20">
        <f t="shared" ca="1" si="1"/>
        <v>13</v>
      </c>
      <c r="F20">
        <f t="shared" ca="1" si="2"/>
        <v>25</v>
      </c>
    </row>
    <row r="21" spans="1:6" x14ac:dyDescent="0.3">
      <c r="A21" t="s">
        <v>16</v>
      </c>
      <c r="B21" t="s">
        <v>23</v>
      </c>
      <c r="C21" t="s">
        <v>28</v>
      </c>
      <c r="D21" t="str">
        <f t="shared" si="0"/>
        <v>Government,Mexico,Paseo</v>
      </c>
      <c r="E21">
        <f t="shared" ca="1" si="1"/>
        <v>18</v>
      </c>
      <c r="F21">
        <f t="shared" ca="1" si="2"/>
        <v>19</v>
      </c>
    </row>
    <row r="22" spans="1:6" x14ac:dyDescent="0.3">
      <c r="A22" t="s">
        <v>21</v>
      </c>
      <c r="B22" t="s">
        <v>22</v>
      </c>
      <c r="C22" t="s">
        <v>28</v>
      </c>
      <c r="D22" t="str">
        <f t="shared" si="0"/>
        <v>Midmarket,France,Paseo</v>
      </c>
      <c r="E22">
        <f t="shared" ca="1" si="1"/>
        <v>20</v>
      </c>
      <c r="F22">
        <f t="shared" ca="1" si="2"/>
        <v>38</v>
      </c>
    </row>
    <row r="23" spans="1:6" x14ac:dyDescent="0.3">
      <c r="A23" t="s">
        <v>27</v>
      </c>
      <c r="B23" t="s">
        <v>23</v>
      </c>
      <c r="C23" t="s">
        <v>28</v>
      </c>
      <c r="D23" t="str">
        <f t="shared" si="0"/>
        <v>Small Business,Mexico,Paseo</v>
      </c>
      <c r="E23">
        <f t="shared" ca="1" si="1"/>
        <v>20</v>
      </c>
      <c r="F23">
        <f t="shared" ca="1" si="2"/>
        <v>20</v>
      </c>
    </row>
    <row r="24" spans="1:6" x14ac:dyDescent="0.3">
      <c r="A24" t="s">
        <v>16</v>
      </c>
      <c r="B24" t="s">
        <v>36</v>
      </c>
      <c r="C24" t="s">
        <v>28</v>
      </c>
      <c r="D24" t="str">
        <f t="shared" si="0"/>
        <v>Government,USA,Paseo</v>
      </c>
      <c r="E24">
        <f t="shared" ca="1" si="1"/>
        <v>17</v>
      </c>
      <c r="F24">
        <f t="shared" ca="1" si="2"/>
        <v>36</v>
      </c>
    </row>
    <row r="25" spans="1:6" x14ac:dyDescent="0.3">
      <c r="A25" t="s">
        <v>25</v>
      </c>
      <c r="B25" t="s">
        <v>36</v>
      </c>
      <c r="C25" t="s">
        <v>28</v>
      </c>
      <c r="D25" t="str">
        <f t="shared" si="0"/>
        <v>Channel Partners,USA,Paseo</v>
      </c>
      <c r="E25">
        <f t="shared" ca="1" si="1"/>
        <v>19</v>
      </c>
      <c r="F25">
        <f t="shared" ca="1" si="2"/>
        <v>26</v>
      </c>
    </row>
    <row r="26" spans="1:6" x14ac:dyDescent="0.3">
      <c r="A26" t="s">
        <v>21</v>
      </c>
      <c r="B26" t="s">
        <v>17</v>
      </c>
      <c r="C26" t="s">
        <v>28</v>
      </c>
      <c r="D26" t="str">
        <f t="shared" si="0"/>
        <v>Midmarket,Canada,Paseo</v>
      </c>
      <c r="E26">
        <f t="shared" ca="1" si="1"/>
        <v>15</v>
      </c>
      <c r="F26">
        <f t="shared" ca="1" si="2"/>
        <v>36</v>
      </c>
    </row>
    <row r="27" spans="1:6" x14ac:dyDescent="0.3">
      <c r="A27" t="s">
        <v>16</v>
      </c>
      <c r="B27" t="s">
        <v>23</v>
      </c>
      <c r="C27" t="s">
        <v>29</v>
      </c>
      <c r="D27" t="str">
        <f t="shared" si="0"/>
        <v>Government,Mexico,Velo</v>
      </c>
      <c r="E27">
        <f t="shared" ca="1" si="1"/>
        <v>18</v>
      </c>
      <c r="F27">
        <f t="shared" ca="1" si="2"/>
        <v>36</v>
      </c>
    </row>
    <row r="28" spans="1:6" x14ac:dyDescent="0.3">
      <c r="A28" t="s">
        <v>26</v>
      </c>
      <c r="B28" t="s">
        <v>22</v>
      </c>
      <c r="C28" t="s">
        <v>29</v>
      </c>
      <c r="D28" t="str">
        <f t="shared" si="0"/>
        <v>Enterprise,France,Velo</v>
      </c>
      <c r="E28">
        <f t="shared" ca="1" si="1"/>
        <v>20</v>
      </c>
      <c r="F28">
        <f t="shared" ca="1" si="2"/>
        <v>27</v>
      </c>
    </row>
    <row r="29" spans="1:6" x14ac:dyDescent="0.3">
      <c r="A29" t="s">
        <v>25</v>
      </c>
      <c r="B29" t="s">
        <v>20</v>
      </c>
      <c r="C29" t="s">
        <v>29</v>
      </c>
      <c r="D29" t="str">
        <f t="shared" si="0"/>
        <v>Channel Partners,Germany,Velo</v>
      </c>
      <c r="E29">
        <f t="shared" ca="1" si="1"/>
        <v>17</v>
      </c>
      <c r="F29">
        <f t="shared" ca="1" si="2"/>
        <v>23</v>
      </c>
    </row>
    <row r="30" spans="1:6" x14ac:dyDescent="0.3">
      <c r="A30" t="s">
        <v>16</v>
      </c>
      <c r="B30" t="s">
        <v>20</v>
      </c>
      <c r="C30" t="s">
        <v>29</v>
      </c>
      <c r="D30" t="str">
        <f t="shared" si="0"/>
        <v>Government,Germany,Velo</v>
      </c>
      <c r="E30">
        <f t="shared" ca="1" si="1"/>
        <v>13</v>
      </c>
      <c r="F30">
        <f t="shared" ca="1" si="2"/>
        <v>19</v>
      </c>
    </row>
    <row r="31" spans="1:6" x14ac:dyDescent="0.3">
      <c r="A31" t="s">
        <v>26</v>
      </c>
      <c r="B31" t="s">
        <v>36</v>
      </c>
      <c r="C31" t="s">
        <v>29</v>
      </c>
      <c r="D31" t="str">
        <f t="shared" si="0"/>
        <v>Enterprise,USA,Velo</v>
      </c>
      <c r="E31">
        <f t="shared" ca="1" si="1"/>
        <v>20</v>
      </c>
      <c r="F31">
        <f t="shared" ca="1" si="2"/>
        <v>24</v>
      </c>
    </row>
    <row r="32" spans="1:6" x14ac:dyDescent="0.3">
      <c r="A32" t="s">
        <v>26</v>
      </c>
      <c r="B32" t="s">
        <v>17</v>
      </c>
      <c r="C32" t="s">
        <v>29</v>
      </c>
      <c r="D32" t="str">
        <f t="shared" si="0"/>
        <v>Enterprise,Canada,Velo</v>
      </c>
      <c r="E32">
        <f t="shared" ca="1" si="1"/>
        <v>11</v>
      </c>
      <c r="F32">
        <f t="shared" ca="1" si="2"/>
        <v>34</v>
      </c>
    </row>
    <row r="33" spans="1:6" x14ac:dyDescent="0.3">
      <c r="A33" t="s">
        <v>27</v>
      </c>
      <c r="B33" t="s">
        <v>17</v>
      </c>
      <c r="C33" t="s">
        <v>30</v>
      </c>
      <c r="D33" t="str">
        <f t="shared" si="0"/>
        <v>Small Business,Canada,VTT</v>
      </c>
      <c r="E33">
        <f t="shared" ca="1" si="1"/>
        <v>10</v>
      </c>
      <c r="F33">
        <f t="shared" ca="1" si="2"/>
        <v>21</v>
      </c>
    </row>
    <row r="34" spans="1:6" x14ac:dyDescent="0.3">
      <c r="A34" t="s">
        <v>25</v>
      </c>
      <c r="B34" t="s">
        <v>20</v>
      </c>
      <c r="C34" t="s">
        <v>30</v>
      </c>
      <c r="D34" t="str">
        <f t="shared" si="0"/>
        <v>Channel Partners,Germany,VTT</v>
      </c>
      <c r="E34">
        <f t="shared" ca="1" si="1"/>
        <v>20</v>
      </c>
      <c r="F34">
        <f t="shared" ca="1" si="2"/>
        <v>32</v>
      </c>
    </row>
    <row r="35" spans="1:6" x14ac:dyDescent="0.3">
      <c r="A35" t="s">
        <v>21</v>
      </c>
      <c r="B35" t="s">
        <v>22</v>
      </c>
      <c r="C35" t="s">
        <v>30</v>
      </c>
      <c r="D35" t="str">
        <f t="shared" si="0"/>
        <v>Midmarket,France,VTT</v>
      </c>
      <c r="E35">
        <f t="shared" ca="1" si="1"/>
        <v>11</v>
      </c>
      <c r="F35">
        <f t="shared" ca="1" si="2"/>
        <v>25</v>
      </c>
    </row>
    <row r="36" spans="1:6" x14ac:dyDescent="0.3">
      <c r="A36" t="s">
        <v>21</v>
      </c>
      <c r="B36" t="s">
        <v>20</v>
      </c>
      <c r="C36" t="s">
        <v>30</v>
      </c>
      <c r="D36" t="str">
        <f t="shared" si="0"/>
        <v>Midmarket,Germany,VTT</v>
      </c>
      <c r="E36">
        <f t="shared" ca="1" si="1"/>
        <v>12</v>
      </c>
      <c r="F36">
        <f t="shared" ca="1" si="2"/>
        <v>17</v>
      </c>
    </row>
    <row r="37" spans="1:6" x14ac:dyDescent="0.3">
      <c r="A37" t="s">
        <v>16</v>
      </c>
      <c r="B37" t="s">
        <v>22</v>
      </c>
      <c r="C37" t="s">
        <v>30</v>
      </c>
      <c r="D37" t="str">
        <f t="shared" si="0"/>
        <v>Government,France,VTT</v>
      </c>
      <c r="E37">
        <f t="shared" ca="1" si="1"/>
        <v>18</v>
      </c>
      <c r="F37">
        <f t="shared" ca="1" si="2"/>
        <v>32</v>
      </c>
    </row>
    <row r="38" spans="1:6" x14ac:dyDescent="0.3">
      <c r="A38" t="s">
        <v>27</v>
      </c>
      <c r="B38" t="s">
        <v>22</v>
      </c>
      <c r="C38" t="s">
        <v>30</v>
      </c>
      <c r="D38" t="str">
        <f t="shared" si="0"/>
        <v>Small Business,France,VTT</v>
      </c>
      <c r="E38">
        <f t="shared" ca="1" si="1"/>
        <v>20</v>
      </c>
      <c r="F38">
        <f t="shared" ca="1" si="2"/>
        <v>24</v>
      </c>
    </row>
    <row r="39" spans="1:6" x14ac:dyDescent="0.3">
      <c r="A39" t="s">
        <v>16</v>
      </c>
      <c r="B39" t="s">
        <v>17</v>
      </c>
      <c r="C39" t="s">
        <v>30</v>
      </c>
      <c r="D39" t="str">
        <f t="shared" si="0"/>
        <v>Government,Canada,VTT</v>
      </c>
      <c r="E39">
        <f t="shared" ca="1" si="1"/>
        <v>17</v>
      </c>
      <c r="F39">
        <f t="shared" ca="1" si="2"/>
        <v>38</v>
      </c>
    </row>
    <row r="40" spans="1:6" x14ac:dyDescent="0.3">
      <c r="A40" t="s">
        <v>16</v>
      </c>
      <c r="B40" t="s">
        <v>22</v>
      </c>
      <c r="C40" t="s">
        <v>31</v>
      </c>
      <c r="D40" t="str">
        <f t="shared" si="0"/>
        <v>Government,France,Amarilla</v>
      </c>
      <c r="E40">
        <f t="shared" ca="1" si="1"/>
        <v>10</v>
      </c>
      <c r="F40">
        <f t="shared" ca="1" si="2"/>
        <v>25</v>
      </c>
    </row>
    <row r="41" spans="1:6" x14ac:dyDescent="0.3">
      <c r="A41" t="s">
        <v>25</v>
      </c>
      <c r="B41" t="s">
        <v>36</v>
      </c>
      <c r="C41" t="s">
        <v>31</v>
      </c>
      <c r="D41" t="str">
        <f t="shared" si="0"/>
        <v>Channel Partners,USA,Amarilla</v>
      </c>
      <c r="E41">
        <f t="shared" ca="1" si="1"/>
        <v>11</v>
      </c>
      <c r="F41">
        <f t="shared" ca="1" si="2"/>
        <v>17</v>
      </c>
    </row>
    <row r="42" spans="1:6" x14ac:dyDescent="0.3">
      <c r="A42" t="s">
        <v>26</v>
      </c>
      <c r="B42" t="s">
        <v>20</v>
      </c>
      <c r="C42" t="s">
        <v>31</v>
      </c>
      <c r="D42" t="str">
        <f t="shared" si="0"/>
        <v>Enterprise,Germany,Amarilla</v>
      </c>
      <c r="E42">
        <f t="shared" ca="1" si="1"/>
        <v>13</v>
      </c>
      <c r="F42">
        <f t="shared" ca="1" si="2"/>
        <v>21</v>
      </c>
    </row>
    <row r="43" spans="1:6" x14ac:dyDescent="0.3">
      <c r="A43" t="s">
        <v>16</v>
      </c>
      <c r="B43" t="s">
        <v>20</v>
      </c>
      <c r="C43" t="s">
        <v>31</v>
      </c>
      <c r="D43" t="str">
        <f t="shared" si="0"/>
        <v>Government,Germany,Amarilla</v>
      </c>
      <c r="E43">
        <f t="shared" ca="1" si="1"/>
        <v>10</v>
      </c>
      <c r="F43">
        <f t="shared" ca="1" si="2"/>
        <v>20</v>
      </c>
    </row>
    <row r="44" spans="1:6" x14ac:dyDescent="0.3">
      <c r="A44" t="s">
        <v>16</v>
      </c>
      <c r="B44" t="s">
        <v>36</v>
      </c>
      <c r="C44" t="s">
        <v>31</v>
      </c>
      <c r="D44" t="str">
        <f t="shared" si="0"/>
        <v>Government,USA,Amarilla</v>
      </c>
      <c r="E44">
        <f t="shared" ca="1" si="1"/>
        <v>20</v>
      </c>
      <c r="F44">
        <f t="shared" ca="1" si="2"/>
        <v>37</v>
      </c>
    </row>
    <row r="45" spans="1:6" x14ac:dyDescent="0.3">
      <c r="A45" t="s">
        <v>21</v>
      </c>
      <c r="B45" t="s">
        <v>36</v>
      </c>
      <c r="C45" t="s">
        <v>31</v>
      </c>
      <c r="D45" t="str">
        <f t="shared" si="0"/>
        <v>Midmarket,USA,Amarilla</v>
      </c>
      <c r="E45">
        <f t="shared" ca="1" si="1"/>
        <v>12</v>
      </c>
      <c r="F45">
        <f t="shared" ca="1" si="2"/>
        <v>21</v>
      </c>
    </row>
    <row r="46" spans="1:6" x14ac:dyDescent="0.3">
      <c r="A46" t="s">
        <v>16</v>
      </c>
      <c r="B46" t="s">
        <v>22</v>
      </c>
      <c r="C46" t="s">
        <v>28</v>
      </c>
      <c r="D46" t="str">
        <f t="shared" si="0"/>
        <v>Government,France,Paseo</v>
      </c>
      <c r="E46">
        <f t="shared" ca="1" si="1"/>
        <v>14</v>
      </c>
      <c r="F46">
        <f t="shared" ca="1" si="2"/>
        <v>18</v>
      </c>
    </row>
    <row r="47" spans="1:6" x14ac:dyDescent="0.3">
      <c r="A47" t="s">
        <v>16</v>
      </c>
      <c r="B47" t="s">
        <v>22</v>
      </c>
      <c r="C47" t="s">
        <v>29</v>
      </c>
      <c r="D47" t="str">
        <f t="shared" si="0"/>
        <v>Government,France,Velo</v>
      </c>
      <c r="E47">
        <f t="shared" ca="1" si="1"/>
        <v>20</v>
      </c>
      <c r="F47">
        <f t="shared" ca="1" si="2"/>
        <v>36</v>
      </c>
    </row>
    <row r="48" spans="1:6" x14ac:dyDescent="0.3">
      <c r="A48" t="s">
        <v>25</v>
      </c>
      <c r="B48" t="s">
        <v>36</v>
      </c>
      <c r="C48" t="s">
        <v>18</v>
      </c>
      <c r="D48" t="str">
        <f t="shared" si="0"/>
        <v>Channel Partners,USA,Carretera</v>
      </c>
      <c r="E48">
        <f t="shared" ca="1" si="1"/>
        <v>13</v>
      </c>
      <c r="F48">
        <f t="shared" ca="1" si="2"/>
        <v>27</v>
      </c>
    </row>
    <row r="49" spans="1:6" x14ac:dyDescent="0.3">
      <c r="A49" t="s">
        <v>16</v>
      </c>
      <c r="B49" t="s">
        <v>23</v>
      </c>
      <c r="C49" t="s">
        <v>18</v>
      </c>
      <c r="D49" t="str">
        <f t="shared" si="0"/>
        <v>Government,Mexico,Carretera</v>
      </c>
      <c r="E49">
        <f t="shared" ca="1" si="1"/>
        <v>16</v>
      </c>
      <c r="F49">
        <f t="shared" ca="1" si="2"/>
        <v>31</v>
      </c>
    </row>
    <row r="50" spans="1:6" x14ac:dyDescent="0.3">
      <c r="A50" t="s">
        <v>16</v>
      </c>
      <c r="B50" t="s">
        <v>36</v>
      </c>
      <c r="C50" t="s">
        <v>18</v>
      </c>
      <c r="D50" t="str">
        <f t="shared" si="0"/>
        <v>Government,USA,Carretera</v>
      </c>
      <c r="E50">
        <f t="shared" ca="1" si="1"/>
        <v>11</v>
      </c>
      <c r="F50">
        <f t="shared" ca="1" si="2"/>
        <v>21</v>
      </c>
    </row>
    <row r="51" spans="1:6" x14ac:dyDescent="0.3">
      <c r="A51" t="s">
        <v>25</v>
      </c>
      <c r="B51" t="s">
        <v>17</v>
      </c>
      <c r="C51" t="s">
        <v>18</v>
      </c>
      <c r="D51" t="str">
        <f t="shared" si="0"/>
        <v>Channel Partners,Canada,Carretera</v>
      </c>
      <c r="E51">
        <f t="shared" ca="1" si="1"/>
        <v>17</v>
      </c>
      <c r="F51">
        <f t="shared" ca="1" si="2"/>
        <v>24</v>
      </c>
    </row>
    <row r="52" spans="1:6" x14ac:dyDescent="0.3">
      <c r="A52" t="s">
        <v>26</v>
      </c>
      <c r="B52" t="s">
        <v>36</v>
      </c>
      <c r="C52" t="s">
        <v>18</v>
      </c>
      <c r="D52" t="str">
        <f t="shared" si="0"/>
        <v>Enterprise,USA,Carretera</v>
      </c>
      <c r="E52">
        <f t="shared" ca="1" si="1"/>
        <v>18</v>
      </c>
      <c r="F52">
        <f t="shared" ca="1" si="2"/>
        <v>34</v>
      </c>
    </row>
    <row r="53" spans="1:6" x14ac:dyDescent="0.3">
      <c r="A53" t="s">
        <v>25</v>
      </c>
      <c r="B53" t="s">
        <v>22</v>
      </c>
      <c r="C53" t="s">
        <v>18</v>
      </c>
      <c r="D53" t="str">
        <f t="shared" si="0"/>
        <v>Channel Partners,France,Carretera</v>
      </c>
      <c r="E53">
        <f t="shared" ca="1" si="1"/>
        <v>10</v>
      </c>
      <c r="F53">
        <f t="shared" ca="1" si="2"/>
        <v>25</v>
      </c>
    </row>
    <row r="54" spans="1:6" x14ac:dyDescent="0.3">
      <c r="A54" t="s">
        <v>25</v>
      </c>
      <c r="B54" t="s">
        <v>20</v>
      </c>
      <c r="C54" t="s">
        <v>18</v>
      </c>
      <c r="D54" t="str">
        <f t="shared" si="0"/>
        <v>Channel Partners,Germany,Carretera</v>
      </c>
      <c r="E54">
        <f t="shared" ca="1" si="1"/>
        <v>11</v>
      </c>
      <c r="F54">
        <f t="shared" ca="1" si="2"/>
        <v>16</v>
      </c>
    </row>
    <row r="55" spans="1:6" x14ac:dyDescent="0.3">
      <c r="A55" t="s">
        <v>27</v>
      </c>
      <c r="B55" t="s">
        <v>23</v>
      </c>
      <c r="C55" t="s">
        <v>18</v>
      </c>
      <c r="D55" t="str">
        <f t="shared" si="0"/>
        <v>Small Business,Mexico,Carretera</v>
      </c>
      <c r="E55">
        <f t="shared" ca="1" si="1"/>
        <v>20</v>
      </c>
      <c r="F55">
        <f t="shared" ca="1" si="2"/>
        <v>25</v>
      </c>
    </row>
    <row r="56" spans="1:6" x14ac:dyDescent="0.3">
      <c r="A56" t="s">
        <v>16</v>
      </c>
      <c r="B56" t="s">
        <v>22</v>
      </c>
      <c r="C56" t="s">
        <v>18</v>
      </c>
      <c r="D56" t="str">
        <f t="shared" si="0"/>
        <v>Government,France,Carretera</v>
      </c>
      <c r="E56">
        <f t="shared" ca="1" si="1"/>
        <v>12</v>
      </c>
      <c r="F56">
        <f t="shared" ca="1" si="2"/>
        <v>38</v>
      </c>
    </row>
    <row r="57" spans="1:6" x14ac:dyDescent="0.3">
      <c r="A57" t="s">
        <v>27</v>
      </c>
      <c r="B57" t="s">
        <v>36</v>
      </c>
      <c r="C57" t="s">
        <v>24</v>
      </c>
      <c r="D57" t="str">
        <f t="shared" si="0"/>
        <v>Small Business,USA,Montana</v>
      </c>
      <c r="E57">
        <f t="shared" ca="1" si="1"/>
        <v>15</v>
      </c>
      <c r="F57">
        <f t="shared" ca="1" si="2"/>
        <v>22</v>
      </c>
    </row>
    <row r="58" spans="1:6" x14ac:dyDescent="0.3">
      <c r="A58" t="s">
        <v>16</v>
      </c>
      <c r="B58" t="s">
        <v>17</v>
      </c>
      <c r="C58" t="s">
        <v>24</v>
      </c>
      <c r="D58" t="str">
        <f t="shared" si="0"/>
        <v>Government,Canada,Montana</v>
      </c>
      <c r="E58">
        <f t="shared" ca="1" si="1"/>
        <v>12</v>
      </c>
      <c r="F58">
        <f t="shared" ca="1" si="2"/>
        <v>30</v>
      </c>
    </row>
    <row r="59" spans="1:6" x14ac:dyDescent="0.3">
      <c r="A59" t="s">
        <v>26</v>
      </c>
      <c r="B59" t="s">
        <v>36</v>
      </c>
      <c r="C59" t="s">
        <v>24</v>
      </c>
      <c r="D59" t="str">
        <f t="shared" si="0"/>
        <v>Enterprise,USA,Montana</v>
      </c>
      <c r="E59">
        <f t="shared" ca="1" si="1"/>
        <v>14</v>
      </c>
      <c r="F59">
        <f t="shared" ca="1" si="2"/>
        <v>29</v>
      </c>
    </row>
    <row r="60" spans="1:6" x14ac:dyDescent="0.3">
      <c r="A60" t="s">
        <v>21</v>
      </c>
      <c r="B60" t="s">
        <v>36</v>
      </c>
      <c r="C60" t="s">
        <v>28</v>
      </c>
      <c r="D60" t="str">
        <f t="shared" si="0"/>
        <v>Midmarket,USA,Paseo</v>
      </c>
      <c r="E60">
        <f t="shared" ca="1" si="1"/>
        <v>13</v>
      </c>
      <c r="F60">
        <f t="shared" ca="1" si="2"/>
        <v>25</v>
      </c>
    </row>
    <row r="61" spans="1:6" x14ac:dyDescent="0.3">
      <c r="A61" t="s">
        <v>26</v>
      </c>
      <c r="B61" t="s">
        <v>36</v>
      </c>
      <c r="C61" t="s">
        <v>28</v>
      </c>
      <c r="D61" t="str">
        <f t="shared" si="0"/>
        <v>Enterprise,USA,Paseo</v>
      </c>
      <c r="E61">
        <f t="shared" ca="1" si="1"/>
        <v>17</v>
      </c>
      <c r="F61">
        <f t="shared" ca="1" si="2"/>
        <v>30</v>
      </c>
    </row>
    <row r="62" spans="1:6" x14ac:dyDescent="0.3">
      <c r="A62" t="s">
        <v>26</v>
      </c>
      <c r="B62" t="s">
        <v>22</v>
      </c>
      <c r="C62" t="s">
        <v>28</v>
      </c>
      <c r="D62" t="str">
        <f t="shared" si="0"/>
        <v>Enterprise,France,Paseo</v>
      </c>
      <c r="E62">
        <f t="shared" ca="1" si="1"/>
        <v>11</v>
      </c>
      <c r="F62">
        <f t="shared" ca="1" si="2"/>
        <v>21</v>
      </c>
    </row>
    <row r="63" spans="1:6" x14ac:dyDescent="0.3">
      <c r="A63" t="s">
        <v>26</v>
      </c>
      <c r="B63" t="s">
        <v>23</v>
      </c>
      <c r="C63" t="s">
        <v>28</v>
      </c>
      <c r="D63" t="str">
        <f t="shared" si="0"/>
        <v>Enterprise,Mexico,Paseo</v>
      </c>
      <c r="E63">
        <f t="shared" ca="1" si="1"/>
        <v>17</v>
      </c>
      <c r="F63">
        <f t="shared" ca="1" si="2"/>
        <v>27</v>
      </c>
    </row>
    <row r="64" spans="1:6" x14ac:dyDescent="0.3">
      <c r="A64" t="s">
        <v>21</v>
      </c>
      <c r="B64" t="s">
        <v>20</v>
      </c>
      <c r="C64" t="s">
        <v>28</v>
      </c>
      <c r="D64" t="str">
        <f t="shared" si="0"/>
        <v>Midmarket,Germany,Paseo</v>
      </c>
      <c r="E64">
        <f t="shared" ca="1" si="1"/>
        <v>19</v>
      </c>
      <c r="F64">
        <f t="shared" ca="1" si="2"/>
        <v>25</v>
      </c>
    </row>
    <row r="65" spans="1:6" x14ac:dyDescent="0.3">
      <c r="A65" t="s">
        <v>27</v>
      </c>
      <c r="B65" t="s">
        <v>36</v>
      </c>
      <c r="C65" t="s">
        <v>28</v>
      </c>
      <c r="D65" t="str">
        <f t="shared" si="0"/>
        <v>Small Business,USA,Paseo</v>
      </c>
      <c r="E65">
        <f t="shared" ca="1" si="1"/>
        <v>17</v>
      </c>
      <c r="F65">
        <f t="shared" ca="1" si="2"/>
        <v>23</v>
      </c>
    </row>
    <row r="66" spans="1:6" x14ac:dyDescent="0.3">
      <c r="A66" t="s">
        <v>16</v>
      </c>
      <c r="B66" t="s">
        <v>17</v>
      </c>
      <c r="C66" t="s">
        <v>29</v>
      </c>
      <c r="D66" t="str">
        <f t="shared" si="0"/>
        <v>Government,Canada,Velo</v>
      </c>
      <c r="E66">
        <f t="shared" ca="1" si="1"/>
        <v>19</v>
      </c>
      <c r="F66">
        <f t="shared" ca="1" si="2"/>
        <v>37</v>
      </c>
    </row>
    <row r="67" spans="1:6" x14ac:dyDescent="0.3">
      <c r="A67" t="s">
        <v>16</v>
      </c>
      <c r="B67" t="s">
        <v>20</v>
      </c>
      <c r="C67" t="s">
        <v>30</v>
      </c>
      <c r="D67" t="str">
        <f t="shared" ref="D67:D130" si="3">CONCATENATE(A67,",",B67,",",C67)</f>
        <v>Government,Germany,VTT</v>
      </c>
      <c r="E67">
        <f t="shared" ref="E67:E130" ca="1" si="4">RANDBETWEEN(10,20)</f>
        <v>16</v>
      </c>
      <c r="F67">
        <f t="shared" ref="F67:F130" ca="1" si="5">RANDBETWEEN(16,38)</f>
        <v>20</v>
      </c>
    </row>
    <row r="68" spans="1:6" x14ac:dyDescent="0.3">
      <c r="A68" t="s">
        <v>26</v>
      </c>
      <c r="B68" t="s">
        <v>36</v>
      </c>
      <c r="C68" t="s">
        <v>30</v>
      </c>
      <c r="D68" t="str">
        <f t="shared" si="3"/>
        <v>Enterprise,USA,VTT</v>
      </c>
      <c r="E68">
        <f t="shared" ca="1" si="4"/>
        <v>18</v>
      </c>
      <c r="F68">
        <f t="shared" ca="1" si="5"/>
        <v>26</v>
      </c>
    </row>
    <row r="69" spans="1:6" x14ac:dyDescent="0.3">
      <c r="A69" t="s">
        <v>26</v>
      </c>
      <c r="B69" t="s">
        <v>22</v>
      </c>
      <c r="C69" t="s">
        <v>30</v>
      </c>
      <c r="D69" t="str">
        <f t="shared" si="3"/>
        <v>Enterprise,France,VTT</v>
      </c>
      <c r="E69">
        <f t="shared" ca="1" si="4"/>
        <v>10</v>
      </c>
      <c r="F69">
        <f t="shared" ca="1" si="5"/>
        <v>19</v>
      </c>
    </row>
    <row r="70" spans="1:6" x14ac:dyDescent="0.3">
      <c r="A70" t="s">
        <v>27</v>
      </c>
      <c r="B70" t="s">
        <v>20</v>
      </c>
      <c r="C70" t="s">
        <v>30</v>
      </c>
      <c r="D70" t="str">
        <f t="shared" si="3"/>
        <v>Small Business,Germany,VTT</v>
      </c>
      <c r="E70">
        <f t="shared" ca="1" si="4"/>
        <v>18</v>
      </c>
      <c r="F70">
        <f t="shared" ca="1" si="5"/>
        <v>38</v>
      </c>
    </row>
    <row r="71" spans="1:6" x14ac:dyDescent="0.3">
      <c r="A71" t="s">
        <v>27</v>
      </c>
      <c r="B71" t="s">
        <v>23</v>
      </c>
      <c r="C71" t="s">
        <v>30</v>
      </c>
      <c r="D71" t="str">
        <f t="shared" si="3"/>
        <v>Small Business,Mexico,VTT</v>
      </c>
      <c r="E71">
        <f t="shared" ca="1" si="4"/>
        <v>17</v>
      </c>
      <c r="F71">
        <f t="shared" ca="1" si="5"/>
        <v>36</v>
      </c>
    </row>
    <row r="72" spans="1:6" x14ac:dyDescent="0.3">
      <c r="A72" t="s">
        <v>16</v>
      </c>
      <c r="B72" t="s">
        <v>23</v>
      </c>
      <c r="C72" t="s">
        <v>30</v>
      </c>
      <c r="D72" t="str">
        <f t="shared" si="3"/>
        <v>Government,Mexico,VTT</v>
      </c>
      <c r="E72">
        <f t="shared" ca="1" si="4"/>
        <v>18</v>
      </c>
      <c r="F72">
        <f t="shared" ca="1" si="5"/>
        <v>20</v>
      </c>
    </row>
    <row r="73" spans="1:6" x14ac:dyDescent="0.3">
      <c r="A73" t="s">
        <v>21</v>
      </c>
      <c r="B73" t="s">
        <v>22</v>
      </c>
      <c r="C73" t="s">
        <v>31</v>
      </c>
      <c r="D73" t="str">
        <f t="shared" si="3"/>
        <v>Midmarket,France,Amarilla</v>
      </c>
      <c r="E73">
        <f t="shared" ca="1" si="4"/>
        <v>19</v>
      </c>
      <c r="F73">
        <f t="shared" ca="1" si="5"/>
        <v>38</v>
      </c>
    </row>
    <row r="74" spans="1:6" x14ac:dyDescent="0.3">
      <c r="A74" t="s">
        <v>26</v>
      </c>
      <c r="B74" t="s">
        <v>17</v>
      </c>
      <c r="C74" t="s">
        <v>18</v>
      </c>
      <c r="D74" t="str">
        <f t="shared" si="3"/>
        <v>Enterprise,Canada,Carretera</v>
      </c>
      <c r="E74">
        <f t="shared" ca="1" si="4"/>
        <v>11</v>
      </c>
      <c r="F74">
        <f t="shared" ca="1" si="5"/>
        <v>30</v>
      </c>
    </row>
    <row r="75" spans="1:6" x14ac:dyDescent="0.3">
      <c r="A75" t="s">
        <v>27</v>
      </c>
      <c r="B75" t="s">
        <v>20</v>
      </c>
      <c r="C75" t="s">
        <v>18</v>
      </c>
      <c r="D75" t="str">
        <f t="shared" si="3"/>
        <v>Small Business,Germany,Carretera</v>
      </c>
      <c r="E75">
        <f t="shared" ca="1" si="4"/>
        <v>20</v>
      </c>
      <c r="F75">
        <f t="shared" ca="1" si="5"/>
        <v>30</v>
      </c>
    </row>
    <row r="76" spans="1:6" x14ac:dyDescent="0.3">
      <c r="A76" t="s">
        <v>25</v>
      </c>
      <c r="B76" t="s">
        <v>36</v>
      </c>
      <c r="C76" t="s">
        <v>24</v>
      </c>
      <c r="D76" t="str">
        <f t="shared" si="3"/>
        <v>Channel Partners,USA,Montana</v>
      </c>
      <c r="E76">
        <f t="shared" ca="1" si="4"/>
        <v>12</v>
      </c>
      <c r="F76">
        <f t="shared" ca="1" si="5"/>
        <v>38</v>
      </c>
    </row>
    <row r="77" spans="1:6" x14ac:dyDescent="0.3">
      <c r="A77" t="s">
        <v>16</v>
      </c>
      <c r="B77" t="s">
        <v>36</v>
      </c>
      <c r="C77" t="s">
        <v>24</v>
      </c>
      <c r="D77" t="str">
        <f t="shared" si="3"/>
        <v>Government,USA,Montana</v>
      </c>
      <c r="E77">
        <f t="shared" ca="1" si="4"/>
        <v>10</v>
      </c>
      <c r="F77">
        <f t="shared" ca="1" si="5"/>
        <v>34</v>
      </c>
    </row>
    <row r="78" spans="1:6" x14ac:dyDescent="0.3">
      <c r="A78" t="s">
        <v>25</v>
      </c>
      <c r="B78" t="s">
        <v>23</v>
      </c>
      <c r="C78" t="s">
        <v>24</v>
      </c>
      <c r="D78" t="str">
        <f t="shared" si="3"/>
        <v>Channel Partners,Mexico,Montana</v>
      </c>
      <c r="E78">
        <f t="shared" ca="1" si="4"/>
        <v>15</v>
      </c>
      <c r="F78">
        <f t="shared" ca="1" si="5"/>
        <v>17</v>
      </c>
    </row>
    <row r="79" spans="1:6" x14ac:dyDescent="0.3">
      <c r="A79" t="s">
        <v>26</v>
      </c>
      <c r="B79" t="s">
        <v>23</v>
      </c>
      <c r="C79" t="s">
        <v>24</v>
      </c>
      <c r="D79" t="str">
        <f t="shared" si="3"/>
        <v>Enterprise,Mexico,Montana</v>
      </c>
      <c r="E79">
        <f t="shared" ca="1" si="4"/>
        <v>10</v>
      </c>
      <c r="F79">
        <f t="shared" ca="1" si="5"/>
        <v>31</v>
      </c>
    </row>
    <row r="80" spans="1:6" x14ac:dyDescent="0.3">
      <c r="A80" t="s">
        <v>27</v>
      </c>
      <c r="B80" t="s">
        <v>22</v>
      </c>
      <c r="C80" t="s">
        <v>28</v>
      </c>
      <c r="D80" t="str">
        <f t="shared" si="3"/>
        <v>Small Business,France,Paseo</v>
      </c>
      <c r="E80">
        <f t="shared" ca="1" si="4"/>
        <v>16</v>
      </c>
      <c r="F80">
        <f t="shared" ca="1" si="5"/>
        <v>29</v>
      </c>
    </row>
    <row r="81" spans="1:6" x14ac:dyDescent="0.3">
      <c r="A81" t="s">
        <v>27</v>
      </c>
      <c r="B81" t="s">
        <v>20</v>
      </c>
      <c r="C81" t="s">
        <v>28</v>
      </c>
      <c r="D81" t="str">
        <f t="shared" si="3"/>
        <v>Small Business,Germany,Paseo</v>
      </c>
      <c r="E81">
        <f t="shared" ca="1" si="4"/>
        <v>19</v>
      </c>
      <c r="F81">
        <f t="shared" ca="1" si="5"/>
        <v>25</v>
      </c>
    </row>
    <row r="82" spans="1:6" x14ac:dyDescent="0.3">
      <c r="A82" t="s">
        <v>26</v>
      </c>
      <c r="B82" t="s">
        <v>20</v>
      </c>
      <c r="C82" t="s">
        <v>28</v>
      </c>
      <c r="D82" t="str">
        <f t="shared" si="3"/>
        <v>Enterprise,Germany,Paseo</v>
      </c>
      <c r="E82">
        <f t="shared" ca="1" si="4"/>
        <v>14</v>
      </c>
      <c r="F82">
        <f t="shared" ca="1" si="5"/>
        <v>18</v>
      </c>
    </row>
    <row r="83" spans="1:6" x14ac:dyDescent="0.3">
      <c r="A83" t="s">
        <v>25</v>
      </c>
      <c r="B83" t="s">
        <v>22</v>
      </c>
      <c r="C83" t="s">
        <v>28</v>
      </c>
      <c r="D83" t="str">
        <f t="shared" si="3"/>
        <v>Channel Partners,France,Paseo</v>
      </c>
      <c r="E83">
        <f t="shared" ca="1" si="4"/>
        <v>14</v>
      </c>
      <c r="F83">
        <f t="shared" ca="1" si="5"/>
        <v>30</v>
      </c>
    </row>
    <row r="84" spans="1:6" x14ac:dyDescent="0.3">
      <c r="A84" t="s">
        <v>27</v>
      </c>
      <c r="B84" t="s">
        <v>17</v>
      </c>
      <c r="C84" t="s">
        <v>28</v>
      </c>
      <c r="D84" t="str">
        <f t="shared" si="3"/>
        <v>Small Business,Canada,Paseo</v>
      </c>
      <c r="E84">
        <f t="shared" ca="1" si="4"/>
        <v>20</v>
      </c>
      <c r="F84">
        <f t="shared" ca="1" si="5"/>
        <v>31</v>
      </c>
    </row>
    <row r="85" spans="1:6" x14ac:dyDescent="0.3">
      <c r="A85" t="s">
        <v>26</v>
      </c>
      <c r="B85" t="s">
        <v>17</v>
      </c>
      <c r="C85" t="s">
        <v>28</v>
      </c>
      <c r="D85" t="str">
        <f t="shared" si="3"/>
        <v>Enterprise,Canada,Paseo</v>
      </c>
      <c r="E85">
        <f t="shared" ca="1" si="4"/>
        <v>15</v>
      </c>
      <c r="F85">
        <f t="shared" ca="1" si="5"/>
        <v>23</v>
      </c>
    </row>
    <row r="86" spans="1:6" x14ac:dyDescent="0.3">
      <c r="A86" t="s">
        <v>25</v>
      </c>
      <c r="B86" t="s">
        <v>23</v>
      </c>
      <c r="C86" t="s">
        <v>28</v>
      </c>
      <c r="D86" t="str">
        <f t="shared" si="3"/>
        <v>Channel Partners,Mexico,Paseo</v>
      </c>
      <c r="E86">
        <f t="shared" ca="1" si="4"/>
        <v>13</v>
      </c>
      <c r="F86">
        <f t="shared" ca="1" si="5"/>
        <v>21</v>
      </c>
    </row>
    <row r="87" spans="1:6" x14ac:dyDescent="0.3">
      <c r="A87" t="s">
        <v>16</v>
      </c>
      <c r="B87" t="s">
        <v>36</v>
      </c>
      <c r="C87" t="s">
        <v>29</v>
      </c>
      <c r="D87" t="str">
        <f t="shared" si="3"/>
        <v>Government,USA,Velo</v>
      </c>
      <c r="E87">
        <f t="shared" ca="1" si="4"/>
        <v>18</v>
      </c>
      <c r="F87">
        <f t="shared" ca="1" si="5"/>
        <v>38</v>
      </c>
    </row>
    <row r="88" spans="1:6" x14ac:dyDescent="0.3">
      <c r="A88" t="s">
        <v>26</v>
      </c>
      <c r="B88" t="s">
        <v>20</v>
      </c>
      <c r="C88" t="s">
        <v>29</v>
      </c>
      <c r="D88" t="str">
        <f t="shared" si="3"/>
        <v>Enterprise,Germany,Velo</v>
      </c>
      <c r="E88">
        <f t="shared" ca="1" si="4"/>
        <v>16</v>
      </c>
      <c r="F88">
        <f t="shared" ca="1" si="5"/>
        <v>29</v>
      </c>
    </row>
    <row r="89" spans="1:6" x14ac:dyDescent="0.3">
      <c r="A89" t="s">
        <v>26</v>
      </c>
      <c r="B89" t="s">
        <v>23</v>
      </c>
      <c r="C89" t="s">
        <v>29</v>
      </c>
      <c r="D89" t="str">
        <f t="shared" si="3"/>
        <v>Enterprise,Mexico,Velo</v>
      </c>
      <c r="E89">
        <f t="shared" ca="1" si="4"/>
        <v>19</v>
      </c>
      <c r="F89">
        <f t="shared" ca="1" si="5"/>
        <v>23</v>
      </c>
    </row>
    <row r="90" spans="1:6" x14ac:dyDescent="0.3">
      <c r="A90" t="s">
        <v>25</v>
      </c>
      <c r="B90" t="s">
        <v>22</v>
      </c>
      <c r="C90" t="s">
        <v>29</v>
      </c>
      <c r="D90" t="str">
        <f t="shared" si="3"/>
        <v>Channel Partners,France,Velo</v>
      </c>
      <c r="E90">
        <f t="shared" ca="1" si="4"/>
        <v>18</v>
      </c>
      <c r="F90">
        <f t="shared" ca="1" si="5"/>
        <v>26</v>
      </c>
    </row>
    <row r="91" spans="1:6" x14ac:dyDescent="0.3">
      <c r="A91" t="s">
        <v>25</v>
      </c>
      <c r="B91" t="s">
        <v>23</v>
      </c>
      <c r="C91" t="s">
        <v>29</v>
      </c>
      <c r="D91" t="str">
        <f t="shared" si="3"/>
        <v>Channel Partners,Mexico,Velo</v>
      </c>
      <c r="E91">
        <f t="shared" ca="1" si="4"/>
        <v>19</v>
      </c>
      <c r="F91">
        <f t="shared" ca="1" si="5"/>
        <v>16</v>
      </c>
    </row>
    <row r="92" spans="1:6" x14ac:dyDescent="0.3">
      <c r="A92" t="s">
        <v>26</v>
      </c>
      <c r="B92" t="s">
        <v>23</v>
      </c>
      <c r="C92" t="s">
        <v>30</v>
      </c>
      <c r="D92" t="str">
        <f t="shared" si="3"/>
        <v>Enterprise,Mexico,VTT</v>
      </c>
      <c r="E92">
        <f t="shared" ca="1" si="4"/>
        <v>15</v>
      </c>
      <c r="F92">
        <f t="shared" ca="1" si="5"/>
        <v>38</v>
      </c>
    </row>
    <row r="93" spans="1:6" x14ac:dyDescent="0.3">
      <c r="A93" t="s">
        <v>26</v>
      </c>
      <c r="B93" t="s">
        <v>17</v>
      </c>
      <c r="C93" t="s">
        <v>30</v>
      </c>
      <c r="D93" t="str">
        <f t="shared" si="3"/>
        <v>Enterprise,Canada,VTT</v>
      </c>
      <c r="E93">
        <f t="shared" ca="1" si="4"/>
        <v>14</v>
      </c>
      <c r="F93">
        <f t="shared" ca="1" si="5"/>
        <v>29</v>
      </c>
    </row>
    <row r="94" spans="1:6" x14ac:dyDescent="0.3">
      <c r="A94" t="s">
        <v>16</v>
      </c>
      <c r="B94" t="s">
        <v>36</v>
      </c>
      <c r="C94" t="s">
        <v>30</v>
      </c>
      <c r="D94" t="str">
        <f t="shared" si="3"/>
        <v>Government,USA,VTT</v>
      </c>
      <c r="E94">
        <f t="shared" ca="1" si="4"/>
        <v>13</v>
      </c>
      <c r="F94">
        <f t="shared" ca="1" si="5"/>
        <v>31</v>
      </c>
    </row>
    <row r="95" spans="1:6" x14ac:dyDescent="0.3">
      <c r="A95" t="s">
        <v>27</v>
      </c>
      <c r="B95" t="s">
        <v>20</v>
      </c>
      <c r="C95" t="s">
        <v>31</v>
      </c>
      <c r="D95" t="str">
        <f t="shared" si="3"/>
        <v>Small Business,Germany,Amarilla</v>
      </c>
      <c r="E95">
        <f t="shared" ca="1" si="4"/>
        <v>14</v>
      </c>
      <c r="F95">
        <f t="shared" ca="1" si="5"/>
        <v>35</v>
      </c>
    </row>
    <row r="96" spans="1:6" x14ac:dyDescent="0.3">
      <c r="A96" t="s">
        <v>27</v>
      </c>
      <c r="B96" t="s">
        <v>23</v>
      </c>
      <c r="C96" t="s">
        <v>31</v>
      </c>
      <c r="D96" t="str">
        <f t="shared" si="3"/>
        <v>Small Business,Mexico,Amarilla</v>
      </c>
      <c r="E96">
        <f t="shared" ca="1" si="4"/>
        <v>14</v>
      </c>
      <c r="F96">
        <f t="shared" ca="1" si="5"/>
        <v>33</v>
      </c>
    </row>
    <row r="97" spans="1:6" x14ac:dyDescent="0.3">
      <c r="A97" t="s">
        <v>27</v>
      </c>
      <c r="B97" t="s">
        <v>17</v>
      </c>
      <c r="C97" t="s">
        <v>31</v>
      </c>
      <c r="D97" t="str">
        <f t="shared" si="3"/>
        <v>Small Business,Canada,Amarilla</v>
      </c>
      <c r="E97">
        <f t="shared" ca="1" si="4"/>
        <v>13</v>
      </c>
      <c r="F97">
        <f t="shared" ca="1" si="5"/>
        <v>16</v>
      </c>
    </row>
    <row r="98" spans="1:6" x14ac:dyDescent="0.3">
      <c r="A98" t="s">
        <v>26</v>
      </c>
      <c r="B98" t="s">
        <v>22</v>
      </c>
      <c r="C98" t="s">
        <v>18</v>
      </c>
      <c r="D98" t="str">
        <f t="shared" si="3"/>
        <v>Enterprise,France,Carretera</v>
      </c>
      <c r="E98">
        <f t="shared" ca="1" si="4"/>
        <v>12</v>
      </c>
      <c r="F98">
        <f t="shared" ca="1" si="5"/>
        <v>35</v>
      </c>
    </row>
    <row r="99" spans="1:6" x14ac:dyDescent="0.3">
      <c r="A99" t="s">
        <v>25</v>
      </c>
      <c r="B99" t="s">
        <v>22</v>
      </c>
      <c r="C99" t="s">
        <v>24</v>
      </c>
      <c r="D99" t="str">
        <f t="shared" si="3"/>
        <v>Channel Partners,France,Montana</v>
      </c>
      <c r="E99">
        <f t="shared" ca="1" si="4"/>
        <v>19</v>
      </c>
      <c r="F99">
        <f t="shared" ca="1" si="5"/>
        <v>30</v>
      </c>
    </row>
    <row r="100" spans="1:6" x14ac:dyDescent="0.3">
      <c r="A100" t="s">
        <v>26</v>
      </c>
      <c r="B100" t="s">
        <v>22</v>
      </c>
      <c r="C100" t="s">
        <v>24</v>
      </c>
      <c r="D100" t="str">
        <f t="shared" si="3"/>
        <v>Enterprise,France,Montana</v>
      </c>
      <c r="E100">
        <f t="shared" ca="1" si="4"/>
        <v>11</v>
      </c>
      <c r="F100">
        <f t="shared" ca="1" si="5"/>
        <v>29</v>
      </c>
    </row>
    <row r="101" spans="1:6" x14ac:dyDescent="0.3">
      <c r="A101" t="s">
        <v>26</v>
      </c>
      <c r="B101" t="s">
        <v>20</v>
      </c>
      <c r="C101" t="s">
        <v>24</v>
      </c>
      <c r="D101" t="str">
        <f t="shared" si="3"/>
        <v>Enterprise,Germany,Montana</v>
      </c>
      <c r="E101">
        <f t="shared" ca="1" si="4"/>
        <v>17</v>
      </c>
      <c r="F101">
        <f t="shared" ca="1" si="5"/>
        <v>22</v>
      </c>
    </row>
    <row r="102" spans="1:6" x14ac:dyDescent="0.3">
      <c r="A102" t="s">
        <v>27</v>
      </c>
      <c r="B102" t="s">
        <v>36</v>
      </c>
      <c r="C102" t="s">
        <v>30</v>
      </c>
      <c r="D102" t="str">
        <f t="shared" si="3"/>
        <v>Small Business,USA,VTT</v>
      </c>
      <c r="E102">
        <f t="shared" ca="1" si="4"/>
        <v>13</v>
      </c>
      <c r="F102">
        <f t="shared" ca="1" si="5"/>
        <v>19</v>
      </c>
    </row>
    <row r="103" spans="1:6" x14ac:dyDescent="0.3">
      <c r="A103" t="s">
        <v>25</v>
      </c>
      <c r="B103" t="s">
        <v>23</v>
      </c>
      <c r="C103" t="s">
        <v>30</v>
      </c>
      <c r="D103" t="str">
        <f t="shared" si="3"/>
        <v>Channel Partners,Mexico,VTT</v>
      </c>
      <c r="E103">
        <f t="shared" ca="1" si="4"/>
        <v>12</v>
      </c>
      <c r="F103">
        <f t="shared" ca="1" si="5"/>
        <v>38</v>
      </c>
    </row>
    <row r="104" spans="1:6" x14ac:dyDescent="0.3">
      <c r="A104" t="s">
        <v>26</v>
      </c>
      <c r="B104" t="s">
        <v>20</v>
      </c>
      <c r="C104" t="s">
        <v>30</v>
      </c>
      <c r="D104" t="str">
        <f t="shared" si="3"/>
        <v>Enterprise,Germany,VTT</v>
      </c>
      <c r="E104">
        <f t="shared" ca="1" si="4"/>
        <v>14</v>
      </c>
      <c r="F104">
        <f t="shared" ca="1" si="5"/>
        <v>23</v>
      </c>
    </row>
    <row r="105" spans="1:6" x14ac:dyDescent="0.3">
      <c r="A105" t="s">
        <v>21</v>
      </c>
      <c r="B105" t="s">
        <v>17</v>
      </c>
      <c r="C105" t="s">
        <v>24</v>
      </c>
      <c r="D105" t="str">
        <f t="shared" si="3"/>
        <v>Midmarket,Canada,Montana</v>
      </c>
      <c r="E105">
        <f t="shared" ca="1" si="4"/>
        <v>14</v>
      </c>
      <c r="F105">
        <f t="shared" ca="1" si="5"/>
        <v>37</v>
      </c>
    </row>
    <row r="106" spans="1:6" x14ac:dyDescent="0.3">
      <c r="A106" t="s">
        <v>27</v>
      </c>
      <c r="B106" t="s">
        <v>20</v>
      </c>
      <c r="C106" t="s">
        <v>24</v>
      </c>
      <c r="D106" t="str">
        <f t="shared" si="3"/>
        <v>Small Business,Germany,Montana</v>
      </c>
      <c r="E106">
        <f t="shared" ca="1" si="4"/>
        <v>18</v>
      </c>
      <c r="F106">
        <f t="shared" ca="1" si="5"/>
        <v>35</v>
      </c>
    </row>
    <row r="107" spans="1:6" x14ac:dyDescent="0.3">
      <c r="A107" t="s">
        <v>25</v>
      </c>
      <c r="B107" t="s">
        <v>36</v>
      </c>
      <c r="C107" t="s">
        <v>29</v>
      </c>
      <c r="D107" t="str">
        <f t="shared" si="3"/>
        <v>Channel Partners,USA,Velo</v>
      </c>
      <c r="E107">
        <f t="shared" ca="1" si="4"/>
        <v>11</v>
      </c>
      <c r="F107">
        <f t="shared" ca="1" si="5"/>
        <v>34</v>
      </c>
    </row>
    <row r="108" spans="1:6" x14ac:dyDescent="0.3">
      <c r="A108" t="s">
        <v>25</v>
      </c>
      <c r="B108" t="s">
        <v>22</v>
      </c>
      <c r="C108" t="s">
        <v>30</v>
      </c>
      <c r="D108" t="str">
        <f t="shared" si="3"/>
        <v>Channel Partners,France,VTT</v>
      </c>
      <c r="E108">
        <f t="shared" ca="1" si="4"/>
        <v>11</v>
      </c>
      <c r="F108">
        <f t="shared" ca="1" si="5"/>
        <v>38</v>
      </c>
    </row>
    <row r="109" spans="1:6" x14ac:dyDescent="0.3">
      <c r="A109" t="s">
        <v>21</v>
      </c>
      <c r="B109" t="s">
        <v>23</v>
      </c>
      <c r="C109" t="s">
        <v>30</v>
      </c>
      <c r="D109" t="str">
        <f t="shared" si="3"/>
        <v>Midmarket,Mexico,VTT</v>
      </c>
      <c r="E109">
        <f t="shared" ca="1" si="4"/>
        <v>19</v>
      </c>
      <c r="F109">
        <f t="shared" ca="1" si="5"/>
        <v>20</v>
      </c>
    </row>
    <row r="110" spans="1:6" x14ac:dyDescent="0.3">
      <c r="A110" t="s">
        <v>16</v>
      </c>
      <c r="B110" t="s">
        <v>23</v>
      </c>
      <c r="C110" t="s">
        <v>31</v>
      </c>
      <c r="D110" t="str">
        <f t="shared" si="3"/>
        <v>Government,Mexico,Amarilla</v>
      </c>
      <c r="E110">
        <f t="shared" ca="1" si="4"/>
        <v>15</v>
      </c>
      <c r="F110">
        <f t="shared" ca="1" si="5"/>
        <v>32</v>
      </c>
    </row>
    <row r="111" spans="1:6" x14ac:dyDescent="0.3">
      <c r="A111" t="s">
        <v>26</v>
      </c>
      <c r="B111" t="s">
        <v>23</v>
      </c>
      <c r="C111" t="s">
        <v>31</v>
      </c>
      <c r="D111" t="str">
        <f t="shared" si="3"/>
        <v>Enterprise,Mexico,Amarilla</v>
      </c>
      <c r="E111">
        <f t="shared" ca="1" si="4"/>
        <v>11</v>
      </c>
      <c r="F111">
        <f t="shared" ca="1" si="5"/>
        <v>30</v>
      </c>
    </row>
    <row r="112" spans="1:6" x14ac:dyDescent="0.3">
      <c r="A112" t="s">
        <v>16</v>
      </c>
      <c r="B112" t="s">
        <v>17</v>
      </c>
      <c r="C112" t="s">
        <v>31</v>
      </c>
      <c r="D112" t="str">
        <f t="shared" si="3"/>
        <v>Government,Canada,Amarilla</v>
      </c>
      <c r="E112">
        <f t="shared" ca="1" si="4"/>
        <v>11</v>
      </c>
      <c r="F112">
        <f t="shared" ca="1" si="5"/>
        <v>29</v>
      </c>
    </row>
    <row r="113" spans="1:6" x14ac:dyDescent="0.3">
      <c r="A113" t="s">
        <v>25</v>
      </c>
      <c r="B113" t="s">
        <v>17</v>
      </c>
      <c r="C113" t="s">
        <v>29</v>
      </c>
      <c r="D113" t="str">
        <f t="shared" si="3"/>
        <v>Channel Partners,Canada,Velo</v>
      </c>
      <c r="E113">
        <f t="shared" ca="1" si="4"/>
        <v>15</v>
      </c>
      <c r="F113">
        <f t="shared" ca="1" si="5"/>
        <v>33</v>
      </c>
    </row>
    <row r="114" spans="1:6" x14ac:dyDescent="0.3">
      <c r="A114" t="s">
        <v>25</v>
      </c>
      <c r="B114" t="s">
        <v>23</v>
      </c>
      <c r="C114" t="s">
        <v>31</v>
      </c>
      <c r="D114" t="str">
        <f t="shared" si="3"/>
        <v>Channel Partners,Mexico,Amarilla</v>
      </c>
      <c r="E114">
        <f t="shared" ca="1" si="4"/>
        <v>11</v>
      </c>
      <c r="F114">
        <f t="shared" ca="1" si="5"/>
        <v>20</v>
      </c>
    </row>
    <row r="115" spans="1:6" x14ac:dyDescent="0.3">
      <c r="A115" t="s">
        <v>27</v>
      </c>
      <c r="B115" t="s">
        <v>36</v>
      </c>
      <c r="C115" t="s">
        <v>18</v>
      </c>
      <c r="D115" t="str">
        <f t="shared" si="3"/>
        <v>Small Business,USA,Carretera</v>
      </c>
      <c r="E115">
        <f t="shared" ca="1" si="4"/>
        <v>14</v>
      </c>
      <c r="F115">
        <f t="shared" ca="1" si="5"/>
        <v>25</v>
      </c>
    </row>
    <row r="116" spans="1:6" x14ac:dyDescent="0.3">
      <c r="A116" t="s">
        <v>16</v>
      </c>
      <c r="B116" t="s">
        <v>23</v>
      </c>
      <c r="C116" t="s">
        <v>24</v>
      </c>
      <c r="D116" t="str">
        <f t="shared" si="3"/>
        <v>Government,Mexico,Montana</v>
      </c>
      <c r="E116">
        <f t="shared" ca="1" si="4"/>
        <v>19</v>
      </c>
      <c r="F116">
        <f t="shared" ca="1" si="5"/>
        <v>20</v>
      </c>
    </row>
    <row r="117" spans="1:6" x14ac:dyDescent="0.3">
      <c r="A117" t="s">
        <v>21</v>
      </c>
      <c r="B117" t="s">
        <v>36</v>
      </c>
      <c r="C117" t="s">
        <v>29</v>
      </c>
      <c r="D117" t="str">
        <f t="shared" si="3"/>
        <v>Midmarket,USA,Velo</v>
      </c>
      <c r="E117">
        <f t="shared" ca="1" si="4"/>
        <v>12</v>
      </c>
      <c r="F117">
        <f t="shared" ca="1" si="5"/>
        <v>34</v>
      </c>
    </row>
    <row r="118" spans="1:6" x14ac:dyDescent="0.3">
      <c r="A118" t="s">
        <v>21</v>
      </c>
      <c r="B118" t="s">
        <v>23</v>
      </c>
      <c r="C118" t="s">
        <v>29</v>
      </c>
      <c r="D118" t="str">
        <f t="shared" si="3"/>
        <v>Midmarket,Mexico,Velo</v>
      </c>
      <c r="E118">
        <f t="shared" ca="1" si="4"/>
        <v>20</v>
      </c>
      <c r="F118">
        <f t="shared" ca="1" si="5"/>
        <v>35</v>
      </c>
    </row>
    <row r="119" spans="1:6" x14ac:dyDescent="0.3">
      <c r="A119" t="s">
        <v>27</v>
      </c>
      <c r="B119" t="s">
        <v>20</v>
      </c>
      <c r="C119" t="s">
        <v>29</v>
      </c>
      <c r="D119" t="str">
        <f t="shared" si="3"/>
        <v>Small Business,Germany,Velo</v>
      </c>
      <c r="E119">
        <f t="shared" ca="1" si="4"/>
        <v>15</v>
      </c>
      <c r="F119">
        <f t="shared" ca="1" si="5"/>
        <v>30</v>
      </c>
    </row>
    <row r="120" spans="1:6" x14ac:dyDescent="0.3">
      <c r="A120" t="s">
        <v>21</v>
      </c>
      <c r="B120" t="s">
        <v>17</v>
      </c>
      <c r="C120" t="s">
        <v>18</v>
      </c>
      <c r="D120" t="str">
        <f t="shared" si="3"/>
        <v>Midmarket,Canada,Carretera</v>
      </c>
      <c r="E120">
        <f t="shared" ca="1" si="4"/>
        <v>10</v>
      </c>
      <c r="F120">
        <f t="shared" ca="1" si="5"/>
        <v>29</v>
      </c>
    </row>
    <row r="121" spans="1:6" x14ac:dyDescent="0.3">
      <c r="A121" t="s">
        <v>25</v>
      </c>
      <c r="B121" t="s">
        <v>23</v>
      </c>
      <c r="C121" t="s">
        <v>18</v>
      </c>
      <c r="D121" t="str">
        <f t="shared" si="3"/>
        <v>Channel Partners,Mexico,Carretera</v>
      </c>
      <c r="E121">
        <f t="shared" ca="1" si="4"/>
        <v>14</v>
      </c>
      <c r="F121">
        <f t="shared" ca="1" si="5"/>
        <v>18</v>
      </c>
    </row>
    <row r="122" spans="1:6" x14ac:dyDescent="0.3">
      <c r="A122" t="s">
        <v>21</v>
      </c>
      <c r="B122" t="s">
        <v>36</v>
      </c>
      <c r="C122" t="s">
        <v>18</v>
      </c>
      <c r="D122" t="str">
        <f t="shared" si="3"/>
        <v>Midmarket,USA,Carretera</v>
      </c>
      <c r="E122">
        <f t="shared" ca="1" si="4"/>
        <v>13</v>
      </c>
      <c r="F122">
        <f t="shared" ca="1" si="5"/>
        <v>21</v>
      </c>
    </row>
    <row r="123" spans="1:6" x14ac:dyDescent="0.3">
      <c r="A123" t="s">
        <v>26</v>
      </c>
      <c r="B123" t="s">
        <v>20</v>
      </c>
      <c r="C123" t="s">
        <v>18</v>
      </c>
      <c r="D123" t="str">
        <f t="shared" si="3"/>
        <v>Enterprise,Germany,Carretera</v>
      </c>
      <c r="E123">
        <f t="shared" ca="1" si="4"/>
        <v>20</v>
      </c>
      <c r="F123">
        <f t="shared" ca="1" si="5"/>
        <v>37</v>
      </c>
    </row>
    <row r="124" spans="1:6" x14ac:dyDescent="0.3">
      <c r="A124" t="s">
        <v>21</v>
      </c>
      <c r="B124" t="s">
        <v>20</v>
      </c>
      <c r="C124" t="s">
        <v>29</v>
      </c>
      <c r="D124" t="str">
        <f t="shared" si="3"/>
        <v>Midmarket,Germany,Velo</v>
      </c>
      <c r="E124">
        <f t="shared" ca="1" si="4"/>
        <v>10</v>
      </c>
      <c r="F124">
        <f t="shared" ca="1" si="5"/>
        <v>25</v>
      </c>
    </row>
    <row r="125" spans="1:6" x14ac:dyDescent="0.3">
      <c r="A125" t="s">
        <v>27</v>
      </c>
      <c r="B125" t="s">
        <v>22</v>
      </c>
      <c r="C125" t="s">
        <v>29</v>
      </c>
      <c r="D125" t="str">
        <f t="shared" si="3"/>
        <v>Small Business,France,Velo</v>
      </c>
      <c r="E125">
        <f t="shared" ca="1" si="4"/>
        <v>17</v>
      </c>
      <c r="F125">
        <f t="shared" ca="1" si="5"/>
        <v>22</v>
      </c>
    </row>
    <row r="126" spans="1:6" x14ac:dyDescent="0.3">
      <c r="A126" t="s">
        <v>21</v>
      </c>
      <c r="B126" t="s">
        <v>17</v>
      </c>
      <c r="C126" t="s">
        <v>30</v>
      </c>
      <c r="D126" t="str">
        <f t="shared" si="3"/>
        <v>Midmarket,Canada,VTT</v>
      </c>
      <c r="E126">
        <f t="shared" ca="1" si="4"/>
        <v>13</v>
      </c>
      <c r="F126">
        <f t="shared" ca="1" si="5"/>
        <v>36</v>
      </c>
    </row>
    <row r="127" spans="1:6" x14ac:dyDescent="0.3">
      <c r="A127" t="s">
        <v>26</v>
      </c>
      <c r="B127" t="s">
        <v>22</v>
      </c>
      <c r="C127" t="s">
        <v>31</v>
      </c>
      <c r="D127" t="str">
        <f t="shared" si="3"/>
        <v>Enterprise,France,Amarilla</v>
      </c>
      <c r="E127">
        <f t="shared" ca="1" si="4"/>
        <v>12</v>
      </c>
      <c r="F127">
        <f t="shared" ca="1" si="5"/>
        <v>34</v>
      </c>
    </row>
    <row r="128" spans="1:6" x14ac:dyDescent="0.3">
      <c r="A128" t="s">
        <v>21</v>
      </c>
      <c r="B128" t="s">
        <v>36</v>
      </c>
      <c r="C128" t="s">
        <v>30</v>
      </c>
      <c r="D128" t="str">
        <f t="shared" si="3"/>
        <v>Midmarket,USA,VTT</v>
      </c>
      <c r="E128">
        <f t="shared" ca="1" si="4"/>
        <v>15</v>
      </c>
      <c r="F128">
        <f t="shared" ca="1" si="5"/>
        <v>27</v>
      </c>
    </row>
    <row r="129" spans="1:6" x14ac:dyDescent="0.3">
      <c r="A129" t="s">
        <v>21</v>
      </c>
      <c r="B129" t="s">
        <v>17</v>
      </c>
      <c r="C129" t="s">
        <v>29</v>
      </c>
      <c r="D129" t="str">
        <f t="shared" si="3"/>
        <v>Midmarket,Canada,Velo</v>
      </c>
      <c r="E129">
        <f t="shared" ca="1" si="4"/>
        <v>20</v>
      </c>
      <c r="F129">
        <f t="shared" ca="1" si="5"/>
        <v>23</v>
      </c>
    </row>
    <row r="130" spans="1:6" x14ac:dyDescent="0.3">
      <c r="A130" t="s">
        <v>27</v>
      </c>
      <c r="B130" t="s">
        <v>22</v>
      </c>
      <c r="C130" t="s">
        <v>18</v>
      </c>
      <c r="D130" t="str">
        <f t="shared" si="3"/>
        <v>Small Business,France,Carretera</v>
      </c>
      <c r="E130">
        <f t="shared" ca="1" si="4"/>
        <v>12</v>
      </c>
      <c r="F130">
        <f t="shared" ca="1" si="5"/>
        <v>31</v>
      </c>
    </row>
    <row r="131" spans="1:6" x14ac:dyDescent="0.3">
      <c r="A131" t="s">
        <v>27</v>
      </c>
      <c r="B131" t="s">
        <v>22</v>
      </c>
      <c r="C131" t="s">
        <v>24</v>
      </c>
      <c r="D131" t="str">
        <f t="shared" ref="D131:D151" si="6">CONCATENATE(A131,",",B131,",",C131)</f>
        <v>Small Business,France,Montana</v>
      </c>
      <c r="E131">
        <f t="shared" ref="E131:E151" ca="1" si="7">RANDBETWEEN(10,20)</f>
        <v>14</v>
      </c>
      <c r="F131">
        <f t="shared" ref="F131:F151" ca="1" si="8">RANDBETWEEN(16,38)</f>
        <v>35</v>
      </c>
    </row>
    <row r="132" spans="1:6" x14ac:dyDescent="0.3">
      <c r="A132" t="s">
        <v>27</v>
      </c>
      <c r="B132" t="s">
        <v>36</v>
      </c>
      <c r="C132" t="s">
        <v>29</v>
      </c>
      <c r="D132" t="str">
        <f t="shared" si="6"/>
        <v>Small Business,USA,Velo</v>
      </c>
      <c r="E132">
        <f t="shared" ca="1" si="7"/>
        <v>13</v>
      </c>
      <c r="F132">
        <f t="shared" ca="1" si="8"/>
        <v>22</v>
      </c>
    </row>
    <row r="133" spans="1:6" x14ac:dyDescent="0.3">
      <c r="A133" t="s">
        <v>25</v>
      </c>
      <c r="B133" t="s">
        <v>17</v>
      </c>
      <c r="C133" t="s">
        <v>30</v>
      </c>
      <c r="D133" t="str">
        <f t="shared" si="6"/>
        <v>Channel Partners,Canada,VTT</v>
      </c>
      <c r="E133">
        <f t="shared" ca="1" si="7"/>
        <v>12</v>
      </c>
      <c r="F133">
        <f t="shared" ca="1" si="8"/>
        <v>27</v>
      </c>
    </row>
    <row r="134" spans="1:6" x14ac:dyDescent="0.3">
      <c r="A134" t="s">
        <v>26</v>
      </c>
      <c r="B134" t="s">
        <v>17</v>
      </c>
      <c r="C134" t="s">
        <v>31</v>
      </c>
      <c r="D134" t="str">
        <f t="shared" si="6"/>
        <v>Enterprise,Canada,Amarilla</v>
      </c>
      <c r="E134">
        <f t="shared" ca="1" si="7"/>
        <v>18</v>
      </c>
      <c r="F134">
        <f t="shared" ca="1" si="8"/>
        <v>27</v>
      </c>
    </row>
    <row r="135" spans="1:6" x14ac:dyDescent="0.3">
      <c r="A135" t="s">
        <v>27</v>
      </c>
      <c r="B135" t="s">
        <v>36</v>
      </c>
      <c r="C135" t="s">
        <v>31</v>
      </c>
      <c r="D135" t="str">
        <f t="shared" si="6"/>
        <v>Small Business,USA,Amarilla</v>
      </c>
      <c r="E135">
        <f t="shared" ca="1" si="7"/>
        <v>13</v>
      </c>
      <c r="F135">
        <f t="shared" ca="1" si="8"/>
        <v>33</v>
      </c>
    </row>
    <row r="136" spans="1:6" x14ac:dyDescent="0.3">
      <c r="A136" t="s">
        <v>26</v>
      </c>
      <c r="B136" t="s">
        <v>23</v>
      </c>
      <c r="C136" t="s">
        <v>18</v>
      </c>
      <c r="D136" t="str">
        <f t="shared" si="6"/>
        <v>Enterprise,Mexico,Carretera</v>
      </c>
      <c r="E136">
        <f t="shared" ca="1" si="7"/>
        <v>17</v>
      </c>
      <c r="F136">
        <f t="shared" ca="1" si="8"/>
        <v>23</v>
      </c>
    </row>
    <row r="137" spans="1:6" x14ac:dyDescent="0.3">
      <c r="A137" t="s">
        <v>21</v>
      </c>
      <c r="B137" t="s">
        <v>22</v>
      </c>
      <c r="C137" t="s">
        <v>24</v>
      </c>
      <c r="D137" t="str">
        <f t="shared" si="6"/>
        <v>Midmarket,France,Montana</v>
      </c>
      <c r="E137">
        <f t="shared" ca="1" si="7"/>
        <v>13</v>
      </c>
      <c r="F137">
        <f t="shared" ca="1" si="8"/>
        <v>37</v>
      </c>
    </row>
    <row r="138" spans="1:6" x14ac:dyDescent="0.3">
      <c r="A138" t="s">
        <v>27</v>
      </c>
      <c r="B138" t="s">
        <v>17</v>
      </c>
      <c r="C138" t="s">
        <v>24</v>
      </c>
      <c r="D138" t="str">
        <f t="shared" si="6"/>
        <v>Small Business,Canada,Montana</v>
      </c>
      <c r="E138">
        <f t="shared" ca="1" si="7"/>
        <v>17</v>
      </c>
      <c r="F138">
        <f t="shared" ca="1" si="8"/>
        <v>21</v>
      </c>
    </row>
    <row r="139" spans="1:6" x14ac:dyDescent="0.3">
      <c r="A139" t="s">
        <v>27</v>
      </c>
      <c r="B139" t="s">
        <v>23</v>
      </c>
      <c r="C139" t="s">
        <v>29</v>
      </c>
      <c r="D139" t="str">
        <f t="shared" si="6"/>
        <v>Small Business,Mexico,Velo</v>
      </c>
      <c r="E139">
        <f t="shared" ca="1" si="7"/>
        <v>19</v>
      </c>
      <c r="F139">
        <f t="shared" ca="1" si="8"/>
        <v>32</v>
      </c>
    </row>
    <row r="140" spans="1:6" x14ac:dyDescent="0.3">
      <c r="A140" t="s">
        <v>21</v>
      </c>
      <c r="B140" t="s">
        <v>20</v>
      </c>
      <c r="C140" t="s">
        <v>31</v>
      </c>
      <c r="D140" t="str">
        <f t="shared" si="6"/>
        <v>Midmarket,Germany,Amarilla</v>
      </c>
      <c r="E140">
        <f t="shared" ca="1" si="7"/>
        <v>18</v>
      </c>
      <c r="F140">
        <f t="shared" ca="1" si="8"/>
        <v>28</v>
      </c>
    </row>
    <row r="141" spans="1:6" x14ac:dyDescent="0.3">
      <c r="A141" t="s">
        <v>27</v>
      </c>
      <c r="B141" t="s">
        <v>17</v>
      </c>
      <c r="C141" t="s">
        <v>18</v>
      </c>
      <c r="D141" t="str">
        <f t="shared" si="6"/>
        <v>Small Business,Canada,Carretera</v>
      </c>
      <c r="E141">
        <f t="shared" ca="1" si="7"/>
        <v>16</v>
      </c>
      <c r="F141">
        <f t="shared" ca="1" si="8"/>
        <v>20</v>
      </c>
    </row>
    <row r="142" spans="1:6" x14ac:dyDescent="0.3">
      <c r="A142" t="s">
        <v>27</v>
      </c>
      <c r="B142" t="s">
        <v>17</v>
      </c>
      <c r="C142" t="s">
        <v>29</v>
      </c>
      <c r="D142" t="str">
        <f t="shared" si="6"/>
        <v>Small Business,Canada,Velo</v>
      </c>
      <c r="E142">
        <f t="shared" ca="1" si="7"/>
        <v>14</v>
      </c>
      <c r="F142">
        <f t="shared" ca="1" si="8"/>
        <v>30</v>
      </c>
    </row>
    <row r="143" spans="1:6" x14ac:dyDescent="0.3">
      <c r="A143" t="s">
        <v>25</v>
      </c>
      <c r="B143" t="s">
        <v>36</v>
      </c>
      <c r="C143" t="s">
        <v>30</v>
      </c>
      <c r="D143" t="str">
        <f t="shared" si="6"/>
        <v>Channel Partners,USA,VTT</v>
      </c>
      <c r="E143">
        <f t="shared" ca="1" si="7"/>
        <v>20</v>
      </c>
      <c r="F143">
        <f t="shared" ca="1" si="8"/>
        <v>38</v>
      </c>
    </row>
    <row r="144" spans="1:6" x14ac:dyDescent="0.3">
      <c r="A144" t="s">
        <v>21</v>
      </c>
      <c r="B144" t="s">
        <v>17</v>
      </c>
      <c r="C144" t="s">
        <v>31</v>
      </c>
      <c r="D144" t="str">
        <f t="shared" si="6"/>
        <v>Midmarket,Canada,Amarilla</v>
      </c>
      <c r="E144">
        <f t="shared" ca="1" si="7"/>
        <v>16</v>
      </c>
      <c r="F144">
        <f t="shared" ca="1" si="8"/>
        <v>32</v>
      </c>
    </row>
    <row r="145" spans="1:6" x14ac:dyDescent="0.3">
      <c r="A145" t="s">
        <v>25</v>
      </c>
      <c r="B145" t="s">
        <v>22</v>
      </c>
      <c r="C145" t="s">
        <v>31</v>
      </c>
      <c r="D145" t="str">
        <f t="shared" si="6"/>
        <v>Channel Partners,France,Amarilla</v>
      </c>
      <c r="E145">
        <f t="shared" ca="1" si="7"/>
        <v>15</v>
      </c>
      <c r="F145">
        <f t="shared" ca="1" si="8"/>
        <v>24</v>
      </c>
    </row>
    <row r="146" spans="1:6" x14ac:dyDescent="0.3">
      <c r="A146" t="s">
        <v>26</v>
      </c>
      <c r="B146" t="s">
        <v>36</v>
      </c>
      <c r="C146" t="s">
        <v>31</v>
      </c>
      <c r="D146" t="str">
        <f t="shared" si="6"/>
        <v>Enterprise,USA,Amarilla</v>
      </c>
      <c r="E146">
        <f t="shared" ca="1" si="7"/>
        <v>15</v>
      </c>
      <c r="F146">
        <f t="shared" ca="1" si="8"/>
        <v>32</v>
      </c>
    </row>
    <row r="147" spans="1:6" x14ac:dyDescent="0.3">
      <c r="A147" t="s">
        <v>25</v>
      </c>
      <c r="B147" t="s">
        <v>17</v>
      </c>
      <c r="C147" t="s">
        <v>31</v>
      </c>
      <c r="D147" t="str">
        <f t="shared" si="6"/>
        <v>Channel Partners,Canada,Amarilla</v>
      </c>
      <c r="E147">
        <f t="shared" ca="1" si="7"/>
        <v>13</v>
      </c>
      <c r="F147">
        <f t="shared" ca="1" si="8"/>
        <v>19</v>
      </c>
    </row>
    <row r="148" spans="1:6" x14ac:dyDescent="0.3">
      <c r="A148" t="s">
        <v>25</v>
      </c>
      <c r="B148" t="s">
        <v>20</v>
      </c>
      <c r="C148" t="s">
        <v>31</v>
      </c>
      <c r="D148" t="str">
        <f t="shared" si="6"/>
        <v>Channel Partners,Germany,Amarilla</v>
      </c>
      <c r="E148">
        <f t="shared" ca="1" si="7"/>
        <v>15</v>
      </c>
      <c r="F148">
        <f t="shared" ca="1" si="8"/>
        <v>22</v>
      </c>
    </row>
    <row r="149" spans="1:6" x14ac:dyDescent="0.3">
      <c r="A149" t="s">
        <v>27</v>
      </c>
      <c r="B149" t="s">
        <v>22</v>
      </c>
      <c r="C149" t="s">
        <v>31</v>
      </c>
      <c r="D149" t="str">
        <f t="shared" si="6"/>
        <v>Small Business,France,Amarilla</v>
      </c>
      <c r="E149">
        <f t="shared" ca="1" si="7"/>
        <v>10</v>
      </c>
      <c r="F149">
        <f t="shared" ca="1" si="8"/>
        <v>38</v>
      </c>
    </row>
    <row r="150" spans="1:6" x14ac:dyDescent="0.3">
      <c r="A150" t="s">
        <v>21</v>
      </c>
      <c r="B150" t="s">
        <v>23</v>
      </c>
      <c r="C150" t="s">
        <v>31</v>
      </c>
      <c r="D150" t="str">
        <f t="shared" si="6"/>
        <v>Midmarket,Mexico,Amarilla</v>
      </c>
      <c r="E150">
        <f t="shared" ca="1" si="7"/>
        <v>13</v>
      </c>
      <c r="F150">
        <f t="shared" ca="1" si="8"/>
        <v>29</v>
      </c>
    </row>
    <row r="151" spans="1:6" x14ac:dyDescent="0.3">
      <c r="A151" t="s">
        <v>21</v>
      </c>
      <c r="B151" t="s">
        <v>22</v>
      </c>
      <c r="C151" t="s">
        <v>29</v>
      </c>
      <c r="D151" t="str">
        <f t="shared" si="6"/>
        <v>Midmarket,France,Velo</v>
      </c>
      <c r="E151">
        <f t="shared" ca="1" si="7"/>
        <v>12</v>
      </c>
      <c r="F151">
        <f t="shared" ca="1" si="8"/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5FDD-84AB-4DB9-8908-C53412D4DB33}">
  <dimension ref="A1:Q1401"/>
  <sheetViews>
    <sheetView zoomScale="70" zoomScaleNormal="70" workbookViewId="0"/>
  </sheetViews>
  <sheetFormatPr defaultRowHeight="14.4" x14ac:dyDescent="0.3"/>
  <cols>
    <col min="1" max="1" width="16.33203125" bestFit="1" customWidth="1"/>
    <col min="3" max="3" width="9.33203125" bestFit="1" customWidth="1"/>
    <col min="4" max="4" width="33.88671875" bestFit="1" customWidth="1"/>
    <col min="5" max="5" width="13.77734375" bestFit="1" customWidth="1"/>
    <col min="6" max="6" width="10" bestFit="1" customWidth="1"/>
    <col min="7" max="7" width="19.33203125" bestFit="1" customWidth="1"/>
    <col min="8" max="8" width="9.6640625" bestFit="1" customWidth="1"/>
    <col min="9" max="9" width="11.21875" bestFit="1" customWidth="1"/>
    <col min="10" max="10" width="9.77734375" bestFit="1" customWidth="1"/>
    <col min="11" max="11" width="10" bestFit="1" customWidth="1"/>
    <col min="12" max="12" width="6.6640625" bestFit="1" customWidth="1"/>
    <col min="13" max="13" width="10" bestFit="1" customWidth="1"/>
    <col min="14" max="14" width="6.6640625" bestFit="1" customWidth="1"/>
    <col min="15" max="15" width="14.109375" bestFit="1" customWidth="1"/>
    <col min="16" max="16" width="12.21875" bestFit="1" customWidth="1"/>
    <col min="17" max="17" width="5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t="s">
        <v>17</v>
      </c>
      <c r="C2" t="s">
        <v>18</v>
      </c>
      <c r="D2" t="s">
        <v>37</v>
      </c>
      <c r="E2" t="s">
        <v>19</v>
      </c>
      <c r="F2">
        <v>477</v>
      </c>
      <c r="G2">
        <v>12</v>
      </c>
      <c r="H2">
        <v>29</v>
      </c>
      <c r="I2">
        <v>13833</v>
      </c>
      <c r="J2">
        <v>691.65000000000009</v>
      </c>
      <c r="K2">
        <v>13141.35</v>
      </c>
      <c r="L2">
        <v>5724</v>
      </c>
      <c r="M2">
        <v>7417.35</v>
      </c>
      <c r="N2">
        <v>45150</v>
      </c>
      <c r="O2">
        <v>8</v>
      </c>
      <c r="P2" t="s">
        <v>62</v>
      </c>
      <c r="Q2">
        <v>2023</v>
      </c>
    </row>
    <row r="3" spans="1:17" x14ac:dyDescent="0.3">
      <c r="A3" t="s">
        <v>16</v>
      </c>
      <c r="B3" t="s">
        <v>20</v>
      </c>
      <c r="C3" t="s">
        <v>18</v>
      </c>
      <c r="D3" t="s">
        <v>39</v>
      </c>
      <c r="E3" t="s">
        <v>19</v>
      </c>
      <c r="F3">
        <v>418</v>
      </c>
      <c r="G3">
        <v>19</v>
      </c>
      <c r="H3">
        <v>19</v>
      </c>
      <c r="I3">
        <v>7942</v>
      </c>
      <c r="J3">
        <v>397.1</v>
      </c>
      <c r="K3">
        <v>7544.9</v>
      </c>
      <c r="L3">
        <v>7942</v>
      </c>
      <c r="M3">
        <v>-397.10000000000036</v>
      </c>
      <c r="N3">
        <v>45694</v>
      </c>
      <c r="O3">
        <v>2</v>
      </c>
      <c r="P3" t="s">
        <v>52</v>
      </c>
      <c r="Q3">
        <v>2025</v>
      </c>
    </row>
    <row r="4" spans="1:17" x14ac:dyDescent="0.3">
      <c r="A4" t="s">
        <v>21</v>
      </c>
      <c r="B4" t="s">
        <v>22</v>
      </c>
      <c r="C4" t="s">
        <v>18</v>
      </c>
      <c r="D4" t="s">
        <v>41</v>
      </c>
      <c r="E4" t="s">
        <v>19</v>
      </c>
      <c r="F4">
        <v>520</v>
      </c>
      <c r="G4">
        <v>16</v>
      </c>
      <c r="H4">
        <v>22</v>
      </c>
      <c r="I4">
        <v>11440</v>
      </c>
      <c r="J4">
        <v>572</v>
      </c>
      <c r="K4">
        <v>10868</v>
      </c>
      <c r="L4">
        <v>8320</v>
      </c>
      <c r="M4">
        <v>2548</v>
      </c>
      <c r="N4">
        <v>45194</v>
      </c>
      <c r="O4">
        <v>9</v>
      </c>
      <c r="P4" t="s">
        <v>40</v>
      </c>
      <c r="Q4">
        <v>2023</v>
      </c>
    </row>
    <row r="5" spans="1:17" x14ac:dyDescent="0.3">
      <c r="A5" t="s">
        <v>21</v>
      </c>
      <c r="B5" t="s">
        <v>20</v>
      </c>
      <c r="C5" t="s">
        <v>18</v>
      </c>
      <c r="D5" t="s">
        <v>42</v>
      </c>
      <c r="E5" t="s">
        <v>19</v>
      </c>
      <c r="F5">
        <v>405</v>
      </c>
      <c r="G5">
        <v>14</v>
      </c>
      <c r="H5">
        <v>21</v>
      </c>
      <c r="I5">
        <v>8505</v>
      </c>
      <c r="J5">
        <v>425.25</v>
      </c>
      <c r="K5">
        <v>8079.75</v>
      </c>
      <c r="L5">
        <v>5670</v>
      </c>
      <c r="M5">
        <v>2409.75</v>
      </c>
      <c r="N5">
        <v>45343</v>
      </c>
      <c r="O5">
        <v>2</v>
      </c>
      <c r="P5" t="s">
        <v>52</v>
      </c>
      <c r="Q5">
        <v>2024</v>
      </c>
    </row>
    <row r="6" spans="1:17" x14ac:dyDescent="0.3">
      <c r="A6" t="s">
        <v>21</v>
      </c>
      <c r="B6" t="s">
        <v>23</v>
      </c>
      <c r="C6" t="s">
        <v>18</v>
      </c>
      <c r="D6" t="s">
        <v>44</v>
      </c>
      <c r="E6" t="s">
        <v>19</v>
      </c>
      <c r="F6">
        <v>97</v>
      </c>
      <c r="G6">
        <v>14</v>
      </c>
      <c r="H6">
        <v>20</v>
      </c>
      <c r="I6">
        <v>1940</v>
      </c>
      <c r="J6">
        <v>97</v>
      </c>
      <c r="K6">
        <v>1843</v>
      </c>
      <c r="L6">
        <v>1358</v>
      </c>
      <c r="M6">
        <v>485</v>
      </c>
      <c r="N6">
        <v>45042</v>
      </c>
      <c r="O6">
        <v>4</v>
      </c>
      <c r="P6" t="s">
        <v>75</v>
      </c>
      <c r="Q6">
        <v>2023</v>
      </c>
    </row>
    <row r="7" spans="1:17" x14ac:dyDescent="0.3">
      <c r="A7" t="s">
        <v>16</v>
      </c>
      <c r="B7" t="s">
        <v>20</v>
      </c>
      <c r="C7" t="s">
        <v>18</v>
      </c>
      <c r="D7" t="s">
        <v>39</v>
      </c>
      <c r="E7" t="s">
        <v>19</v>
      </c>
      <c r="F7">
        <v>818</v>
      </c>
      <c r="G7">
        <v>19</v>
      </c>
      <c r="H7">
        <v>19</v>
      </c>
      <c r="I7">
        <v>15542</v>
      </c>
      <c r="J7">
        <v>777.1</v>
      </c>
      <c r="K7">
        <v>14764.9</v>
      </c>
      <c r="L7">
        <v>15542</v>
      </c>
      <c r="M7">
        <v>-777.10000000000036</v>
      </c>
      <c r="N7">
        <v>45690</v>
      </c>
      <c r="O7">
        <v>2</v>
      </c>
      <c r="P7" t="s">
        <v>52</v>
      </c>
      <c r="Q7">
        <v>2025</v>
      </c>
    </row>
    <row r="8" spans="1:17" x14ac:dyDescent="0.3">
      <c r="A8" t="s">
        <v>21</v>
      </c>
      <c r="B8" t="s">
        <v>20</v>
      </c>
      <c r="C8" t="s">
        <v>24</v>
      </c>
      <c r="D8" t="s">
        <v>47</v>
      </c>
      <c r="E8" t="s">
        <v>19</v>
      </c>
      <c r="F8">
        <v>806</v>
      </c>
      <c r="G8">
        <v>17</v>
      </c>
      <c r="H8">
        <v>16</v>
      </c>
      <c r="I8">
        <v>12896</v>
      </c>
      <c r="J8">
        <v>644.80000000000007</v>
      </c>
      <c r="K8">
        <v>12251.2</v>
      </c>
      <c r="L8">
        <v>13702</v>
      </c>
      <c r="M8">
        <v>-1450.7999999999993</v>
      </c>
      <c r="N8">
        <v>45058</v>
      </c>
      <c r="O8">
        <v>5</v>
      </c>
      <c r="P8" t="s">
        <v>46</v>
      </c>
      <c r="Q8">
        <v>2023</v>
      </c>
    </row>
    <row r="9" spans="1:17" x14ac:dyDescent="0.3">
      <c r="A9" t="s">
        <v>25</v>
      </c>
      <c r="B9" t="s">
        <v>17</v>
      </c>
      <c r="C9" t="s">
        <v>24</v>
      </c>
      <c r="D9" t="s">
        <v>49</v>
      </c>
      <c r="E9" t="s">
        <v>19</v>
      </c>
      <c r="F9">
        <v>170</v>
      </c>
      <c r="G9">
        <v>13</v>
      </c>
      <c r="H9">
        <v>33</v>
      </c>
      <c r="I9">
        <v>5610</v>
      </c>
      <c r="J9">
        <v>280.5</v>
      </c>
      <c r="K9">
        <v>5329.5</v>
      </c>
      <c r="L9">
        <v>2210</v>
      </c>
      <c r="M9">
        <v>3119.5</v>
      </c>
      <c r="N9">
        <v>45103</v>
      </c>
      <c r="O9">
        <v>6</v>
      </c>
      <c r="P9" t="s">
        <v>45</v>
      </c>
      <c r="Q9">
        <v>2023</v>
      </c>
    </row>
    <row r="10" spans="1:17" x14ac:dyDescent="0.3">
      <c r="A10" t="s">
        <v>16</v>
      </c>
      <c r="B10" t="s">
        <v>22</v>
      </c>
      <c r="C10" t="s">
        <v>24</v>
      </c>
      <c r="D10" t="s">
        <v>50</v>
      </c>
      <c r="E10" t="s">
        <v>19</v>
      </c>
      <c r="F10">
        <v>692</v>
      </c>
      <c r="G10">
        <v>12</v>
      </c>
      <c r="H10">
        <v>35</v>
      </c>
      <c r="I10">
        <v>24220</v>
      </c>
      <c r="J10">
        <v>1211</v>
      </c>
      <c r="K10">
        <v>23009</v>
      </c>
      <c r="L10">
        <v>8304</v>
      </c>
      <c r="M10">
        <v>14705</v>
      </c>
      <c r="N10">
        <v>45663</v>
      </c>
      <c r="O10">
        <v>1</v>
      </c>
      <c r="P10" t="s">
        <v>58</v>
      </c>
      <c r="Q10">
        <v>2025</v>
      </c>
    </row>
    <row r="11" spans="1:17" x14ac:dyDescent="0.3">
      <c r="A11" t="s">
        <v>25</v>
      </c>
      <c r="B11" t="s">
        <v>20</v>
      </c>
      <c r="C11" t="s">
        <v>24</v>
      </c>
      <c r="D11" t="s">
        <v>51</v>
      </c>
      <c r="E11" t="s">
        <v>19</v>
      </c>
      <c r="F11">
        <v>711</v>
      </c>
      <c r="G11">
        <v>11</v>
      </c>
      <c r="H11">
        <v>28</v>
      </c>
      <c r="I11">
        <v>19908</v>
      </c>
      <c r="J11">
        <v>995.40000000000009</v>
      </c>
      <c r="K11">
        <v>18912.599999999999</v>
      </c>
      <c r="L11">
        <v>7821</v>
      </c>
      <c r="M11">
        <v>11091.599999999999</v>
      </c>
      <c r="N11">
        <v>45492</v>
      </c>
      <c r="O11">
        <v>7</v>
      </c>
      <c r="P11" t="s">
        <v>48</v>
      </c>
      <c r="Q11">
        <v>2024</v>
      </c>
    </row>
    <row r="12" spans="1:17" x14ac:dyDescent="0.3">
      <c r="A12" t="s">
        <v>21</v>
      </c>
      <c r="B12" t="s">
        <v>23</v>
      </c>
      <c r="C12" t="s">
        <v>24</v>
      </c>
      <c r="D12" t="s">
        <v>53</v>
      </c>
      <c r="E12" t="s">
        <v>19</v>
      </c>
      <c r="F12">
        <v>101</v>
      </c>
      <c r="G12">
        <v>16</v>
      </c>
      <c r="H12">
        <v>18</v>
      </c>
      <c r="I12">
        <v>1818</v>
      </c>
      <c r="J12">
        <v>90.9</v>
      </c>
      <c r="K12">
        <v>1727.1</v>
      </c>
      <c r="L12">
        <v>1616</v>
      </c>
      <c r="M12">
        <v>111.09999999999991</v>
      </c>
      <c r="N12">
        <v>45145</v>
      </c>
      <c r="O12">
        <v>8</v>
      </c>
      <c r="P12" t="s">
        <v>62</v>
      </c>
      <c r="Q12">
        <v>2023</v>
      </c>
    </row>
    <row r="13" spans="1:17" x14ac:dyDescent="0.3">
      <c r="A13" t="s">
        <v>26</v>
      </c>
      <c r="B13" t="s">
        <v>17</v>
      </c>
      <c r="C13" t="s">
        <v>24</v>
      </c>
      <c r="D13" t="s">
        <v>54</v>
      </c>
      <c r="E13" t="s">
        <v>19</v>
      </c>
      <c r="F13">
        <v>654</v>
      </c>
      <c r="G13">
        <v>11</v>
      </c>
      <c r="H13">
        <v>28</v>
      </c>
      <c r="I13">
        <v>18312</v>
      </c>
      <c r="J13">
        <v>915.6</v>
      </c>
      <c r="K13">
        <v>17396.400000000001</v>
      </c>
      <c r="L13">
        <v>7194</v>
      </c>
      <c r="M13">
        <v>10202.400000000001</v>
      </c>
      <c r="N13">
        <v>45529</v>
      </c>
      <c r="O13">
        <v>8</v>
      </c>
      <c r="P13" t="s">
        <v>62</v>
      </c>
      <c r="Q13">
        <v>2024</v>
      </c>
    </row>
    <row r="14" spans="1:17" x14ac:dyDescent="0.3">
      <c r="A14" t="s">
        <v>27</v>
      </c>
      <c r="B14" t="s">
        <v>23</v>
      </c>
      <c r="C14" t="s">
        <v>24</v>
      </c>
      <c r="D14" t="s">
        <v>56</v>
      </c>
      <c r="E14" t="s">
        <v>19</v>
      </c>
      <c r="F14">
        <v>866</v>
      </c>
      <c r="G14">
        <v>16</v>
      </c>
      <c r="H14">
        <v>23</v>
      </c>
      <c r="I14">
        <v>19918</v>
      </c>
      <c r="J14">
        <v>995.90000000000009</v>
      </c>
      <c r="K14">
        <v>18922.099999999999</v>
      </c>
      <c r="L14">
        <v>13856</v>
      </c>
      <c r="M14">
        <v>5066.0999999999985</v>
      </c>
      <c r="N14">
        <v>45569</v>
      </c>
      <c r="O14">
        <v>10</v>
      </c>
      <c r="P14" t="s">
        <v>55</v>
      </c>
      <c r="Q14">
        <v>2024</v>
      </c>
    </row>
    <row r="15" spans="1:17" x14ac:dyDescent="0.3">
      <c r="A15" t="s">
        <v>16</v>
      </c>
      <c r="B15" t="s">
        <v>20</v>
      </c>
      <c r="C15" t="s">
        <v>24</v>
      </c>
      <c r="D15" t="s">
        <v>57</v>
      </c>
      <c r="E15" t="s">
        <v>19</v>
      </c>
      <c r="F15">
        <v>605</v>
      </c>
      <c r="G15">
        <v>16</v>
      </c>
      <c r="H15">
        <v>31</v>
      </c>
      <c r="I15">
        <v>18755</v>
      </c>
      <c r="J15">
        <v>937.75</v>
      </c>
      <c r="K15">
        <v>17817.25</v>
      </c>
      <c r="L15">
        <v>9680</v>
      </c>
      <c r="M15">
        <v>8137.25</v>
      </c>
      <c r="N15">
        <v>45406</v>
      </c>
      <c r="O15">
        <v>4</v>
      </c>
      <c r="P15" t="s">
        <v>75</v>
      </c>
      <c r="Q15">
        <v>2024</v>
      </c>
    </row>
    <row r="16" spans="1:17" x14ac:dyDescent="0.3">
      <c r="A16" t="s">
        <v>26</v>
      </c>
      <c r="B16" t="s">
        <v>17</v>
      </c>
      <c r="C16" t="s">
        <v>24</v>
      </c>
      <c r="D16" t="s">
        <v>54</v>
      </c>
      <c r="E16" t="s">
        <v>19</v>
      </c>
      <c r="F16">
        <v>343</v>
      </c>
      <c r="G16">
        <v>11</v>
      </c>
      <c r="H16">
        <v>28</v>
      </c>
      <c r="I16">
        <v>9604</v>
      </c>
      <c r="J16">
        <v>480.20000000000005</v>
      </c>
      <c r="K16">
        <v>9123.7999999999993</v>
      </c>
      <c r="L16">
        <v>3773</v>
      </c>
      <c r="M16">
        <v>5350.7999999999993</v>
      </c>
      <c r="N16">
        <v>45581</v>
      </c>
      <c r="O16">
        <v>10</v>
      </c>
      <c r="P16" t="s">
        <v>55</v>
      </c>
      <c r="Q16">
        <v>2024</v>
      </c>
    </row>
    <row r="17" spans="1:17" x14ac:dyDescent="0.3">
      <c r="A17" t="s">
        <v>21</v>
      </c>
      <c r="B17" t="s">
        <v>36</v>
      </c>
      <c r="C17" t="s">
        <v>24</v>
      </c>
      <c r="D17" t="s">
        <v>59</v>
      </c>
      <c r="E17" t="s">
        <v>19</v>
      </c>
      <c r="F17">
        <v>855</v>
      </c>
      <c r="G17">
        <v>10</v>
      </c>
      <c r="H17">
        <v>19</v>
      </c>
      <c r="I17">
        <v>16245</v>
      </c>
      <c r="J17">
        <v>812.25</v>
      </c>
      <c r="K17">
        <v>15432.75</v>
      </c>
      <c r="L17">
        <v>8550</v>
      </c>
      <c r="M17">
        <v>6882.75</v>
      </c>
      <c r="N17">
        <v>45114</v>
      </c>
      <c r="O17">
        <v>7</v>
      </c>
      <c r="P17" t="s">
        <v>48</v>
      </c>
      <c r="Q17">
        <v>2023</v>
      </c>
    </row>
    <row r="18" spans="1:17" x14ac:dyDescent="0.3">
      <c r="A18" t="s">
        <v>16</v>
      </c>
      <c r="B18" t="s">
        <v>17</v>
      </c>
      <c r="C18" t="s">
        <v>28</v>
      </c>
      <c r="D18" t="s">
        <v>60</v>
      </c>
      <c r="E18" t="s">
        <v>19</v>
      </c>
      <c r="F18">
        <v>281</v>
      </c>
      <c r="G18">
        <v>17</v>
      </c>
      <c r="H18">
        <v>38</v>
      </c>
      <c r="I18">
        <v>10678</v>
      </c>
      <c r="J18">
        <v>533.9</v>
      </c>
      <c r="K18">
        <v>10144.1</v>
      </c>
      <c r="L18">
        <v>4777</v>
      </c>
      <c r="M18">
        <v>5367.1</v>
      </c>
      <c r="N18">
        <v>45494</v>
      </c>
      <c r="O18">
        <v>7</v>
      </c>
      <c r="P18" t="s">
        <v>48</v>
      </c>
      <c r="Q18">
        <v>2024</v>
      </c>
    </row>
    <row r="19" spans="1:17" x14ac:dyDescent="0.3">
      <c r="A19" t="s">
        <v>21</v>
      </c>
      <c r="B19" t="s">
        <v>23</v>
      </c>
      <c r="C19" t="s">
        <v>28</v>
      </c>
      <c r="D19" t="s">
        <v>61</v>
      </c>
      <c r="E19" t="s">
        <v>19</v>
      </c>
      <c r="F19">
        <v>584</v>
      </c>
      <c r="G19">
        <v>13</v>
      </c>
      <c r="H19">
        <v>33</v>
      </c>
      <c r="I19">
        <v>19272</v>
      </c>
      <c r="J19">
        <v>963.6</v>
      </c>
      <c r="K19">
        <v>18308.400000000001</v>
      </c>
      <c r="L19">
        <v>7592</v>
      </c>
      <c r="M19">
        <v>10716.400000000001</v>
      </c>
      <c r="N19">
        <v>45559</v>
      </c>
      <c r="O19">
        <v>9</v>
      </c>
      <c r="P19" t="s">
        <v>40</v>
      </c>
      <c r="Q19">
        <v>2024</v>
      </c>
    </row>
    <row r="20" spans="1:17" x14ac:dyDescent="0.3">
      <c r="A20" t="s">
        <v>25</v>
      </c>
      <c r="B20" t="s">
        <v>17</v>
      </c>
      <c r="C20" t="s">
        <v>28</v>
      </c>
      <c r="D20" t="s">
        <v>63</v>
      </c>
      <c r="E20" t="s">
        <v>19</v>
      </c>
      <c r="F20">
        <v>49</v>
      </c>
      <c r="G20">
        <v>11</v>
      </c>
      <c r="H20">
        <v>21</v>
      </c>
      <c r="I20">
        <v>1029</v>
      </c>
      <c r="J20">
        <v>51.45</v>
      </c>
      <c r="K20">
        <v>977.55</v>
      </c>
      <c r="L20">
        <v>539</v>
      </c>
      <c r="M20">
        <v>438.54999999999995</v>
      </c>
      <c r="N20">
        <v>45188</v>
      </c>
      <c r="O20">
        <v>9</v>
      </c>
      <c r="P20" t="s">
        <v>40</v>
      </c>
      <c r="Q20">
        <v>2023</v>
      </c>
    </row>
    <row r="21" spans="1:17" x14ac:dyDescent="0.3">
      <c r="A21" t="s">
        <v>16</v>
      </c>
      <c r="B21" t="s">
        <v>20</v>
      </c>
      <c r="C21" t="s">
        <v>28</v>
      </c>
      <c r="D21" t="s">
        <v>64</v>
      </c>
      <c r="E21" t="s">
        <v>19</v>
      </c>
      <c r="F21">
        <v>170</v>
      </c>
      <c r="G21">
        <v>14</v>
      </c>
      <c r="H21">
        <v>22</v>
      </c>
      <c r="I21">
        <v>3740</v>
      </c>
      <c r="J21">
        <v>187</v>
      </c>
      <c r="K21">
        <v>3553</v>
      </c>
      <c r="L21">
        <v>2380</v>
      </c>
      <c r="M21">
        <v>1173</v>
      </c>
      <c r="N21">
        <v>45340</v>
      </c>
      <c r="O21">
        <v>2</v>
      </c>
      <c r="P21" t="s">
        <v>52</v>
      </c>
      <c r="Q21">
        <v>2024</v>
      </c>
    </row>
    <row r="22" spans="1:17" x14ac:dyDescent="0.3">
      <c r="A22" t="s">
        <v>25</v>
      </c>
      <c r="B22" t="s">
        <v>20</v>
      </c>
      <c r="C22" t="s">
        <v>28</v>
      </c>
      <c r="D22" t="s">
        <v>65</v>
      </c>
      <c r="E22" t="s">
        <v>19</v>
      </c>
      <c r="F22">
        <v>992</v>
      </c>
      <c r="G22">
        <v>16</v>
      </c>
      <c r="H22">
        <v>24</v>
      </c>
      <c r="I22">
        <v>23808</v>
      </c>
      <c r="J22">
        <v>1190.4000000000001</v>
      </c>
      <c r="K22">
        <v>22617.599999999999</v>
      </c>
      <c r="L22">
        <v>15872</v>
      </c>
      <c r="M22">
        <v>6745.5999999999985</v>
      </c>
      <c r="N22">
        <v>45729</v>
      </c>
      <c r="O22">
        <v>3</v>
      </c>
      <c r="P22" t="s">
        <v>38</v>
      </c>
      <c r="Q22">
        <v>2025</v>
      </c>
    </row>
    <row r="23" spans="1:17" x14ac:dyDescent="0.3">
      <c r="A23" t="s">
        <v>16</v>
      </c>
      <c r="B23" t="s">
        <v>23</v>
      </c>
      <c r="C23" t="s">
        <v>28</v>
      </c>
      <c r="D23" t="s">
        <v>66</v>
      </c>
      <c r="E23" t="s">
        <v>19</v>
      </c>
      <c r="F23">
        <v>125</v>
      </c>
      <c r="G23">
        <v>11</v>
      </c>
      <c r="H23">
        <v>21</v>
      </c>
      <c r="I23">
        <v>2625</v>
      </c>
      <c r="J23">
        <v>131.25</v>
      </c>
      <c r="K23">
        <v>2493.75</v>
      </c>
      <c r="L23">
        <v>1375</v>
      </c>
      <c r="M23">
        <v>1118.75</v>
      </c>
      <c r="N23">
        <v>45098</v>
      </c>
      <c r="O23">
        <v>6</v>
      </c>
      <c r="P23" t="s">
        <v>45</v>
      </c>
      <c r="Q23">
        <v>2023</v>
      </c>
    </row>
    <row r="24" spans="1:17" x14ac:dyDescent="0.3">
      <c r="A24" t="s">
        <v>21</v>
      </c>
      <c r="B24" t="s">
        <v>22</v>
      </c>
      <c r="C24" t="s">
        <v>28</v>
      </c>
      <c r="D24" t="s">
        <v>67</v>
      </c>
      <c r="E24" t="s">
        <v>19</v>
      </c>
      <c r="F24">
        <v>774</v>
      </c>
      <c r="G24">
        <v>16</v>
      </c>
      <c r="H24">
        <v>27</v>
      </c>
      <c r="I24">
        <v>20898</v>
      </c>
      <c r="J24">
        <v>1044.9000000000001</v>
      </c>
      <c r="K24">
        <v>19853.099999999999</v>
      </c>
      <c r="L24">
        <v>12384</v>
      </c>
      <c r="M24">
        <v>7469.0999999999985</v>
      </c>
      <c r="N24">
        <v>45607</v>
      </c>
      <c r="O24">
        <v>11</v>
      </c>
      <c r="P24" t="s">
        <v>43</v>
      </c>
      <c r="Q24">
        <v>2024</v>
      </c>
    </row>
    <row r="25" spans="1:17" x14ac:dyDescent="0.3">
      <c r="A25" t="s">
        <v>27</v>
      </c>
      <c r="B25" t="s">
        <v>23</v>
      </c>
      <c r="C25" t="s">
        <v>28</v>
      </c>
      <c r="D25" t="s">
        <v>68</v>
      </c>
      <c r="E25" t="s">
        <v>19</v>
      </c>
      <c r="F25">
        <v>979</v>
      </c>
      <c r="G25">
        <v>11</v>
      </c>
      <c r="H25">
        <v>33</v>
      </c>
      <c r="I25">
        <v>32307</v>
      </c>
      <c r="J25">
        <v>1615.3500000000001</v>
      </c>
      <c r="K25">
        <v>30691.65</v>
      </c>
      <c r="L25">
        <v>10769</v>
      </c>
      <c r="M25">
        <v>19922.650000000001</v>
      </c>
      <c r="N25">
        <v>45558</v>
      </c>
      <c r="O25">
        <v>9</v>
      </c>
      <c r="P25" t="s">
        <v>40</v>
      </c>
      <c r="Q25">
        <v>2024</v>
      </c>
    </row>
    <row r="26" spans="1:17" x14ac:dyDescent="0.3">
      <c r="A26" t="s">
        <v>21</v>
      </c>
      <c r="B26" t="s">
        <v>23</v>
      </c>
      <c r="C26" t="s">
        <v>28</v>
      </c>
      <c r="D26" t="s">
        <v>61</v>
      </c>
      <c r="E26" t="s">
        <v>19</v>
      </c>
      <c r="F26">
        <v>94</v>
      </c>
      <c r="G26">
        <v>13</v>
      </c>
      <c r="H26">
        <v>33</v>
      </c>
      <c r="I26">
        <v>3102</v>
      </c>
      <c r="J26">
        <v>155.10000000000002</v>
      </c>
      <c r="K26">
        <v>2946.9</v>
      </c>
      <c r="L26">
        <v>1222</v>
      </c>
      <c r="M26">
        <v>1724.9</v>
      </c>
      <c r="N26">
        <v>45341</v>
      </c>
      <c r="O26">
        <v>2</v>
      </c>
      <c r="P26" t="s">
        <v>52</v>
      </c>
      <c r="Q26">
        <v>2024</v>
      </c>
    </row>
    <row r="27" spans="1:17" x14ac:dyDescent="0.3">
      <c r="A27" t="s">
        <v>16</v>
      </c>
      <c r="B27" t="s">
        <v>36</v>
      </c>
      <c r="C27" t="s">
        <v>28</v>
      </c>
      <c r="D27" t="s">
        <v>69</v>
      </c>
      <c r="E27" t="s">
        <v>19</v>
      </c>
      <c r="F27">
        <v>697</v>
      </c>
      <c r="G27">
        <v>20</v>
      </c>
      <c r="H27">
        <v>25</v>
      </c>
      <c r="I27">
        <v>17425</v>
      </c>
      <c r="J27">
        <v>871.25</v>
      </c>
      <c r="K27">
        <v>16553.75</v>
      </c>
      <c r="L27">
        <v>13940</v>
      </c>
      <c r="M27">
        <v>2613.75</v>
      </c>
      <c r="N27">
        <v>45646</v>
      </c>
      <c r="O27">
        <v>12</v>
      </c>
      <c r="P27" t="s">
        <v>77</v>
      </c>
      <c r="Q27">
        <v>2024</v>
      </c>
    </row>
    <row r="28" spans="1:17" x14ac:dyDescent="0.3">
      <c r="A28" t="s">
        <v>16</v>
      </c>
      <c r="B28" t="s">
        <v>17</v>
      </c>
      <c r="C28" t="s">
        <v>28</v>
      </c>
      <c r="D28" t="s">
        <v>60</v>
      </c>
      <c r="E28" t="s">
        <v>19</v>
      </c>
      <c r="F28">
        <v>302</v>
      </c>
      <c r="G28">
        <v>17</v>
      </c>
      <c r="H28">
        <v>38</v>
      </c>
      <c r="I28">
        <v>11476</v>
      </c>
      <c r="J28">
        <v>573.80000000000007</v>
      </c>
      <c r="K28">
        <v>10902.2</v>
      </c>
      <c r="L28">
        <v>5134</v>
      </c>
      <c r="M28">
        <v>5768.2000000000007</v>
      </c>
      <c r="N28">
        <v>45612</v>
      </c>
      <c r="O28">
        <v>11</v>
      </c>
      <c r="P28" t="s">
        <v>43</v>
      </c>
      <c r="Q28">
        <v>2024</v>
      </c>
    </row>
    <row r="29" spans="1:17" x14ac:dyDescent="0.3">
      <c r="A29" t="s">
        <v>25</v>
      </c>
      <c r="B29" t="s">
        <v>36</v>
      </c>
      <c r="C29" t="s">
        <v>28</v>
      </c>
      <c r="D29" t="s">
        <v>70</v>
      </c>
      <c r="E29" t="s">
        <v>19</v>
      </c>
      <c r="F29">
        <v>288</v>
      </c>
      <c r="G29">
        <v>15</v>
      </c>
      <c r="H29">
        <v>16</v>
      </c>
      <c r="I29">
        <v>4608</v>
      </c>
      <c r="J29">
        <v>230.4</v>
      </c>
      <c r="K29">
        <v>4377.6000000000004</v>
      </c>
      <c r="L29">
        <v>4320</v>
      </c>
      <c r="M29">
        <v>57.600000000000364</v>
      </c>
      <c r="N29">
        <v>45425</v>
      </c>
      <c r="O29">
        <v>5</v>
      </c>
      <c r="P29" t="s">
        <v>46</v>
      </c>
      <c r="Q29">
        <v>2024</v>
      </c>
    </row>
    <row r="30" spans="1:17" x14ac:dyDescent="0.3">
      <c r="A30" t="s">
        <v>21</v>
      </c>
      <c r="B30" t="s">
        <v>17</v>
      </c>
      <c r="C30" t="s">
        <v>28</v>
      </c>
      <c r="D30" t="s">
        <v>71</v>
      </c>
      <c r="E30" t="s">
        <v>19</v>
      </c>
      <c r="F30">
        <v>989</v>
      </c>
      <c r="G30">
        <v>17</v>
      </c>
      <c r="H30">
        <v>25</v>
      </c>
      <c r="I30">
        <v>24725</v>
      </c>
      <c r="J30">
        <v>1236.25</v>
      </c>
      <c r="K30">
        <v>23488.75</v>
      </c>
      <c r="L30">
        <v>16813</v>
      </c>
      <c r="M30">
        <v>6675.75</v>
      </c>
      <c r="N30">
        <v>45552</v>
      </c>
      <c r="O30">
        <v>9</v>
      </c>
      <c r="P30" t="s">
        <v>40</v>
      </c>
      <c r="Q30">
        <v>2024</v>
      </c>
    </row>
    <row r="31" spans="1:17" x14ac:dyDescent="0.3">
      <c r="A31" t="s">
        <v>16</v>
      </c>
      <c r="B31" t="s">
        <v>17</v>
      </c>
      <c r="C31" t="s">
        <v>28</v>
      </c>
      <c r="D31" t="s">
        <v>60</v>
      </c>
      <c r="E31" t="s">
        <v>19</v>
      </c>
      <c r="F31">
        <v>999</v>
      </c>
      <c r="G31">
        <v>17</v>
      </c>
      <c r="H31">
        <v>38</v>
      </c>
      <c r="I31">
        <v>37962</v>
      </c>
      <c r="J31">
        <v>1898.1000000000001</v>
      </c>
      <c r="K31">
        <v>36063.9</v>
      </c>
      <c r="L31">
        <v>16983</v>
      </c>
      <c r="M31">
        <v>19080.900000000001</v>
      </c>
      <c r="N31">
        <v>45159</v>
      </c>
      <c r="O31">
        <v>8</v>
      </c>
      <c r="P31" t="s">
        <v>62</v>
      </c>
      <c r="Q31">
        <v>2023</v>
      </c>
    </row>
    <row r="32" spans="1:17" x14ac:dyDescent="0.3">
      <c r="A32" t="s">
        <v>16</v>
      </c>
      <c r="B32" t="s">
        <v>20</v>
      </c>
      <c r="C32" t="s">
        <v>28</v>
      </c>
      <c r="D32" t="s">
        <v>64</v>
      </c>
      <c r="E32" t="s">
        <v>19</v>
      </c>
      <c r="F32">
        <v>36</v>
      </c>
      <c r="G32">
        <v>14</v>
      </c>
      <c r="H32">
        <v>22</v>
      </c>
      <c r="I32">
        <v>792</v>
      </c>
      <c r="J32">
        <v>7.92</v>
      </c>
      <c r="K32">
        <v>784.08</v>
      </c>
      <c r="L32">
        <v>504</v>
      </c>
      <c r="M32">
        <v>280.08000000000004</v>
      </c>
      <c r="N32">
        <v>45469</v>
      </c>
      <c r="O32">
        <v>6</v>
      </c>
      <c r="P32" t="s">
        <v>45</v>
      </c>
      <c r="Q32">
        <v>2024</v>
      </c>
    </row>
    <row r="33" spans="1:17" x14ac:dyDescent="0.3">
      <c r="A33" t="s">
        <v>16</v>
      </c>
      <c r="B33" t="s">
        <v>23</v>
      </c>
      <c r="C33" t="s">
        <v>29</v>
      </c>
      <c r="D33" t="s">
        <v>72</v>
      </c>
      <c r="E33" t="s">
        <v>19</v>
      </c>
      <c r="F33">
        <v>418</v>
      </c>
      <c r="G33">
        <v>18</v>
      </c>
      <c r="H33">
        <v>33</v>
      </c>
      <c r="I33">
        <v>13794</v>
      </c>
      <c r="J33">
        <v>689.7</v>
      </c>
      <c r="K33">
        <v>13104.3</v>
      </c>
      <c r="L33">
        <v>7524</v>
      </c>
      <c r="M33">
        <v>5580.2999999999993</v>
      </c>
      <c r="N33">
        <v>45526</v>
      </c>
      <c r="O33">
        <v>8</v>
      </c>
      <c r="P33" t="s">
        <v>62</v>
      </c>
      <c r="Q33">
        <v>2024</v>
      </c>
    </row>
    <row r="34" spans="1:17" x14ac:dyDescent="0.3">
      <c r="A34" t="s">
        <v>26</v>
      </c>
      <c r="B34" t="s">
        <v>22</v>
      </c>
      <c r="C34" t="s">
        <v>29</v>
      </c>
      <c r="D34" t="s">
        <v>73</v>
      </c>
      <c r="E34" t="s">
        <v>19</v>
      </c>
      <c r="F34">
        <v>482</v>
      </c>
      <c r="G34">
        <v>16</v>
      </c>
      <c r="H34">
        <v>20</v>
      </c>
      <c r="I34">
        <v>9640</v>
      </c>
      <c r="J34">
        <v>482</v>
      </c>
      <c r="K34">
        <v>9158</v>
      </c>
      <c r="L34">
        <v>7712</v>
      </c>
      <c r="M34">
        <v>1446</v>
      </c>
      <c r="N34">
        <v>45430</v>
      </c>
      <c r="O34">
        <v>5</v>
      </c>
      <c r="P34" t="s">
        <v>46</v>
      </c>
      <c r="Q34">
        <v>2024</v>
      </c>
    </row>
    <row r="35" spans="1:17" x14ac:dyDescent="0.3">
      <c r="A35" t="s">
        <v>25</v>
      </c>
      <c r="B35" t="s">
        <v>20</v>
      </c>
      <c r="C35" t="s">
        <v>29</v>
      </c>
      <c r="D35" t="s">
        <v>74</v>
      </c>
      <c r="E35" t="s">
        <v>19</v>
      </c>
      <c r="F35">
        <v>983</v>
      </c>
      <c r="G35">
        <v>13</v>
      </c>
      <c r="H35">
        <v>26</v>
      </c>
      <c r="I35">
        <v>25558</v>
      </c>
      <c r="J35">
        <v>1277.9000000000001</v>
      </c>
      <c r="K35">
        <v>24280.1</v>
      </c>
      <c r="L35">
        <v>12779</v>
      </c>
      <c r="M35">
        <v>11501.099999999999</v>
      </c>
      <c r="N35">
        <v>45693</v>
      </c>
      <c r="O35">
        <v>2</v>
      </c>
      <c r="P35" t="s">
        <v>52</v>
      </c>
      <c r="Q35">
        <v>2025</v>
      </c>
    </row>
    <row r="36" spans="1:17" x14ac:dyDescent="0.3">
      <c r="A36" t="s">
        <v>16</v>
      </c>
      <c r="B36" t="s">
        <v>20</v>
      </c>
      <c r="C36" t="s">
        <v>29</v>
      </c>
      <c r="D36" t="s">
        <v>76</v>
      </c>
      <c r="E36" t="s">
        <v>19</v>
      </c>
      <c r="F36">
        <v>282</v>
      </c>
      <c r="G36">
        <v>11</v>
      </c>
      <c r="H36">
        <v>30</v>
      </c>
      <c r="I36">
        <v>8460</v>
      </c>
      <c r="J36">
        <v>423</v>
      </c>
      <c r="K36">
        <v>8037</v>
      </c>
      <c r="L36">
        <v>3102</v>
      </c>
      <c r="M36">
        <v>4935</v>
      </c>
      <c r="N36">
        <v>45066</v>
      </c>
      <c r="O36">
        <v>5</v>
      </c>
      <c r="P36" t="s">
        <v>46</v>
      </c>
      <c r="Q36">
        <v>2023</v>
      </c>
    </row>
    <row r="37" spans="1:17" x14ac:dyDescent="0.3">
      <c r="A37" t="s">
        <v>25</v>
      </c>
      <c r="B37" t="s">
        <v>20</v>
      </c>
      <c r="C37" t="s">
        <v>29</v>
      </c>
      <c r="D37" t="s">
        <v>74</v>
      </c>
      <c r="E37" t="s">
        <v>19</v>
      </c>
      <c r="F37">
        <v>521</v>
      </c>
      <c r="G37">
        <v>13</v>
      </c>
      <c r="H37">
        <v>26</v>
      </c>
      <c r="I37">
        <v>13546</v>
      </c>
      <c r="J37">
        <v>677.30000000000007</v>
      </c>
      <c r="K37">
        <v>12868.7</v>
      </c>
      <c r="L37">
        <v>6773</v>
      </c>
      <c r="M37">
        <v>6095.7000000000007</v>
      </c>
      <c r="N37">
        <v>45322</v>
      </c>
      <c r="O37">
        <v>1</v>
      </c>
      <c r="P37" t="s">
        <v>58</v>
      </c>
      <c r="Q37">
        <v>2024</v>
      </c>
    </row>
    <row r="38" spans="1:17" x14ac:dyDescent="0.3">
      <c r="A38" t="s">
        <v>26</v>
      </c>
      <c r="B38" t="s">
        <v>36</v>
      </c>
      <c r="C38" t="s">
        <v>29</v>
      </c>
      <c r="D38" t="s">
        <v>78</v>
      </c>
      <c r="E38" t="s">
        <v>19</v>
      </c>
      <c r="F38">
        <v>311</v>
      </c>
      <c r="G38">
        <v>12</v>
      </c>
      <c r="H38">
        <v>36</v>
      </c>
      <c r="I38">
        <v>11196</v>
      </c>
      <c r="J38">
        <v>559.80000000000007</v>
      </c>
      <c r="K38">
        <v>10636.2</v>
      </c>
      <c r="L38">
        <v>3732</v>
      </c>
      <c r="M38">
        <v>6904.2000000000007</v>
      </c>
      <c r="N38">
        <v>45116</v>
      </c>
      <c r="O38">
        <v>7</v>
      </c>
      <c r="P38" t="s">
        <v>48</v>
      </c>
      <c r="Q38">
        <v>2023</v>
      </c>
    </row>
    <row r="39" spans="1:17" x14ac:dyDescent="0.3">
      <c r="A39" t="s">
        <v>26</v>
      </c>
      <c r="B39" t="s">
        <v>17</v>
      </c>
      <c r="C39" t="s">
        <v>29</v>
      </c>
      <c r="D39" t="s">
        <v>79</v>
      </c>
      <c r="E39" t="s">
        <v>19</v>
      </c>
      <c r="F39">
        <v>549</v>
      </c>
      <c r="G39">
        <v>16</v>
      </c>
      <c r="H39">
        <v>28</v>
      </c>
      <c r="I39">
        <v>15372</v>
      </c>
      <c r="J39">
        <v>768.6</v>
      </c>
      <c r="K39">
        <v>14603.4</v>
      </c>
      <c r="L39">
        <v>8784</v>
      </c>
      <c r="M39">
        <v>5819.4</v>
      </c>
      <c r="N39">
        <v>45464</v>
      </c>
      <c r="O39">
        <v>6</v>
      </c>
      <c r="P39" t="s">
        <v>45</v>
      </c>
      <c r="Q39">
        <v>2024</v>
      </c>
    </row>
    <row r="40" spans="1:17" x14ac:dyDescent="0.3">
      <c r="A40" t="s">
        <v>27</v>
      </c>
      <c r="B40" t="s">
        <v>17</v>
      </c>
      <c r="C40" t="s">
        <v>30</v>
      </c>
      <c r="D40" t="s">
        <v>80</v>
      </c>
      <c r="E40" t="s">
        <v>19</v>
      </c>
      <c r="F40">
        <v>297</v>
      </c>
      <c r="G40">
        <v>16</v>
      </c>
      <c r="H40">
        <v>16</v>
      </c>
      <c r="I40">
        <v>4752</v>
      </c>
      <c r="J40">
        <v>237.60000000000002</v>
      </c>
      <c r="K40">
        <v>4514.3999999999996</v>
      </c>
      <c r="L40">
        <v>4752</v>
      </c>
      <c r="M40">
        <v>-237.60000000000036</v>
      </c>
      <c r="N40">
        <v>45168</v>
      </c>
      <c r="O40">
        <v>8</v>
      </c>
      <c r="P40" t="s">
        <v>62</v>
      </c>
      <c r="Q40">
        <v>2023</v>
      </c>
    </row>
    <row r="41" spans="1:17" x14ac:dyDescent="0.3">
      <c r="A41" t="s">
        <v>25</v>
      </c>
      <c r="B41" t="s">
        <v>20</v>
      </c>
      <c r="C41" t="s">
        <v>30</v>
      </c>
      <c r="D41" t="s">
        <v>81</v>
      </c>
      <c r="E41" t="s">
        <v>19</v>
      </c>
      <c r="F41">
        <v>159</v>
      </c>
      <c r="G41">
        <v>15</v>
      </c>
      <c r="H41">
        <v>25</v>
      </c>
      <c r="I41">
        <v>3975</v>
      </c>
      <c r="J41">
        <v>198.75</v>
      </c>
      <c r="K41">
        <v>3776.25</v>
      </c>
      <c r="L41">
        <v>2385</v>
      </c>
      <c r="M41">
        <v>1391.25</v>
      </c>
      <c r="N41">
        <v>45372</v>
      </c>
      <c r="O41">
        <v>3</v>
      </c>
      <c r="P41" t="s">
        <v>38</v>
      </c>
      <c r="Q41">
        <v>2024</v>
      </c>
    </row>
    <row r="42" spans="1:17" x14ac:dyDescent="0.3">
      <c r="A42" t="s">
        <v>21</v>
      </c>
      <c r="B42" t="s">
        <v>22</v>
      </c>
      <c r="C42" t="s">
        <v>30</v>
      </c>
      <c r="D42" t="s">
        <v>82</v>
      </c>
      <c r="E42" t="s">
        <v>19</v>
      </c>
      <c r="F42">
        <v>487</v>
      </c>
      <c r="G42">
        <v>14</v>
      </c>
      <c r="H42">
        <v>30</v>
      </c>
      <c r="I42">
        <v>14610</v>
      </c>
      <c r="J42">
        <v>730.5</v>
      </c>
      <c r="K42">
        <v>13879.5</v>
      </c>
      <c r="L42">
        <v>6818</v>
      </c>
      <c r="M42">
        <v>7061.5</v>
      </c>
      <c r="N42">
        <v>45457</v>
      </c>
      <c r="O42">
        <v>6</v>
      </c>
      <c r="P42" t="s">
        <v>45</v>
      </c>
      <c r="Q42">
        <v>2024</v>
      </c>
    </row>
    <row r="43" spans="1:17" x14ac:dyDescent="0.3">
      <c r="A43" t="s">
        <v>21</v>
      </c>
      <c r="B43" t="s">
        <v>20</v>
      </c>
      <c r="C43" t="s">
        <v>30</v>
      </c>
      <c r="D43" t="s">
        <v>83</v>
      </c>
      <c r="E43" t="s">
        <v>19</v>
      </c>
      <c r="F43">
        <v>162</v>
      </c>
      <c r="G43">
        <v>14</v>
      </c>
      <c r="H43">
        <v>31</v>
      </c>
      <c r="I43">
        <v>5022</v>
      </c>
      <c r="J43">
        <v>251.10000000000002</v>
      </c>
      <c r="K43">
        <v>4770.8999999999996</v>
      </c>
      <c r="L43">
        <v>2268</v>
      </c>
      <c r="M43">
        <v>2502.8999999999996</v>
      </c>
      <c r="N43">
        <v>45704</v>
      </c>
      <c r="O43">
        <v>2</v>
      </c>
      <c r="P43" t="s">
        <v>52</v>
      </c>
      <c r="Q43">
        <v>2025</v>
      </c>
    </row>
    <row r="44" spans="1:17" x14ac:dyDescent="0.3">
      <c r="A44" t="s">
        <v>16</v>
      </c>
      <c r="B44" t="s">
        <v>22</v>
      </c>
      <c r="C44" t="s">
        <v>30</v>
      </c>
      <c r="D44" t="s">
        <v>84</v>
      </c>
      <c r="E44" t="s">
        <v>19</v>
      </c>
      <c r="F44">
        <v>826</v>
      </c>
      <c r="G44">
        <v>20</v>
      </c>
      <c r="H44">
        <v>23</v>
      </c>
      <c r="I44">
        <v>18998</v>
      </c>
      <c r="J44">
        <v>949.90000000000009</v>
      </c>
      <c r="K44">
        <v>18048.099999999999</v>
      </c>
      <c r="L44">
        <v>16520</v>
      </c>
      <c r="M44">
        <v>1528.0999999999985</v>
      </c>
      <c r="N44">
        <v>45758</v>
      </c>
      <c r="O44">
        <v>4</v>
      </c>
      <c r="P44" t="s">
        <v>75</v>
      </c>
      <c r="Q44">
        <v>2025</v>
      </c>
    </row>
    <row r="45" spans="1:17" x14ac:dyDescent="0.3">
      <c r="A45" t="s">
        <v>27</v>
      </c>
      <c r="B45" t="s">
        <v>22</v>
      </c>
      <c r="C45" t="s">
        <v>30</v>
      </c>
      <c r="D45" t="s">
        <v>85</v>
      </c>
      <c r="E45" t="s">
        <v>19</v>
      </c>
      <c r="F45">
        <v>457</v>
      </c>
      <c r="G45">
        <v>18</v>
      </c>
      <c r="H45">
        <v>30</v>
      </c>
      <c r="I45">
        <v>13710</v>
      </c>
      <c r="J45">
        <v>685.5</v>
      </c>
      <c r="K45">
        <v>13024.5</v>
      </c>
      <c r="L45">
        <v>8226</v>
      </c>
      <c r="M45">
        <v>4798.5</v>
      </c>
      <c r="N45">
        <v>45085</v>
      </c>
      <c r="O45">
        <v>6</v>
      </c>
      <c r="P45" t="s">
        <v>45</v>
      </c>
      <c r="Q45">
        <v>2023</v>
      </c>
    </row>
    <row r="46" spans="1:17" x14ac:dyDescent="0.3">
      <c r="A46" t="s">
        <v>16</v>
      </c>
      <c r="B46" t="s">
        <v>17</v>
      </c>
      <c r="C46" t="s">
        <v>30</v>
      </c>
      <c r="D46" t="s">
        <v>86</v>
      </c>
      <c r="E46" t="s">
        <v>19</v>
      </c>
      <c r="F46">
        <v>558</v>
      </c>
      <c r="G46">
        <v>15</v>
      </c>
      <c r="H46">
        <v>36</v>
      </c>
      <c r="I46">
        <v>20088</v>
      </c>
      <c r="J46">
        <v>1004.4000000000001</v>
      </c>
      <c r="K46">
        <v>19083.599999999999</v>
      </c>
      <c r="L46">
        <v>8370</v>
      </c>
      <c r="M46">
        <v>10713.599999999999</v>
      </c>
      <c r="N46">
        <v>45686</v>
      </c>
      <c r="O46">
        <v>1</v>
      </c>
      <c r="P46" t="s">
        <v>58</v>
      </c>
      <c r="Q46">
        <v>2025</v>
      </c>
    </row>
    <row r="47" spans="1:17" x14ac:dyDescent="0.3">
      <c r="A47" t="s">
        <v>16</v>
      </c>
      <c r="B47" t="s">
        <v>22</v>
      </c>
      <c r="C47" t="s">
        <v>31</v>
      </c>
      <c r="D47" t="s">
        <v>87</v>
      </c>
      <c r="E47" t="s">
        <v>19</v>
      </c>
      <c r="F47">
        <v>11</v>
      </c>
      <c r="G47">
        <v>19</v>
      </c>
      <c r="H47">
        <v>19</v>
      </c>
      <c r="I47">
        <v>209</v>
      </c>
      <c r="J47">
        <v>2.09</v>
      </c>
      <c r="K47">
        <v>206.91</v>
      </c>
      <c r="L47">
        <v>209</v>
      </c>
      <c r="M47">
        <v>-2.0900000000000034</v>
      </c>
      <c r="N47">
        <v>45657</v>
      </c>
      <c r="O47">
        <v>12</v>
      </c>
      <c r="P47" t="s">
        <v>77</v>
      </c>
      <c r="Q47">
        <v>2024</v>
      </c>
    </row>
    <row r="48" spans="1:17" x14ac:dyDescent="0.3">
      <c r="A48" t="s">
        <v>25</v>
      </c>
      <c r="B48" t="s">
        <v>36</v>
      </c>
      <c r="C48" t="s">
        <v>31</v>
      </c>
      <c r="D48" t="s">
        <v>88</v>
      </c>
      <c r="E48" t="s">
        <v>19</v>
      </c>
      <c r="F48">
        <v>180</v>
      </c>
      <c r="G48">
        <v>15</v>
      </c>
      <c r="H48">
        <v>34</v>
      </c>
      <c r="I48">
        <v>6120</v>
      </c>
      <c r="J48">
        <v>306</v>
      </c>
      <c r="K48">
        <v>5814</v>
      </c>
      <c r="L48">
        <v>2700</v>
      </c>
      <c r="M48">
        <v>3114</v>
      </c>
      <c r="N48">
        <v>45497</v>
      </c>
      <c r="O48">
        <v>7</v>
      </c>
      <c r="P48" t="s">
        <v>48</v>
      </c>
      <c r="Q48">
        <v>2024</v>
      </c>
    </row>
    <row r="49" spans="1:17" x14ac:dyDescent="0.3">
      <c r="A49" t="s">
        <v>26</v>
      </c>
      <c r="B49" t="s">
        <v>20</v>
      </c>
      <c r="C49" t="s">
        <v>31</v>
      </c>
      <c r="D49" t="s">
        <v>89</v>
      </c>
      <c r="E49" t="s">
        <v>19</v>
      </c>
      <c r="F49">
        <v>226</v>
      </c>
      <c r="G49">
        <v>10</v>
      </c>
      <c r="H49">
        <v>19</v>
      </c>
      <c r="I49">
        <v>4294</v>
      </c>
      <c r="J49">
        <v>214.70000000000002</v>
      </c>
      <c r="K49">
        <v>4079.3</v>
      </c>
      <c r="L49">
        <v>2260</v>
      </c>
      <c r="M49">
        <v>1819.3000000000002</v>
      </c>
      <c r="N49">
        <v>45376</v>
      </c>
      <c r="O49">
        <v>3</v>
      </c>
      <c r="P49" t="s">
        <v>38</v>
      </c>
      <c r="Q49">
        <v>2024</v>
      </c>
    </row>
    <row r="50" spans="1:17" x14ac:dyDescent="0.3">
      <c r="A50" t="s">
        <v>16</v>
      </c>
      <c r="B50" t="s">
        <v>22</v>
      </c>
      <c r="C50" t="s">
        <v>31</v>
      </c>
      <c r="D50" t="s">
        <v>87</v>
      </c>
      <c r="E50" t="s">
        <v>19</v>
      </c>
      <c r="F50">
        <v>917</v>
      </c>
      <c r="G50">
        <v>19</v>
      </c>
      <c r="H50">
        <v>19</v>
      </c>
      <c r="I50">
        <v>17423</v>
      </c>
      <c r="J50">
        <v>871.15000000000009</v>
      </c>
      <c r="K50">
        <v>16551.849999999999</v>
      </c>
      <c r="L50">
        <v>17423</v>
      </c>
      <c r="M50">
        <v>-871.15000000000146</v>
      </c>
      <c r="N50">
        <v>45054</v>
      </c>
      <c r="O50">
        <v>5</v>
      </c>
      <c r="P50" t="s">
        <v>46</v>
      </c>
      <c r="Q50">
        <v>2023</v>
      </c>
    </row>
    <row r="51" spans="1:17" x14ac:dyDescent="0.3">
      <c r="A51" t="s">
        <v>16</v>
      </c>
      <c r="B51" t="s">
        <v>20</v>
      </c>
      <c r="C51" t="s">
        <v>31</v>
      </c>
      <c r="D51" t="s">
        <v>90</v>
      </c>
      <c r="E51" t="s">
        <v>19</v>
      </c>
      <c r="F51">
        <v>956</v>
      </c>
      <c r="G51">
        <v>19</v>
      </c>
      <c r="H51">
        <v>17</v>
      </c>
      <c r="I51">
        <v>16252</v>
      </c>
      <c r="J51">
        <v>812.6</v>
      </c>
      <c r="K51">
        <v>15439.4</v>
      </c>
      <c r="L51">
        <v>18164</v>
      </c>
      <c r="M51">
        <v>-2724.6000000000004</v>
      </c>
      <c r="N51">
        <v>45268</v>
      </c>
      <c r="O51">
        <v>12</v>
      </c>
      <c r="P51" t="s">
        <v>77</v>
      </c>
      <c r="Q51">
        <v>2023</v>
      </c>
    </row>
    <row r="52" spans="1:17" x14ac:dyDescent="0.3">
      <c r="A52" t="s">
        <v>25</v>
      </c>
      <c r="B52" t="s">
        <v>36</v>
      </c>
      <c r="C52" t="s">
        <v>31</v>
      </c>
      <c r="D52" t="s">
        <v>88</v>
      </c>
      <c r="E52" t="s">
        <v>19</v>
      </c>
      <c r="F52">
        <v>915</v>
      </c>
      <c r="G52">
        <v>15</v>
      </c>
      <c r="H52">
        <v>34</v>
      </c>
      <c r="I52">
        <v>31110</v>
      </c>
      <c r="J52">
        <v>1555.5</v>
      </c>
      <c r="K52">
        <v>29554.5</v>
      </c>
      <c r="L52">
        <v>13725</v>
      </c>
      <c r="M52">
        <v>15829.5</v>
      </c>
      <c r="N52">
        <v>45482</v>
      </c>
      <c r="O52">
        <v>7</v>
      </c>
      <c r="P52" t="s">
        <v>48</v>
      </c>
      <c r="Q52">
        <v>2024</v>
      </c>
    </row>
    <row r="53" spans="1:17" x14ac:dyDescent="0.3">
      <c r="A53" t="s">
        <v>16</v>
      </c>
      <c r="B53" t="s">
        <v>36</v>
      </c>
      <c r="C53" t="s">
        <v>31</v>
      </c>
      <c r="D53" t="s">
        <v>91</v>
      </c>
      <c r="E53" t="s">
        <v>19</v>
      </c>
      <c r="F53">
        <v>691</v>
      </c>
      <c r="G53">
        <v>10</v>
      </c>
      <c r="H53">
        <v>19</v>
      </c>
      <c r="I53">
        <v>13129</v>
      </c>
      <c r="J53">
        <v>656.45</v>
      </c>
      <c r="K53">
        <v>12472.55</v>
      </c>
      <c r="L53">
        <v>6910</v>
      </c>
      <c r="M53">
        <v>5562.5499999999993</v>
      </c>
      <c r="N53">
        <v>45162</v>
      </c>
      <c r="O53">
        <v>8</v>
      </c>
      <c r="P53" t="s">
        <v>62</v>
      </c>
      <c r="Q53">
        <v>2023</v>
      </c>
    </row>
    <row r="54" spans="1:17" x14ac:dyDescent="0.3">
      <c r="A54" t="s">
        <v>21</v>
      </c>
      <c r="B54" t="s">
        <v>36</v>
      </c>
      <c r="C54" t="s">
        <v>31</v>
      </c>
      <c r="D54" t="s">
        <v>92</v>
      </c>
      <c r="E54" t="s">
        <v>19</v>
      </c>
      <c r="F54">
        <v>211</v>
      </c>
      <c r="G54">
        <v>10</v>
      </c>
      <c r="H54">
        <v>20</v>
      </c>
      <c r="I54">
        <v>4220</v>
      </c>
      <c r="J54">
        <v>211</v>
      </c>
      <c r="K54">
        <v>4009</v>
      </c>
      <c r="L54">
        <v>2110</v>
      </c>
      <c r="M54">
        <v>1899</v>
      </c>
      <c r="N54">
        <v>45446</v>
      </c>
      <c r="O54">
        <v>6</v>
      </c>
      <c r="P54" t="s">
        <v>45</v>
      </c>
      <c r="Q54">
        <v>2024</v>
      </c>
    </row>
    <row r="55" spans="1:17" x14ac:dyDescent="0.3">
      <c r="A55" t="s">
        <v>16</v>
      </c>
      <c r="B55" t="s">
        <v>22</v>
      </c>
      <c r="C55" t="s">
        <v>28</v>
      </c>
      <c r="D55" t="s">
        <v>93</v>
      </c>
      <c r="E55" t="s">
        <v>32</v>
      </c>
      <c r="F55">
        <v>467</v>
      </c>
      <c r="G55">
        <v>12</v>
      </c>
      <c r="H55">
        <v>27</v>
      </c>
      <c r="I55">
        <v>12609</v>
      </c>
      <c r="J55">
        <v>630.45000000000005</v>
      </c>
      <c r="K55">
        <v>11978.55</v>
      </c>
      <c r="L55">
        <v>5604</v>
      </c>
      <c r="M55">
        <v>6374.5499999999993</v>
      </c>
      <c r="N55">
        <v>45313</v>
      </c>
      <c r="O55">
        <v>1</v>
      </c>
      <c r="P55" t="s">
        <v>58</v>
      </c>
      <c r="Q55">
        <v>2024</v>
      </c>
    </row>
    <row r="56" spans="1:17" x14ac:dyDescent="0.3">
      <c r="A56" t="s">
        <v>21</v>
      </c>
      <c r="B56" t="s">
        <v>22</v>
      </c>
      <c r="C56" t="s">
        <v>28</v>
      </c>
      <c r="D56" t="s">
        <v>67</v>
      </c>
      <c r="E56" t="s">
        <v>32</v>
      </c>
      <c r="F56">
        <v>109</v>
      </c>
      <c r="G56">
        <v>16</v>
      </c>
      <c r="H56">
        <v>27</v>
      </c>
      <c r="I56">
        <v>2943</v>
      </c>
      <c r="J56">
        <v>147.15</v>
      </c>
      <c r="K56">
        <v>2795.85</v>
      </c>
      <c r="L56">
        <v>1744</v>
      </c>
      <c r="M56">
        <v>1051.8499999999999</v>
      </c>
      <c r="N56">
        <v>45535</v>
      </c>
      <c r="O56">
        <v>8</v>
      </c>
      <c r="P56" t="s">
        <v>62</v>
      </c>
      <c r="Q56">
        <v>2024</v>
      </c>
    </row>
    <row r="57" spans="1:17" x14ac:dyDescent="0.3">
      <c r="A57" t="s">
        <v>16</v>
      </c>
      <c r="B57" t="s">
        <v>22</v>
      </c>
      <c r="C57" t="s">
        <v>28</v>
      </c>
      <c r="D57" t="s">
        <v>93</v>
      </c>
      <c r="E57" t="s">
        <v>32</v>
      </c>
      <c r="F57">
        <v>885</v>
      </c>
      <c r="G57">
        <v>12</v>
      </c>
      <c r="H57">
        <v>27</v>
      </c>
      <c r="I57">
        <v>23895</v>
      </c>
      <c r="J57">
        <v>1194.75</v>
      </c>
      <c r="K57">
        <v>22700.25</v>
      </c>
      <c r="L57">
        <v>10620</v>
      </c>
      <c r="M57">
        <v>12080.25</v>
      </c>
      <c r="N57">
        <v>45109</v>
      </c>
      <c r="O57">
        <v>7</v>
      </c>
      <c r="P57" t="s">
        <v>48</v>
      </c>
      <c r="Q57">
        <v>2023</v>
      </c>
    </row>
    <row r="58" spans="1:17" x14ac:dyDescent="0.3">
      <c r="A58" t="s">
        <v>16</v>
      </c>
      <c r="B58" t="s">
        <v>22</v>
      </c>
      <c r="C58" t="s">
        <v>29</v>
      </c>
      <c r="D58" t="s">
        <v>94</v>
      </c>
      <c r="E58" t="s">
        <v>32</v>
      </c>
      <c r="F58">
        <v>215</v>
      </c>
      <c r="G58">
        <v>19</v>
      </c>
      <c r="H58">
        <v>22</v>
      </c>
      <c r="I58">
        <v>4730</v>
      </c>
      <c r="J58">
        <v>236.5</v>
      </c>
      <c r="K58">
        <v>4493.5</v>
      </c>
      <c r="L58">
        <v>4085</v>
      </c>
      <c r="M58">
        <v>408.5</v>
      </c>
      <c r="N58">
        <v>45237</v>
      </c>
      <c r="O58">
        <v>11</v>
      </c>
      <c r="P58" t="s">
        <v>43</v>
      </c>
      <c r="Q58">
        <v>2023</v>
      </c>
    </row>
    <row r="59" spans="1:17" x14ac:dyDescent="0.3">
      <c r="A59" t="s">
        <v>16</v>
      </c>
      <c r="B59" t="s">
        <v>17</v>
      </c>
      <c r="C59" t="s">
        <v>30</v>
      </c>
      <c r="D59" t="s">
        <v>86</v>
      </c>
      <c r="E59" t="s">
        <v>32</v>
      </c>
      <c r="F59">
        <v>125</v>
      </c>
      <c r="G59">
        <v>15</v>
      </c>
      <c r="H59">
        <v>36</v>
      </c>
      <c r="I59">
        <v>4500</v>
      </c>
      <c r="J59">
        <v>225</v>
      </c>
      <c r="K59">
        <v>4275</v>
      </c>
      <c r="L59">
        <v>1875</v>
      </c>
      <c r="M59">
        <v>2400</v>
      </c>
      <c r="N59">
        <v>45262</v>
      </c>
      <c r="O59">
        <v>12</v>
      </c>
      <c r="P59" t="s">
        <v>77</v>
      </c>
      <c r="Q59">
        <v>2023</v>
      </c>
    </row>
    <row r="60" spans="1:17" x14ac:dyDescent="0.3">
      <c r="A60" t="s">
        <v>25</v>
      </c>
      <c r="B60" t="s">
        <v>36</v>
      </c>
      <c r="C60" t="s">
        <v>18</v>
      </c>
      <c r="D60" t="s">
        <v>95</v>
      </c>
      <c r="E60" t="s">
        <v>32</v>
      </c>
      <c r="F60">
        <v>523</v>
      </c>
      <c r="G60">
        <v>13</v>
      </c>
      <c r="H60">
        <v>23</v>
      </c>
      <c r="I60">
        <v>12029</v>
      </c>
      <c r="J60">
        <v>601.45000000000005</v>
      </c>
      <c r="K60">
        <v>11427.55</v>
      </c>
      <c r="L60">
        <v>6799</v>
      </c>
      <c r="M60">
        <v>4628.5499999999993</v>
      </c>
      <c r="N60">
        <v>45444</v>
      </c>
      <c r="O60">
        <v>6</v>
      </c>
      <c r="P60" t="s">
        <v>45</v>
      </c>
      <c r="Q60">
        <v>2024</v>
      </c>
    </row>
    <row r="61" spans="1:17" x14ac:dyDescent="0.3">
      <c r="A61" t="s">
        <v>16</v>
      </c>
      <c r="B61" t="s">
        <v>23</v>
      </c>
      <c r="C61" t="s">
        <v>18</v>
      </c>
      <c r="D61" t="s">
        <v>96</v>
      </c>
      <c r="E61" t="s">
        <v>32</v>
      </c>
      <c r="F61">
        <v>305</v>
      </c>
      <c r="G61">
        <v>14</v>
      </c>
      <c r="H61">
        <v>35</v>
      </c>
      <c r="I61">
        <v>10675</v>
      </c>
      <c r="J61">
        <v>533.75</v>
      </c>
      <c r="K61">
        <v>10141.25</v>
      </c>
      <c r="L61">
        <v>4270</v>
      </c>
      <c r="M61">
        <v>5871.25</v>
      </c>
      <c r="N61">
        <v>45536</v>
      </c>
      <c r="O61">
        <v>9</v>
      </c>
      <c r="P61" t="s">
        <v>40</v>
      </c>
      <c r="Q61">
        <v>2024</v>
      </c>
    </row>
    <row r="62" spans="1:17" x14ac:dyDescent="0.3">
      <c r="A62" t="s">
        <v>16</v>
      </c>
      <c r="B62" t="s">
        <v>36</v>
      </c>
      <c r="C62" t="s">
        <v>18</v>
      </c>
      <c r="D62" t="s">
        <v>97</v>
      </c>
      <c r="E62" t="s">
        <v>32</v>
      </c>
      <c r="F62">
        <v>61</v>
      </c>
      <c r="G62">
        <v>11</v>
      </c>
      <c r="H62">
        <v>19</v>
      </c>
      <c r="I62">
        <v>1159</v>
      </c>
      <c r="J62">
        <v>57.95</v>
      </c>
      <c r="K62">
        <v>1101.05</v>
      </c>
      <c r="L62">
        <v>671</v>
      </c>
      <c r="M62">
        <v>430.04999999999995</v>
      </c>
      <c r="N62">
        <v>45165</v>
      </c>
      <c r="O62">
        <v>8</v>
      </c>
      <c r="P62" t="s">
        <v>62</v>
      </c>
      <c r="Q62">
        <v>2023</v>
      </c>
    </row>
    <row r="63" spans="1:17" x14ac:dyDescent="0.3">
      <c r="A63" t="s">
        <v>25</v>
      </c>
      <c r="B63" t="s">
        <v>17</v>
      </c>
      <c r="C63" t="s">
        <v>18</v>
      </c>
      <c r="D63" t="s">
        <v>98</v>
      </c>
      <c r="E63" t="s">
        <v>32</v>
      </c>
      <c r="F63">
        <v>354</v>
      </c>
      <c r="G63">
        <v>20</v>
      </c>
      <c r="H63">
        <v>18</v>
      </c>
      <c r="I63">
        <v>6372</v>
      </c>
      <c r="J63">
        <v>318.60000000000002</v>
      </c>
      <c r="K63">
        <v>6053.4</v>
      </c>
      <c r="L63">
        <v>7080</v>
      </c>
      <c r="M63">
        <v>-1026.6000000000004</v>
      </c>
      <c r="N63">
        <v>45037</v>
      </c>
      <c r="O63">
        <v>4</v>
      </c>
      <c r="P63" t="s">
        <v>75</v>
      </c>
      <c r="Q63">
        <v>2023</v>
      </c>
    </row>
    <row r="64" spans="1:17" x14ac:dyDescent="0.3">
      <c r="A64" t="s">
        <v>26</v>
      </c>
      <c r="B64" t="s">
        <v>36</v>
      </c>
      <c r="C64" t="s">
        <v>18</v>
      </c>
      <c r="D64" t="s">
        <v>99</v>
      </c>
      <c r="E64" t="s">
        <v>32</v>
      </c>
      <c r="F64">
        <v>799</v>
      </c>
      <c r="G64">
        <v>17</v>
      </c>
      <c r="H64">
        <v>37</v>
      </c>
      <c r="I64">
        <v>29563</v>
      </c>
      <c r="J64">
        <v>1478.15</v>
      </c>
      <c r="K64">
        <v>28084.85</v>
      </c>
      <c r="L64">
        <v>13583</v>
      </c>
      <c r="M64">
        <v>14501.849999999999</v>
      </c>
      <c r="N64">
        <v>45626</v>
      </c>
      <c r="O64">
        <v>11</v>
      </c>
      <c r="P64" t="s">
        <v>43</v>
      </c>
      <c r="Q64">
        <v>2024</v>
      </c>
    </row>
    <row r="65" spans="1:17" x14ac:dyDescent="0.3">
      <c r="A65" t="s">
        <v>25</v>
      </c>
      <c r="B65" t="s">
        <v>22</v>
      </c>
      <c r="C65" t="s">
        <v>18</v>
      </c>
      <c r="D65" t="s">
        <v>100</v>
      </c>
      <c r="E65" t="s">
        <v>32</v>
      </c>
      <c r="F65">
        <v>902</v>
      </c>
      <c r="G65">
        <v>19</v>
      </c>
      <c r="H65">
        <v>20</v>
      </c>
      <c r="I65">
        <v>18040</v>
      </c>
      <c r="J65">
        <v>902</v>
      </c>
      <c r="K65">
        <v>17138</v>
      </c>
      <c r="L65">
        <v>17138</v>
      </c>
      <c r="M65">
        <v>0</v>
      </c>
      <c r="N65">
        <v>45111</v>
      </c>
      <c r="O65">
        <v>7</v>
      </c>
      <c r="P65" t="s">
        <v>48</v>
      </c>
      <c r="Q65">
        <v>2023</v>
      </c>
    </row>
    <row r="66" spans="1:17" x14ac:dyDescent="0.3">
      <c r="A66" t="s">
        <v>25</v>
      </c>
      <c r="B66" t="s">
        <v>20</v>
      </c>
      <c r="C66" t="s">
        <v>18</v>
      </c>
      <c r="D66" t="s">
        <v>101</v>
      </c>
      <c r="E66" t="s">
        <v>32</v>
      </c>
      <c r="F66">
        <v>605</v>
      </c>
      <c r="G66">
        <v>10</v>
      </c>
      <c r="H66">
        <v>34</v>
      </c>
      <c r="I66">
        <v>20570</v>
      </c>
      <c r="J66">
        <v>1028.5</v>
      </c>
      <c r="K66">
        <v>19541.5</v>
      </c>
      <c r="L66">
        <v>6050</v>
      </c>
      <c r="M66">
        <v>13491.5</v>
      </c>
      <c r="N66">
        <v>45678</v>
      </c>
      <c r="O66">
        <v>1</v>
      </c>
      <c r="P66" t="s">
        <v>58</v>
      </c>
      <c r="Q66">
        <v>2025</v>
      </c>
    </row>
    <row r="67" spans="1:17" x14ac:dyDescent="0.3">
      <c r="A67" t="s">
        <v>27</v>
      </c>
      <c r="B67" t="s">
        <v>23</v>
      </c>
      <c r="C67" t="s">
        <v>18</v>
      </c>
      <c r="D67" t="s">
        <v>102</v>
      </c>
      <c r="E67" t="s">
        <v>32</v>
      </c>
      <c r="F67">
        <v>386</v>
      </c>
      <c r="G67">
        <v>16</v>
      </c>
      <c r="H67">
        <v>37</v>
      </c>
      <c r="I67">
        <v>14282</v>
      </c>
      <c r="J67">
        <v>714.1</v>
      </c>
      <c r="K67">
        <v>13567.9</v>
      </c>
      <c r="L67">
        <v>6176</v>
      </c>
      <c r="M67">
        <v>7391.9</v>
      </c>
      <c r="N67">
        <v>45431</v>
      </c>
      <c r="O67">
        <v>5</v>
      </c>
      <c r="P67" t="s">
        <v>46</v>
      </c>
      <c r="Q67">
        <v>2024</v>
      </c>
    </row>
    <row r="68" spans="1:17" x14ac:dyDescent="0.3">
      <c r="A68" t="s">
        <v>16</v>
      </c>
      <c r="B68" t="s">
        <v>23</v>
      </c>
      <c r="C68" t="s">
        <v>18</v>
      </c>
      <c r="D68" t="s">
        <v>96</v>
      </c>
      <c r="E68" t="s">
        <v>32</v>
      </c>
      <c r="F68">
        <v>350</v>
      </c>
      <c r="G68">
        <v>14</v>
      </c>
      <c r="H68">
        <v>35</v>
      </c>
      <c r="I68">
        <v>12250</v>
      </c>
      <c r="J68">
        <v>612.5</v>
      </c>
      <c r="K68">
        <v>11637.5</v>
      </c>
      <c r="L68">
        <v>4900</v>
      </c>
      <c r="M68">
        <v>6737.5</v>
      </c>
      <c r="N68">
        <v>45121</v>
      </c>
      <c r="O68">
        <v>7</v>
      </c>
      <c r="P68" t="s">
        <v>48</v>
      </c>
      <c r="Q68">
        <v>2023</v>
      </c>
    </row>
    <row r="69" spans="1:17" x14ac:dyDescent="0.3">
      <c r="A69" t="s">
        <v>16</v>
      </c>
      <c r="B69" t="s">
        <v>22</v>
      </c>
      <c r="C69" t="s">
        <v>18</v>
      </c>
      <c r="D69" t="s">
        <v>103</v>
      </c>
      <c r="E69" t="s">
        <v>32</v>
      </c>
      <c r="F69">
        <v>721</v>
      </c>
      <c r="G69">
        <v>11</v>
      </c>
      <c r="H69">
        <v>20</v>
      </c>
      <c r="I69">
        <v>14420</v>
      </c>
      <c r="J69">
        <v>721</v>
      </c>
      <c r="K69">
        <v>13699</v>
      </c>
      <c r="L69">
        <v>7931</v>
      </c>
      <c r="M69">
        <v>5768</v>
      </c>
      <c r="N69">
        <v>45437</v>
      </c>
      <c r="O69">
        <v>5</v>
      </c>
      <c r="P69" t="s">
        <v>46</v>
      </c>
      <c r="Q69">
        <v>2024</v>
      </c>
    </row>
    <row r="70" spans="1:17" x14ac:dyDescent="0.3">
      <c r="A70" t="s">
        <v>21</v>
      </c>
      <c r="B70" t="s">
        <v>23</v>
      </c>
      <c r="C70" t="s">
        <v>24</v>
      </c>
      <c r="D70" t="s">
        <v>53</v>
      </c>
      <c r="E70" t="s">
        <v>32</v>
      </c>
      <c r="F70">
        <v>191</v>
      </c>
      <c r="G70">
        <v>16</v>
      </c>
      <c r="H70">
        <v>18</v>
      </c>
      <c r="I70">
        <v>3438</v>
      </c>
      <c r="J70">
        <v>171.9</v>
      </c>
      <c r="K70">
        <v>3266.1</v>
      </c>
      <c r="L70">
        <v>3056</v>
      </c>
      <c r="M70">
        <v>210.09999999999991</v>
      </c>
      <c r="N70">
        <v>45538</v>
      </c>
      <c r="O70">
        <v>9</v>
      </c>
      <c r="P70" t="s">
        <v>40</v>
      </c>
      <c r="Q70">
        <v>2024</v>
      </c>
    </row>
    <row r="71" spans="1:17" x14ac:dyDescent="0.3">
      <c r="A71" t="s">
        <v>27</v>
      </c>
      <c r="B71" t="s">
        <v>36</v>
      </c>
      <c r="C71" t="s">
        <v>24</v>
      </c>
      <c r="D71" t="s">
        <v>104</v>
      </c>
      <c r="E71" t="s">
        <v>32</v>
      </c>
      <c r="F71">
        <v>665</v>
      </c>
      <c r="G71">
        <v>11</v>
      </c>
      <c r="H71">
        <v>30</v>
      </c>
      <c r="I71">
        <v>19950</v>
      </c>
      <c r="J71">
        <v>997.5</v>
      </c>
      <c r="K71">
        <v>18952.5</v>
      </c>
      <c r="L71">
        <v>7315</v>
      </c>
      <c r="M71">
        <v>11637.5</v>
      </c>
      <c r="N71">
        <v>45206</v>
      </c>
      <c r="O71">
        <v>10</v>
      </c>
      <c r="P71" t="s">
        <v>55</v>
      </c>
      <c r="Q71">
        <v>2023</v>
      </c>
    </row>
    <row r="72" spans="1:17" x14ac:dyDescent="0.3">
      <c r="A72" t="s">
        <v>16</v>
      </c>
      <c r="B72" t="s">
        <v>22</v>
      </c>
      <c r="C72" t="s">
        <v>24</v>
      </c>
      <c r="D72" t="s">
        <v>50</v>
      </c>
      <c r="E72" t="s">
        <v>32</v>
      </c>
      <c r="F72">
        <v>644</v>
      </c>
      <c r="G72">
        <v>12</v>
      </c>
      <c r="H72">
        <v>35</v>
      </c>
      <c r="I72">
        <v>22540</v>
      </c>
      <c r="J72">
        <v>1127</v>
      </c>
      <c r="K72">
        <v>21413</v>
      </c>
      <c r="L72">
        <v>7728</v>
      </c>
      <c r="M72">
        <v>13685</v>
      </c>
      <c r="N72">
        <v>45586</v>
      </c>
      <c r="O72">
        <v>10</v>
      </c>
      <c r="P72" t="s">
        <v>55</v>
      </c>
      <c r="Q72">
        <v>2024</v>
      </c>
    </row>
    <row r="73" spans="1:17" x14ac:dyDescent="0.3">
      <c r="A73" t="s">
        <v>16</v>
      </c>
      <c r="B73" t="s">
        <v>17</v>
      </c>
      <c r="C73" t="s">
        <v>24</v>
      </c>
      <c r="D73" t="s">
        <v>105</v>
      </c>
      <c r="E73" t="s">
        <v>32</v>
      </c>
      <c r="F73">
        <v>526</v>
      </c>
      <c r="G73">
        <v>12</v>
      </c>
      <c r="H73">
        <v>26</v>
      </c>
      <c r="I73">
        <v>13676</v>
      </c>
      <c r="J73">
        <v>683.80000000000007</v>
      </c>
      <c r="K73">
        <v>12992.2</v>
      </c>
      <c r="L73">
        <v>6312</v>
      </c>
      <c r="M73">
        <v>6680.2000000000007</v>
      </c>
      <c r="N73">
        <v>45471</v>
      </c>
      <c r="O73">
        <v>6</v>
      </c>
      <c r="P73" t="s">
        <v>45</v>
      </c>
      <c r="Q73">
        <v>2024</v>
      </c>
    </row>
    <row r="74" spans="1:17" x14ac:dyDescent="0.3">
      <c r="A74" t="s">
        <v>27</v>
      </c>
      <c r="B74" t="s">
        <v>36</v>
      </c>
      <c r="C74" t="s">
        <v>24</v>
      </c>
      <c r="D74" t="s">
        <v>104</v>
      </c>
      <c r="E74" t="s">
        <v>32</v>
      </c>
      <c r="F74">
        <v>639</v>
      </c>
      <c r="G74">
        <v>11</v>
      </c>
      <c r="H74">
        <v>30</v>
      </c>
      <c r="I74">
        <v>19170</v>
      </c>
      <c r="J74">
        <v>958.5</v>
      </c>
      <c r="K74">
        <v>18211.5</v>
      </c>
      <c r="L74">
        <v>7029</v>
      </c>
      <c r="M74">
        <v>11182.5</v>
      </c>
      <c r="N74">
        <v>45740</v>
      </c>
      <c r="O74">
        <v>3</v>
      </c>
      <c r="P74" t="s">
        <v>38</v>
      </c>
      <c r="Q74">
        <v>2025</v>
      </c>
    </row>
    <row r="75" spans="1:17" x14ac:dyDescent="0.3">
      <c r="A75" t="s">
        <v>26</v>
      </c>
      <c r="B75" t="s">
        <v>36</v>
      </c>
      <c r="C75" t="s">
        <v>24</v>
      </c>
      <c r="D75" t="s">
        <v>106</v>
      </c>
      <c r="E75" t="s">
        <v>32</v>
      </c>
      <c r="F75">
        <v>576</v>
      </c>
      <c r="G75">
        <v>17</v>
      </c>
      <c r="H75">
        <v>36</v>
      </c>
      <c r="I75">
        <v>20736</v>
      </c>
      <c r="J75">
        <v>1036.8</v>
      </c>
      <c r="K75">
        <v>19699.2</v>
      </c>
      <c r="L75">
        <v>9792</v>
      </c>
      <c r="M75">
        <v>9907.2000000000007</v>
      </c>
      <c r="N75">
        <v>45218</v>
      </c>
      <c r="O75">
        <v>10</v>
      </c>
      <c r="P75" t="s">
        <v>55</v>
      </c>
      <c r="Q75">
        <v>2023</v>
      </c>
    </row>
    <row r="76" spans="1:17" x14ac:dyDescent="0.3">
      <c r="A76" t="s">
        <v>21</v>
      </c>
      <c r="B76" t="s">
        <v>36</v>
      </c>
      <c r="C76" t="s">
        <v>28</v>
      </c>
      <c r="D76" t="s">
        <v>107</v>
      </c>
      <c r="E76" t="s">
        <v>32</v>
      </c>
      <c r="F76">
        <v>126</v>
      </c>
      <c r="G76">
        <v>13</v>
      </c>
      <c r="H76">
        <v>31</v>
      </c>
      <c r="I76">
        <v>3906</v>
      </c>
      <c r="J76">
        <v>195.3</v>
      </c>
      <c r="K76">
        <v>3710.7</v>
      </c>
      <c r="L76">
        <v>1638</v>
      </c>
      <c r="M76">
        <v>2072.6999999999998</v>
      </c>
      <c r="N76">
        <v>45172</v>
      </c>
      <c r="O76">
        <v>9</v>
      </c>
      <c r="P76" t="s">
        <v>40</v>
      </c>
      <c r="Q76">
        <v>2023</v>
      </c>
    </row>
    <row r="77" spans="1:17" x14ac:dyDescent="0.3">
      <c r="A77" t="s">
        <v>16</v>
      </c>
      <c r="B77" t="s">
        <v>36</v>
      </c>
      <c r="C77" t="s">
        <v>28</v>
      </c>
      <c r="D77" t="s">
        <v>69</v>
      </c>
      <c r="E77" t="s">
        <v>32</v>
      </c>
      <c r="F77">
        <v>523</v>
      </c>
      <c r="G77">
        <v>20</v>
      </c>
      <c r="H77">
        <v>25</v>
      </c>
      <c r="I77">
        <v>13075</v>
      </c>
      <c r="J77">
        <v>653.75</v>
      </c>
      <c r="K77">
        <v>12421.25</v>
      </c>
      <c r="L77">
        <v>10460</v>
      </c>
      <c r="M77">
        <v>1961.25</v>
      </c>
      <c r="N77">
        <v>45663</v>
      </c>
      <c r="O77">
        <v>1</v>
      </c>
      <c r="P77" t="s">
        <v>58</v>
      </c>
      <c r="Q77">
        <v>2025</v>
      </c>
    </row>
    <row r="78" spans="1:17" x14ac:dyDescent="0.3">
      <c r="A78" t="s">
        <v>26</v>
      </c>
      <c r="B78" t="s">
        <v>36</v>
      </c>
      <c r="C78" t="s">
        <v>28</v>
      </c>
      <c r="D78" t="s">
        <v>108</v>
      </c>
      <c r="E78" t="s">
        <v>32</v>
      </c>
      <c r="F78">
        <v>913</v>
      </c>
      <c r="G78">
        <v>10</v>
      </c>
      <c r="H78">
        <v>31</v>
      </c>
      <c r="I78">
        <v>28303</v>
      </c>
      <c r="J78">
        <v>1415.15</v>
      </c>
      <c r="K78">
        <v>26887.85</v>
      </c>
      <c r="L78">
        <v>9130</v>
      </c>
      <c r="M78">
        <v>17757.849999999999</v>
      </c>
      <c r="N78">
        <v>45050</v>
      </c>
      <c r="O78">
        <v>5</v>
      </c>
      <c r="P78" t="s">
        <v>46</v>
      </c>
      <c r="Q78">
        <v>2023</v>
      </c>
    </row>
    <row r="79" spans="1:17" x14ac:dyDescent="0.3">
      <c r="A79" t="s">
        <v>26</v>
      </c>
      <c r="B79" t="s">
        <v>22</v>
      </c>
      <c r="C79" t="s">
        <v>28</v>
      </c>
      <c r="D79" t="s">
        <v>109</v>
      </c>
      <c r="E79" t="s">
        <v>32</v>
      </c>
      <c r="F79">
        <v>585</v>
      </c>
      <c r="G79">
        <v>20</v>
      </c>
      <c r="H79">
        <v>21</v>
      </c>
      <c r="I79">
        <v>12285</v>
      </c>
      <c r="J79">
        <v>614.25</v>
      </c>
      <c r="K79">
        <v>11670.75</v>
      </c>
      <c r="L79">
        <v>11700</v>
      </c>
      <c r="M79">
        <v>-29.25</v>
      </c>
      <c r="N79">
        <v>45699</v>
      </c>
      <c r="O79">
        <v>2</v>
      </c>
      <c r="P79" t="s">
        <v>52</v>
      </c>
      <c r="Q79">
        <v>2025</v>
      </c>
    </row>
    <row r="80" spans="1:17" x14ac:dyDescent="0.3">
      <c r="A80" t="s">
        <v>26</v>
      </c>
      <c r="B80" t="s">
        <v>23</v>
      </c>
      <c r="C80" t="s">
        <v>28</v>
      </c>
      <c r="D80" t="s">
        <v>110</v>
      </c>
      <c r="E80" t="s">
        <v>32</v>
      </c>
      <c r="F80">
        <v>35</v>
      </c>
      <c r="G80">
        <v>20</v>
      </c>
      <c r="H80">
        <v>25</v>
      </c>
      <c r="I80">
        <v>875</v>
      </c>
      <c r="J80">
        <v>8.75</v>
      </c>
      <c r="K80">
        <v>866.25</v>
      </c>
      <c r="L80">
        <v>700</v>
      </c>
      <c r="M80">
        <v>166.25</v>
      </c>
      <c r="N80">
        <v>45367</v>
      </c>
      <c r="O80">
        <v>3</v>
      </c>
      <c r="P80" t="s">
        <v>38</v>
      </c>
      <c r="Q80">
        <v>2024</v>
      </c>
    </row>
    <row r="81" spans="1:17" x14ac:dyDescent="0.3">
      <c r="A81" t="s">
        <v>21</v>
      </c>
      <c r="B81" t="s">
        <v>20</v>
      </c>
      <c r="C81" t="s">
        <v>28</v>
      </c>
      <c r="D81" t="s">
        <v>111</v>
      </c>
      <c r="E81" t="s">
        <v>32</v>
      </c>
      <c r="F81">
        <v>996</v>
      </c>
      <c r="G81">
        <v>16</v>
      </c>
      <c r="H81">
        <v>27</v>
      </c>
      <c r="I81">
        <v>26892</v>
      </c>
      <c r="J81">
        <v>1344.6000000000001</v>
      </c>
      <c r="K81">
        <v>25547.4</v>
      </c>
      <c r="L81">
        <v>15936</v>
      </c>
      <c r="M81">
        <v>9611.4000000000015</v>
      </c>
      <c r="N81">
        <v>45657</v>
      </c>
      <c r="O81">
        <v>12</v>
      </c>
      <c r="P81" t="s">
        <v>77</v>
      </c>
      <c r="Q81">
        <v>2024</v>
      </c>
    </row>
    <row r="82" spans="1:17" x14ac:dyDescent="0.3">
      <c r="A82" t="s">
        <v>25</v>
      </c>
      <c r="B82" t="s">
        <v>20</v>
      </c>
      <c r="C82" t="s">
        <v>28</v>
      </c>
      <c r="D82" t="s">
        <v>65</v>
      </c>
      <c r="E82" t="s">
        <v>32</v>
      </c>
      <c r="F82">
        <v>960</v>
      </c>
      <c r="G82">
        <v>16</v>
      </c>
      <c r="H82">
        <v>24</v>
      </c>
      <c r="I82">
        <v>23040</v>
      </c>
      <c r="J82">
        <v>1152</v>
      </c>
      <c r="K82">
        <v>21888</v>
      </c>
      <c r="L82">
        <v>15360</v>
      </c>
      <c r="M82">
        <v>6528</v>
      </c>
      <c r="N82">
        <v>45730</v>
      </c>
      <c r="O82">
        <v>3</v>
      </c>
      <c r="P82" t="s">
        <v>38</v>
      </c>
      <c r="Q82">
        <v>2025</v>
      </c>
    </row>
    <row r="83" spans="1:17" x14ac:dyDescent="0.3">
      <c r="A83" t="s">
        <v>27</v>
      </c>
      <c r="B83" t="s">
        <v>36</v>
      </c>
      <c r="C83" t="s">
        <v>28</v>
      </c>
      <c r="D83" t="s">
        <v>112</v>
      </c>
      <c r="E83" t="s">
        <v>32</v>
      </c>
      <c r="F83">
        <v>421</v>
      </c>
      <c r="G83">
        <v>10</v>
      </c>
      <c r="H83">
        <v>19</v>
      </c>
      <c r="I83">
        <v>7999</v>
      </c>
      <c r="J83">
        <v>399.95000000000005</v>
      </c>
      <c r="K83">
        <v>7599.05</v>
      </c>
      <c r="L83">
        <v>4210</v>
      </c>
      <c r="M83">
        <v>3389.05</v>
      </c>
      <c r="N83">
        <v>45453</v>
      </c>
      <c r="O83">
        <v>6</v>
      </c>
      <c r="P83" t="s">
        <v>45</v>
      </c>
      <c r="Q83">
        <v>2024</v>
      </c>
    </row>
    <row r="84" spans="1:17" x14ac:dyDescent="0.3">
      <c r="A84" t="s">
        <v>16</v>
      </c>
      <c r="B84" t="s">
        <v>22</v>
      </c>
      <c r="C84" t="s">
        <v>28</v>
      </c>
      <c r="D84" t="s">
        <v>93</v>
      </c>
      <c r="E84" t="s">
        <v>32</v>
      </c>
      <c r="F84">
        <v>175</v>
      </c>
      <c r="G84">
        <v>12</v>
      </c>
      <c r="H84">
        <v>27</v>
      </c>
      <c r="I84">
        <v>4725</v>
      </c>
      <c r="J84">
        <v>236.25</v>
      </c>
      <c r="K84">
        <v>4488.75</v>
      </c>
      <c r="L84">
        <v>2100</v>
      </c>
      <c r="M84">
        <v>2388.75</v>
      </c>
      <c r="N84">
        <v>45690</v>
      </c>
      <c r="O84">
        <v>2</v>
      </c>
      <c r="P84" t="s">
        <v>52</v>
      </c>
      <c r="Q84">
        <v>2025</v>
      </c>
    </row>
    <row r="85" spans="1:17" x14ac:dyDescent="0.3">
      <c r="A85" t="s">
        <v>16</v>
      </c>
      <c r="B85" t="s">
        <v>22</v>
      </c>
      <c r="C85" t="s">
        <v>29</v>
      </c>
      <c r="D85" t="s">
        <v>94</v>
      </c>
      <c r="E85" t="s">
        <v>32</v>
      </c>
      <c r="F85">
        <v>533</v>
      </c>
      <c r="G85">
        <v>19</v>
      </c>
      <c r="H85">
        <v>22</v>
      </c>
      <c r="I85">
        <v>11726</v>
      </c>
      <c r="J85">
        <v>586.30000000000007</v>
      </c>
      <c r="K85">
        <v>11139.7</v>
      </c>
      <c r="L85">
        <v>10127</v>
      </c>
      <c r="M85">
        <v>1012.7000000000007</v>
      </c>
      <c r="N85">
        <v>45446</v>
      </c>
      <c r="O85">
        <v>6</v>
      </c>
      <c r="P85" t="s">
        <v>45</v>
      </c>
      <c r="Q85">
        <v>2024</v>
      </c>
    </row>
    <row r="86" spans="1:17" x14ac:dyDescent="0.3">
      <c r="A86" t="s">
        <v>16</v>
      </c>
      <c r="B86" t="s">
        <v>23</v>
      </c>
      <c r="C86" t="s">
        <v>29</v>
      </c>
      <c r="D86" t="s">
        <v>72</v>
      </c>
      <c r="E86" t="s">
        <v>32</v>
      </c>
      <c r="F86">
        <v>351</v>
      </c>
      <c r="G86">
        <v>18</v>
      </c>
      <c r="H86">
        <v>33</v>
      </c>
      <c r="I86">
        <v>11583</v>
      </c>
      <c r="J86">
        <v>579.15</v>
      </c>
      <c r="K86">
        <v>11003.85</v>
      </c>
      <c r="L86">
        <v>6318</v>
      </c>
      <c r="M86">
        <v>4685.8500000000004</v>
      </c>
      <c r="N86">
        <v>45655</v>
      </c>
      <c r="O86">
        <v>12</v>
      </c>
      <c r="P86" t="s">
        <v>77</v>
      </c>
      <c r="Q86">
        <v>2024</v>
      </c>
    </row>
    <row r="87" spans="1:17" x14ac:dyDescent="0.3">
      <c r="A87" t="s">
        <v>26</v>
      </c>
      <c r="B87" t="s">
        <v>17</v>
      </c>
      <c r="C87" t="s">
        <v>29</v>
      </c>
      <c r="D87" t="s">
        <v>79</v>
      </c>
      <c r="E87" t="s">
        <v>32</v>
      </c>
      <c r="F87">
        <v>482</v>
      </c>
      <c r="G87">
        <v>16</v>
      </c>
      <c r="H87">
        <v>28</v>
      </c>
      <c r="I87">
        <v>13496</v>
      </c>
      <c r="J87">
        <v>674.80000000000007</v>
      </c>
      <c r="K87">
        <v>12821.2</v>
      </c>
      <c r="L87">
        <v>7712</v>
      </c>
      <c r="M87">
        <v>5109.2000000000007</v>
      </c>
      <c r="N87">
        <v>45606</v>
      </c>
      <c r="O87">
        <v>11</v>
      </c>
      <c r="P87" t="s">
        <v>43</v>
      </c>
      <c r="Q87">
        <v>2024</v>
      </c>
    </row>
    <row r="88" spans="1:17" x14ac:dyDescent="0.3">
      <c r="A88" t="s">
        <v>26</v>
      </c>
      <c r="B88" t="s">
        <v>36</v>
      </c>
      <c r="C88" t="s">
        <v>29</v>
      </c>
      <c r="D88" t="s">
        <v>78</v>
      </c>
      <c r="E88" t="s">
        <v>32</v>
      </c>
      <c r="F88">
        <v>655</v>
      </c>
      <c r="G88">
        <v>12</v>
      </c>
      <c r="H88">
        <v>36</v>
      </c>
      <c r="I88">
        <v>23580</v>
      </c>
      <c r="J88">
        <v>1179</v>
      </c>
      <c r="K88">
        <v>22401</v>
      </c>
      <c r="L88">
        <v>7860</v>
      </c>
      <c r="M88">
        <v>14541</v>
      </c>
      <c r="N88">
        <v>45713</v>
      </c>
      <c r="O88">
        <v>2</v>
      </c>
      <c r="P88" t="s">
        <v>52</v>
      </c>
      <c r="Q88">
        <v>2025</v>
      </c>
    </row>
    <row r="89" spans="1:17" x14ac:dyDescent="0.3">
      <c r="A89" t="s">
        <v>16</v>
      </c>
      <c r="B89" t="s">
        <v>17</v>
      </c>
      <c r="C89" t="s">
        <v>29</v>
      </c>
      <c r="D89" t="s">
        <v>113</v>
      </c>
      <c r="E89" t="s">
        <v>32</v>
      </c>
      <c r="F89">
        <v>711</v>
      </c>
      <c r="G89">
        <v>18</v>
      </c>
      <c r="H89">
        <v>23</v>
      </c>
      <c r="I89">
        <v>16353</v>
      </c>
      <c r="J89">
        <v>817.65000000000009</v>
      </c>
      <c r="K89">
        <v>15535.35</v>
      </c>
      <c r="L89">
        <v>12798</v>
      </c>
      <c r="M89">
        <v>2737.3500000000004</v>
      </c>
      <c r="N89">
        <v>45287</v>
      </c>
      <c r="O89">
        <v>12</v>
      </c>
      <c r="P89" t="s">
        <v>77</v>
      </c>
      <c r="Q89">
        <v>2023</v>
      </c>
    </row>
    <row r="90" spans="1:17" x14ac:dyDescent="0.3">
      <c r="A90" t="s">
        <v>16</v>
      </c>
      <c r="B90" t="s">
        <v>20</v>
      </c>
      <c r="C90" t="s">
        <v>30</v>
      </c>
      <c r="D90" t="s">
        <v>114</v>
      </c>
      <c r="E90" t="s">
        <v>32</v>
      </c>
      <c r="F90">
        <v>284</v>
      </c>
      <c r="G90">
        <v>13</v>
      </c>
      <c r="H90">
        <v>38</v>
      </c>
      <c r="I90">
        <v>10792</v>
      </c>
      <c r="J90">
        <v>539.6</v>
      </c>
      <c r="K90">
        <v>10252.4</v>
      </c>
      <c r="L90">
        <v>3692</v>
      </c>
      <c r="M90">
        <v>6560.4</v>
      </c>
      <c r="N90">
        <v>45406</v>
      </c>
      <c r="O90">
        <v>4</v>
      </c>
      <c r="P90" t="s">
        <v>75</v>
      </c>
      <c r="Q90">
        <v>2024</v>
      </c>
    </row>
    <row r="91" spans="1:17" x14ac:dyDescent="0.3">
      <c r="A91" t="s">
        <v>16</v>
      </c>
      <c r="B91" t="s">
        <v>17</v>
      </c>
      <c r="C91" t="s">
        <v>30</v>
      </c>
      <c r="D91" t="s">
        <v>86</v>
      </c>
      <c r="E91" t="s">
        <v>32</v>
      </c>
      <c r="F91">
        <v>645</v>
      </c>
      <c r="G91">
        <v>15</v>
      </c>
      <c r="H91">
        <v>36</v>
      </c>
      <c r="I91">
        <v>23220</v>
      </c>
      <c r="J91">
        <v>1161</v>
      </c>
      <c r="K91">
        <v>22059</v>
      </c>
      <c r="L91">
        <v>9675</v>
      </c>
      <c r="M91">
        <v>12384</v>
      </c>
      <c r="N91">
        <v>45750</v>
      </c>
      <c r="O91">
        <v>4</v>
      </c>
      <c r="P91" t="s">
        <v>75</v>
      </c>
      <c r="Q91">
        <v>2025</v>
      </c>
    </row>
    <row r="92" spans="1:17" x14ac:dyDescent="0.3">
      <c r="A92" t="s">
        <v>26</v>
      </c>
      <c r="B92" t="s">
        <v>36</v>
      </c>
      <c r="C92" t="s">
        <v>30</v>
      </c>
      <c r="D92" t="s">
        <v>115</v>
      </c>
      <c r="E92" t="s">
        <v>32</v>
      </c>
      <c r="F92">
        <v>239</v>
      </c>
      <c r="G92">
        <v>13</v>
      </c>
      <c r="H92">
        <v>16</v>
      </c>
      <c r="I92">
        <v>3824</v>
      </c>
      <c r="J92">
        <v>191.20000000000002</v>
      </c>
      <c r="K92">
        <v>3632.8</v>
      </c>
      <c r="L92">
        <v>3107</v>
      </c>
      <c r="M92">
        <v>525.80000000000018</v>
      </c>
      <c r="N92">
        <v>45174</v>
      </c>
      <c r="O92">
        <v>9</v>
      </c>
      <c r="P92" t="s">
        <v>40</v>
      </c>
      <c r="Q92">
        <v>2023</v>
      </c>
    </row>
    <row r="93" spans="1:17" x14ac:dyDescent="0.3">
      <c r="A93" t="s">
        <v>26</v>
      </c>
      <c r="B93" t="s">
        <v>22</v>
      </c>
      <c r="C93" t="s">
        <v>30</v>
      </c>
      <c r="D93" t="s">
        <v>116</v>
      </c>
      <c r="E93" t="s">
        <v>32</v>
      </c>
      <c r="F93">
        <v>999</v>
      </c>
      <c r="G93">
        <v>12</v>
      </c>
      <c r="H93">
        <v>21</v>
      </c>
      <c r="I93">
        <v>20979</v>
      </c>
      <c r="J93">
        <v>1048.95</v>
      </c>
      <c r="K93">
        <v>19930.05</v>
      </c>
      <c r="L93">
        <v>11988</v>
      </c>
      <c r="M93">
        <v>7942.0499999999993</v>
      </c>
      <c r="N93">
        <v>45677</v>
      </c>
      <c r="O93">
        <v>1</v>
      </c>
      <c r="P93" t="s">
        <v>58</v>
      </c>
      <c r="Q93">
        <v>2025</v>
      </c>
    </row>
    <row r="94" spans="1:17" x14ac:dyDescent="0.3">
      <c r="A94" t="s">
        <v>27</v>
      </c>
      <c r="B94" t="s">
        <v>20</v>
      </c>
      <c r="C94" t="s">
        <v>30</v>
      </c>
      <c r="D94" t="s">
        <v>117</v>
      </c>
      <c r="E94" t="s">
        <v>32</v>
      </c>
      <c r="F94">
        <v>596</v>
      </c>
      <c r="G94">
        <v>13</v>
      </c>
      <c r="H94">
        <v>16</v>
      </c>
      <c r="I94">
        <v>9536</v>
      </c>
      <c r="J94">
        <v>476.8</v>
      </c>
      <c r="K94">
        <v>9059.2000000000007</v>
      </c>
      <c r="L94">
        <v>7748</v>
      </c>
      <c r="M94">
        <v>1311.2000000000007</v>
      </c>
      <c r="N94">
        <v>45642</v>
      </c>
      <c r="O94">
        <v>12</v>
      </c>
      <c r="P94" t="s">
        <v>77</v>
      </c>
      <c r="Q94">
        <v>2024</v>
      </c>
    </row>
    <row r="95" spans="1:17" x14ac:dyDescent="0.3">
      <c r="A95" t="s">
        <v>27</v>
      </c>
      <c r="B95" t="s">
        <v>23</v>
      </c>
      <c r="C95" t="s">
        <v>30</v>
      </c>
      <c r="D95" t="s">
        <v>118</v>
      </c>
      <c r="E95" t="s">
        <v>32</v>
      </c>
      <c r="F95">
        <v>890</v>
      </c>
      <c r="G95">
        <v>10</v>
      </c>
      <c r="H95">
        <v>19</v>
      </c>
      <c r="I95">
        <v>16910</v>
      </c>
      <c r="J95">
        <v>845.5</v>
      </c>
      <c r="K95">
        <v>16064.5</v>
      </c>
      <c r="L95">
        <v>8900</v>
      </c>
      <c r="M95">
        <v>7164.5</v>
      </c>
      <c r="N95">
        <v>45487</v>
      </c>
      <c r="O95">
        <v>7</v>
      </c>
      <c r="P95" t="s">
        <v>48</v>
      </c>
      <c r="Q95">
        <v>2024</v>
      </c>
    </row>
    <row r="96" spans="1:17" x14ac:dyDescent="0.3">
      <c r="A96" t="s">
        <v>16</v>
      </c>
      <c r="B96" t="s">
        <v>23</v>
      </c>
      <c r="C96" t="s">
        <v>30</v>
      </c>
      <c r="D96" t="s">
        <v>119</v>
      </c>
      <c r="E96" t="s">
        <v>32</v>
      </c>
      <c r="F96">
        <v>169</v>
      </c>
      <c r="G96">
        <v>18</v>
      </c>
      <c r="H96">
        <v>19</v>
      </c>
      <c r="I96">
        <v>3211</v>
      </c>
      <c r="J96">
        <v>160.55000000000001</v>
      </c>
      <c r="K96">
        <v>3050.45</v>
      </c>
      <c r="L96">
        <v>3042</v>
      </c>
      <c r="M96">
        <v>8.4499999999998181</v>
      </c>
      <c r="N96">
        <v>45272</v>
      </c>
      <c r="O96">
        <v>12</v>
      </c>
      <c r="P96" t="s">
        <v>77</v>
      </c>
      <c r="Q96">
        <v>2023</v>
      </c>
    </row>
    <row r="97" spans="1:17" x14ac:dyDescent="0.3">
      <c r="A97" t="s">
        <v>26</v>
      </c>
      <c r="B97" t="s">
        <v>22</v>
      </c>
      <c r="C97" t="s">
        <v>30</v>
      </c>
      <c r="D97" t="s">
        <v>116</v>
      </c>
      <c r="E97" t="s">
        <v>32</v>
      </c>
      <c r="F97">
        <v>43</v>
      </c>
      <c r="G97">
        <v>12</v>
      </c>
      <c r="H97">
        <v>21</v>
      </c>
      <c r="I97">
        <v>903</v>
      </c>
      <c r="J97">
        <v>9.0299999999999994</v>
      </c>
      <c r="K97">
        <v>893.97</v>
      </c>
      <c r="L97">
        <v>516</v>
      </c>
      <c r="M97">
        <v>377.97</v>
      </c>
      <c r="N97">
        <v>45546</v>
      </c>
      <c r="O97">
        <v>9</v>
      </c>
      <c r="P97" t="s">
        <v>40</v>
      </c>
      <c r="Q97">
        <v>2024</v>
      </c>
    </row>
    <row r="98" spans="1:17" x14ac:dyDescent="0.3">
      <c r="A98" t="s">
        <v>25</v>
      </c>
      <c r="B98" t="s">
        <v>36</v>
      </c>
      <c r="C98" t="s">
        <v>31</v>
      </c>
      <c r="D98" t="s">
        <v>88</v>
      </c>
      <c r="E98" t="s">
        <v>32</v>
      </c>
      <c r="F98">
        <v>510</v>
      </c>
      <c r="G98">
        <v>15</v>
      </c>
      <c r="H98">
        <v>34</v>
      </c>
      <c r="I98">
        <v>17340</v>
      </c>
      <c r="J98">
        <v>867</v>
      </c>
      <c r="K98">
        <v>16473</v>
      </c>
      <c r="L98">
        <v>7650</v>
      </c>
      <c r="M98">
        <v>8823</v>
      </c>
      <c r="N98">
        <v>45070</v>
      </c>
      <c r="O98">
        <v>5</v>
      </c>
      <c r="P98" t="s">
        <v>46</v>
      </c>
      <c r="Q98">
        <v>2023</v>
      </c>
    </row>
    <row r="99" spans="1:17" x14ac:dyDescent="0.3">
      <c r="A99" t="s">
        <v>21</v>
      </c>
      <c r="B99" t="s">
        <v>22</v>
      </c>
      <c r="C99" t="s">
        <v>31</v>
      </c>
      <c r="D99" t="s">
        <v>120</v>
      </c>
      <c r="E99" t="s">
        <v>32</v>
      </c>
      <c r="F99">
        <v>138</v>
      </c>
      <c r="G99">
        <v>13</v>
      </c>
      <c r="H99">
        <v>37</v>
      </c>
      <c r="I99">
        <v>5106</v>
      </c>
      <c r="J99">
        <v>255.3</v>
      </c>
      <c r="K99">
        <v>4850.7</v>
      </c>
      <c r="L99">
        <v>1794</v>
      </c>
      <c r="M99">
        <v>3056.7</v>
      </c>
      <c r="N99">
        <v>45431</v>
      </c>
      <c r="O99">
        <v>5</v>
      </c>
      <c r="P99" t="s">
        <v>46</v>
      </c>
      <c r="Q99">
        <v>2024</v>
      </c>
    </row>
    <row r="100" spans="1:17" x14ac:dyDescent="0.3">
      <c r="A100" t="s">
        <v>26</v>
      </c>
      <c r="B100" t="s">
        <v>17</v>
      </c>
      <c r="C100" t="s">
        <v>18</v>
      </c>
      <c r="D100" t="s">
        <v>121</v>
      </c>
      <c r="E100" t="s">
        <v>32</v>
      </c>
      <c r="F100">
        <v>975</v>
      </c>
      <c r="G100">
        <v>20</v>
      </c>
      <c r="H100">
        <v>24</v>
      </c>
      <c r="I100">
        <v>23400</v>
      </c>
      <c r="J100">
        <v>1170</v>
      </c>
      <c r="K100">
        <v>22230</v>
      </c>
      <c r="L100">
        <v>19500</v>
      </c>
      <c r="M100">
        <v>2730</v>
      </c>
      <c r="N100">
        <v>45691</v>
      </c>
      <c r="O100">
        <v>2</v>
      </c>
      <c r="P100" t="s">
        <v>52</v>
      </c>
      <c r="Q100">
        <v>2025</v>
      </c>
    </row>
    <row r="101" spans="1:17" x14ac:dyDescent="0.3">
      <c r="A101" t="s">
        <v>25</v>
      </c>
      <c r="B101" t="s">
        <v>17</v>
      </c>
      <c r="C101" t="s">
        <v>18</v>
      </c>
      <c r="D101" t="s">
        <v>98</v>
      </c>
      <c r="E101" t="s">
        <v>32</v>
      </c>
      <c r="F101">
        <v>684</v>
      </c>
      <c r="G101">
        <v>20</v>
      </c>
      <c r="H101">
        <v>18</v>
      </c>
      <c r="I101">
        <v>12312</v>
      </c>
      <c r="J101">
        <v>615.6</v>
      </c>
      <c r="K101">
        <v>11696.4</v>
      </c>
      <c r="L101">
        <v>13680</v>
      </c>
      <c r="M101">
        <v>-1983.6000000000004</v>
      </c>
      <c r="N101">
        <v>45733</v>
      </c>
      <c r="O101">
        <v>3</v>
      </c>
      <c r="P101" t="s">
        <v>38</v>
      </c>
      <c r="Q101">
        <v>2025</v>
      </c>
    </row>
    <row r="102" spans="1:17" x14ac:dyDescent="0.3">
      <c r="A102" t="s">
        <v>27</v>
      </c>
      <c r="B102" t="s">
        <v>20</v>
      </c>
      <c r="C102" t="s">
        <v>18</v>
      </c>
      <c r="D102" t="s">
        <v>122</v>
      </c>
      <c r="E102" t="s">
        <v>32</v>
      </c>
      <c r="F102">
        <v>326</v>
      </c>
      <c r="G102">
        <v>15</v>
      </c>
      <c r="H102">
        <v>33</v>
      </c>
      <c r="I102">
        <v>10758</v>
      </c>
      <c r="J102">
        <v>537.9</v>
      </c>
      <c r="K102">
        <v>10220.1</v>
      </c>
      <c r="L102">
        <v>4890</v>
      </c>
      <c r="M102">
        <v>5330.1</v>
      </c>
      <c r="N102">
        <v>45607</v>
      </c>
      <c r="O102">
        <v>11</v>
      </c>
      <c r="P102" t="s">
        <v>43</v>
      </c>
      <c r="Q102">
        <v>2024</v>
      </c>
    </row>
    <row r="103" spans="1:17" x14ac:dyDescent="0.3">
      <c r="A103" t="s">
        <v>16</v>
      </c>
      <c r="B103" t="s">
        <v>22</v>
      </c>
      <c r="C103" t="s">
        <v>18</v>
      </c>
      <c r="D103" t="s">
        <v>103</v>
      </c>
      <c r="E103" t="s">
        <v>32</v>
      </c>
      <c r="F103">
        <v>354</v>
      </c>
      <c r="G103">
        <v>11</v>
      </c>
      <c r="H103">
        <v>20</v>
      </c>
      <c r="I103">
        <v>7080</v>
      </c>
      <c r="J103">
        <v>354</v>
      </c>
      <c r="K103">
        <v>6726</v>
      </c>
      <c r="L103">
        <v>3894</v>
      </c>
      <c r="M103">
        <v>2832</v>
      </c>
      <c r="N103">
        <v>45351</v>
      </c>
      <c r="O103">
        <v>2</v>
      </c>
      <c r="P103" t="s">
        <v>52</v>
      </c>
      <c r="Q103">
        <v>2024</v>
      </c>
    </row>
    <row r="104" spans="1:17" x14ac:dyDescent="0.3">
      <c r="A104" t="s">
        <v>16</v>
      </c>
      <c r="B104" t="s">
        <v>17</v>
      </c>
      <c r="C104" t="s">
        <v>18</v>
      </c>
      <c r="D104" t="s">
        <v>37</v>
      </c>
      <c r="E104" t="s">
        <v>32</v>
      </c>
      <c r="F104">
        <v>185</v>
      </c>
      <c r="G104">
        <v>12</v>
      </c>
      <c r="H104">
        <v>29</v>
      </c>
      <c r="I104">
        <v>5365</v>
      </c>
      <c r="J104">
        <v>268.25</v>
      </c>
      <c r="K104">
        <v>5096.75</v>
      </c>
      <c r="L104">
        <v>2220</v>
      </c>
      <c r="M104">
        <v>2876.75</v>
      </c>
      <c r="N104">
        <v>45690</v>
      </c>
      <c r="O104">
        <v>2</v>
      </c>
      <c r="P104" t="s">
        <v>52</v>
      </c>
      <c r="Q104">
        <v>2025</v>
      </c>
    </row>
    <row r="105" spans="1:17" x14ac:dyDescent="0.3">
      <c r="A105" t="s">
        <v>25</v>
      </c>
      <c r="B105" t="s">
        <v>36</v>
      </c>
      <c r="C105" t="s">
        <v>24</v>
      </c>
      <c r="D105" t="s">
        <v>123</v>
      </c>
      <c r="E105" t="s">
        <v>32</v>
      </c>
      <c r="F105">
        <v>372</v>
      </c>
      <c r="G105">
        <v>17</v>
      </c>
      <c r="H105">
        <v>31</v>
      </c>
      <c r="I105">
        <v>11532</v>
      </c>
      <c r="J105">
        <v>576.6</v>
      </c>
      <c r="K105">
        <v>10955.4</v>
      </c>
      <c r="L105">
        <v>6324</v>
      </c>
      <c r="M105">
        <v>4631.3999999999996</v>
      </c>
      <c r="N105">
        <v>45126</v>
      </c>
      <c r="O105">
        <v>7</v>
      </c>
      <c r="P105" t="s">
        <v>48</v>
      </c>
      <c r="Q105">
        <v>2023</v>
      </c>
    </row>
    <row r="106" spans="1:17" x14ac:dyDescent="0.3">
      <c r="A106" t="s">
        <v>16</v>
      </c>
      <c r="B106" t="s">
        <v>36</v>
      </c>
      <c r="C106" t="s">
        <v>24</v>
      </c>
      <c r="D106" t="s">
        <v>124</v>
      </c>
      <c r="E106" t="s">
        <v>32</v>
      </c>
      <c r="F106">
        <v>440</v>
      </c>
      <c r="G106">
        <v>15</v>
      </c>
      <c r="H106">
        <v>34</v>
      </c>
      <c r="I106">
        <v>14960</v>
      </c>
      <c r="J106">
        <v>748</v>
      </c>
      <c r="K106">
        <v>14212</v>
      </c>
      <c r="L106">
        <v>6600</v>
      </c>
      <c r="M106">
        <v>7612</v>
      </c>
      <c r="N106">
        <v>45061</v>
      </c>
      <c r="O106">
        <v>5</v>
      </c>
      <c r="P106" t="s">
        <v>46</v>
      </c>
      <c r="Q106">
        <v>2023</v>
      </c>
    </row>
    <row r="107" spans="1:17" x14ac:dyDescent="0.3">
      <c r="A107" t="s">
        <v>25</v>
      </c>
      <c r="B107" t="s">
        <v>23</v>
      </c>
      <c r="C107" t="s">
        <v>24</v>
      </c>
      <c r="D107" t="s">
        <v>125</v>
      </c>
      <c r="E107" t="s">
        <v>32</v>
      </c>
      <c r="F107">
        <v>846</v>
      </c>
      <c r="G107">
        <v>10</v>
      </c>
      <c r="H107">
        <v>19</v>
      </c>
      <c r="I107">
        <v>16074</v>
      </c>
      <c r="J107">
        <v>803.7</v>
      </c>
      <c r="K107">
        <v>15270.3</v>
      </c>
      <c r="L107">
        <v>8460</v>
      </c>
      <c r="M107">
        <v>6810.2999999999993</v>
      </c>
      <c r="N107">
        <v>45730</v>
      </c>
      <c r="O107">
        <v>3</v>
      </c>
      <c r="P107" t="s">
        <v>38</v>
      </c>
      <c r="Q107">
        <v>2025</v>
      </c>
    </row>
    <row r="108" spans="1:17" x14ac:dyDescent="0.3">
      <c r="A108" t="s">
        <v>26</v>
      </c>
      <c r="B108" t="s">
        <v>23</v>
      </c>
      <c r="C108" t="s">
        <v>24</v>
      </c>
      <c r="D108" t="s">
        <v>126</v>
      </c>
      <c r="E108" t="s">
        <v>32</v>
      </c>
      <c r="F108">
        <v>101</v>
      </c>
      <c r="G108">
        <v>19</v>
      </c>
      <c r="H108">
        <v>33</v>
      </c>
      <c r="I108">
        <v>3333</v>
      </c>
      <c r="J108">
        <v>166.65</v>
      </c>
      <c r="K108">
        <v>3166.35</v>
      </c>
      <c r="L108">
        <v>1919</v>
      </c>
      <c r="M108">
        <v>1247.3499999999999</v>
      </c>
      <c r="N108">
        <v>45091</v>
      </c>
      <c r="O108">
        <v>6</v>
      </c>
      <c r="P108" t="s">
        <v>45</v>
      </c>
      <c r="Q108">
        <v>2023</v>
      </c>
    </row>
    <row r="109" spans="1:17" x14ac:dyDescent="0.3">
      <c r="A109" t="s">
        <v>21</v>
      </c>
      <c r="B109" t="s">
        <v>17</v>
      </c>
      <c r="C109" t="s">
        <v>28</v>
      </c>
      <c r="D109" t="s">
        <v>71</v>
      </c>
      <c r="E109" t="s">
        <v>32</v>
      </c>
      <c r="F109">
        <v>371</v>
      </c>
      <c r="G109">
        <v>17</v>
      </c>
      <c r="H109">
        <v>25</v>
      </c>
      <c r="I109">
        <v>9275</v>
      </c>
      <c r="J109">
        <v>463.75</v>
      </c>
      <c r="K109">
        <v>8811.25</v>
      </c>
      <c r="L109">
        <v>6307</v>
      </c>
      <c r="M109">
        <v>2504.25</v>
      </c>
      <c r="N109">
        <v>45495</v>
      </c>
      <c r="O109">
        <v>7</v>
      </c>
      <c r="P109" t="s">
        <v>48</v>
      </c>
      <c r="Q109">
        <v>2024</v>
      </c>
    </row>
    <row r="110" spans="1:17" x14ac:dyDescent="0.3">
      <c r="A110" t="s">
        <v>27</v>
      </c>
      <c r="B110" t="s">
        <v>22</v>
      </c>
      <c r="C110" t="s">
        <v>28</v>
      </c>
      <c r="D110" t="s">
        <v>127</v>
      </c>
      <c r="E110" t="s">
        <v>32</v>
      </c>
      <c r="F110">
        <v>335</v>
      </c>
      <c r="G110">
        <v>19</v>
      </c>
      <c r="H110">
        <v>28</v>
      </c>
      <c r="I110">
        <v>9380</v>
      </c>
      <c r="J110">
        <v>469</v>
      </c>
      <c r="K110">
        <v>8911</v>
      </c>
      <c r="L110">
        <v>6365</v>
      </c>
      <c r="M110">
        <v>2546</v>
      </c>
      <c r="N110">
        <v>45653</v>
      </c>
      <c r="O110">
        <v>12</v>
      </c>
      <c r="P110" t="s">
        <v>77</v>
      </c>
      <c r="Q110">
        <v>2024</v>
      </c>
    </row>
    <row r="111" spans="1:17" x14ac:dyDescent="0.3">
      <c r="A111" t="s">
        <v>27</v>
      </c>
      <c r="B111" t="s">
        <v>20</v>
      </c>
      <c r="C111" t="s">
        <v>28</v>
      </c>
      <c r="D111" t="s">
        <v>128</v>
      </c>
      <c r="E111" t="s">
        <v>32</v>
      </c>
      <c r="F111">
        <v>305</v>
      </c>
      <c r="G111">
        <v>14</v>
      </c>
      <c r="H111">
        <v>16</v>
      </c>
      <c r="I111">
        <v>4880</v>
      </c>
      <c r="J111">
        <v>244</v>
      </c>
      <c r="K111">
        <v>4636</v>
      </c>
      <c r="L111">
        <v>4270</v>
      </c>
      <c r="M111">
        <v>366</v>
      </c>
      <c r="N111">
        <v>45401</v>
      </c>
      <c r="O111">
        <v>4</v>
      </c>
      <c r="P111" t="s">
        <v>75</v>
      </c>
      <c r="Q111">
        <v>2024</v>
      </c>
    </row>
    <row r="112" spans="1:17" x14ac:dyDescent="0.3">
      <c r="A112" t="s">
        <v>25</v>
      </c>
      <c r="B112" t="s">
        <v>36</v>
      </c>
      <c r="C112" t="s">
        <v>28</v>
      </c>
      <c r="D112" t="s">
        <v>70</v>
      </c>
      <c r="E112" t="s">
        <v>32</v>
      </c>
      <c r="F112">
        <v>439</v>
      </c>
      <c r="G112">
        <v>15</v>
      </c>
      <c r="H112">
        <v>16</v>
      </c>
      <c r="I112">
        <v>7024</v>
      </c>
      <c r="J112">
        <v>351.20000000000005</v>
      </c>
      <c r="K112">
        <v>6672.8</v>
      </c>
      <c r="L112">
        <v>6585</v>
      </c>
      <c r="M112">
        <v>87.800000000000182</v>
      </c>
      <c r="N112">
        <v>45290</v>
      </c>
      <c r="O112">
        <v>12</v>
      </c>
      <c r="P112" t="s">
        <v>77</v>
      </c>
      <c r="Q112">
        <v>2023</v>
      </c>
    </row>
    <row r="113" spans="1:17" x14ac:dyDescent="0.3">
      <c r="A113" t="s">
        <v>26</v>
      </c>
      <c r="B113" t="s">
        <v>23</v>
      </c>
      <c r="C113" t="s">
        <v>28</v>
      </c>
      <c r="D113" t="s">
        <v>110</v>
      </c>
      <c r="E113" t="s">
        <v>32</v>
      </c>
      <c r="F113">
        <v>185</v>
      </c>
      <c r="G113">
        <v>20</v>
      </c>
      <c r="H113">
        <v>25</v>
      </c>
      <c r="I113">
        <v>4625</v>
      </c>
      <c r="J113">
        <v>231.25</v>
      </c>
      <c r="K113">
        <v>4393.75</v>
      </c>
      <c r="L113">
        <v>3700</v>
      </c>
      <c r="M113">
        <v>693.75</v>
      </c>
      <c r="N113">
        <v>45508</v>
      </c>
      <c r="O113">
        <v>8</v>
      </c>
      <c r="P113" t="s">
        <v>62</v>
      </c>
      <c r="Q113">
        <v>2024</v>
      </c>
    </row>
    <row r="114" spans="1:17" x14ac:dyDescent="0.3">
      <c r="A114" t="s">
        <v>25</v>
      </c>
      <c r="B114" t="s">
        <v>17</v>
      </c>
      <c r="C114" t="s">
        <v>28</v>
      </c>
      <c r="D114" t="s">
        <v>63</v>
      </c>
      <c r="E114" t="s">
        <v>32</v>
      </c>
      <c r="F114">
        <v>34</v>
      </c>
      <c r="G114">
        <v>11</v>
      </c>
      <c r="H114">
        <v>21</v>
      </c>
      <c r="I114">
        <v>714</v>
      </c>
      <c r="J114">
        <v>7.1400000000000006</v>
      </c>
      <c r="K114">
        <v>706.86</v>
      </c>
      <c r="L114">
        <v>374</v>
      </c>
      <c r="M114">
        <v>332.86</v>
      </c>
      <c r="N114">
        <v>45526</v>
      </c>
      <c r="O114">
        <v>8</v>
      </c>
      <c r="P114" t="s">
        <v>62</v>
      </c>
      <c r="Q114">
        <v>2024</v>
      </c>
    </row>
    <row r="115" spans="1:17" x14ac:dyDescent="0.3">
      <c r="A115" t="s">
        <v>26</v>
      </c>
      <c r="B115" t="s">
        <v>20</v>
      </c>
      <c r="C115" t="s">
        <v>28</v>
      </c>
      <c r="D115" t="s">
        <v>129</v>
      </c>
      <c r="E115" t="s">
        <v>32</v>
      </c>
      <c r="F115">
        <v>615</v>
      </c>
      <c r="G115">
        <v>12</v>
      </c>
      <c r="H115">
        <v>31</v>
      </c>
      <c r="I115">
        <v>19065</v>
      </c>
      <c r="J115">
        <v>953.25</v>
      </c>
      <c r="K115">
        <v>18111.75</v>
      </c>
      <c r="L115">
        <v>7380</v>
      </c>
      <c r="M115">
        <v>10731.75</v>
      </c>
      <c r="N115">
        <v>45169</v>
      </c>
      <c r="O115">
        <v>8</v>
      </c>
      <c r="P115" t="s">
        <v>62</v>
      </c>
      <c r="Q115">
        <v>2023</v>
      </c>
    </row>
    <row r="116" spans="1:17" x14ac:dyDescent="0.3">
      <c r="A116" t="s">
        <v>26</v>
      </c>
      <c r="B116" t="s">
        <v>23</v>
      </c>
      <c r="C116" t="s">
        <v>28</v>
      </c>
      <c r="D116" t="s">
        <v>110</v>
      </c>
      <c r="E116" t="s">
        <v>32</v>
      </c>
      <c r="F116">
        <v>968</v>
      </c>
      <c r="G116">
        <v>20</v>
      </c>
      <c r="H116">
        <v>25</v>
      </c>
      <c r="I116">
        <v>24200</v>
      </c>
      <c r="J116">
        <v>1210</v>
      </c>
      <c r="K116">
        <v>22990</v>
      </c>
      <c r="L116">
        <v>19360</v>
      </c>
      <c r="M116">
        <v>3630</v>
      </c>
      <c r="N116">
        <v>45265</v>
      </c>
      <c r="O116">
        <v>12</v>
      </c>
      <c r="P116" t="s">
        <v>77</v>
      </c>
      <c r="Q116">
        <v>2023</v>
      </c>
    </row>
    <row r="117" spans="1:17" x14ac:dyDescent="0.3">
      <c r="A117" t="s">
        <v>25</v>
      </c>
      <c r="B117" t="s">
        <v>22</v>
      </c>
      <c r="C117" t="s">
        <v>28</v>
      </c>
      <c r="D117" t="s">
        <v>130</v>
      </c>
      <c r="E117" t="s">
        <v>32</v>
      </c>
      <c r="F117">
        <v>662</v>
      </c>
      <c r="G117">
        <v>18</v>
      </c>
      <c r="H117">
        <v>27</v>
      </c>
      <c r="I117">
        <v>17874</v>
      </c>
      <c r="J117">
        <v>893.7</v>
      </c>
      <c r="K117">
        <v>16980.3</v>
      </c>
      <c r="L117">
        <v>11916</v>
      </c>
      <c r="M117">
        <v>5064.2999999999993</v>
      </c>
      <c r="N117">
        <v>45229</v>
      </c>
      <c r="O117">
        <v>10</v>
      </c>
      <c r="P117" t="s">
        <v>55</v>
      </c>
      <c r="Q117">
        <v>2023</v>
      </c>
    </row>
    <row r="118" spans="1:17" x14ac:dyDescent="0.3">
      <c r="A118" t="s">
        <v>27</v>
      </c>
      <c r="B118" t="s">
        <v>17</v>
      </c>
      <c r="C118" t="s">
        <v>28</v>
      </c>
      <c r="D118" t="s">
        <v>131</v>
      </c>
      <c r="E118" t="s">
        <v>32</v>
      </c>
      <c r="F118">
        <v>973</v>
      </c>
      <c r="G118">
        <v>10</v>
      </c>
      <c r="H118">
        <v>23</v>
      </c>
      <c r="I118">
        <v>22379</v>
      </c>
      <c r="J118">
        <v>1118.95</v>
      </c>
      <c r="K118">
        <v>21260.05</v>
      </c>
      <c r="L118">
        <v>9730</v>
      </c>
      <c r="M118">
        <v>11530.05</v>
      </c>
      <c r="N118">
        <v>45423</v>
      </c>
      <c r="O118">
        <v>5</v>
      </c>
      <c r="P118" t="s">
        <v>46</v>
      </c>
      <c r="Q118">
        <v>2024</v>
      </c>
    </row>
    <row r="119" spans="1:17" x14ac:dyDescent="0.3">
      <c r="A119" t="s">
        <v>16</v>
      </c>
      <c r="B119" t="s">
        <v>17</v>
      </c>
      <c r="C119" t="s">
        <v>28</v>
      </c>
      <c r="D119" t="s">
        <v>60</v>
      </c>
      <c r="E119" t="s">
        <v>32</v>
      </c>
      <c r="F119">
        <v>865</v>
      </c>
      <c r="G119">
        <v>17</v>
      </c>
      <c r="H119">
        <v>38</v>
      </c>
      <c r="I119">
        <v>32870</v>
      </c>
      <c r="J119">
        <v>1643.5</v>
      </c>
      <c r="K119">
        <v>31226.5</v>
      </c>
      <c r="L119">
        <v>14705</v>
      </c>
      <c r="M119">
        <v>16521.5</v>
      </c>
      <c r="N119">
        <v>45255</v>
      </c>
      <c r="O119">
        <v>11</v>
      </c>
      <c r="P119" t="s">
        <v>43</v>
      </c>
      <c r="Q119">
        <v>2023</v>
      </c>
    </row>
    <row r="120" spans="1:17" x14ac:dyDescent="0.3">
      <c r="A120" t="s">
        <v>26</v>
      </c>
      <c r="B120" t="s">
        <v>17</v>
      </c>
      <c r="C120" t="s">
        <v>28</v>
      </c>
      <c r="D120" t="s">
        <v>132</v>
      </c>
      <c r="E120" t="s">
        <v>32</v>
      </c>
      <c r="F120">
        <v>918</v>
      </c>
      <c r="G120">
        <v>14</v>
      </c>
      <c r="H120">
        <v>19</v>
      </c>
      <c r="I120">
        <v>17442</v>
      </c>
      <c r="J120">
        <v>872.1</v>
      </c>
      <c r="K120">
        <v>16569.900000000001</v>
      </c>
      <c r="L120">
        <v>12852</v>
      </c>
      <c r="M120">
        <v>3717.9000000000015</v>
      </c>
      <c r="N120">
        <v>45505</v>
      </c>
      <c r="O120">
        <v>8</v>
      </c>
      <c r="P120" t="s">
        <v>62</v>
      </c>
      <c r="Q120">
        <v>2024</v>
      </c>
    </row>
    <row r="121" spans="1:17" x14ac:dyDescent="0.3">
      <c r="A121" t="s">
        <v>21</v>
      </c>
      <c r="B121" t="s">
        <v>36</v>
      </c>
      <c r="C121" t="s">
        <v>28</v>
      </c>
      <c r="D121" t="s">
        <v>107</v>
      </c>
      <c r="E121" t="s">
        <v>32</v>
      </c>
      <c r="F121">
        <v>296</v>
      </c>
      <c r="G121">
        <v>13</v>
      </c>
      <c r="H121">
        <v>31</v>
      </c>
      <c r="I121">
        <v>9176</v>
      </c>
      <c r="J121">
        <v>458.8</v>
      </c>
      <c r="K121">
        <v>8717.2000000000007</v>
      </c>
      <c r="L121">
        <v>3848</v>
      </c>
      <c r="M121">
        <v>4869.2000000000007</v>
      </c>
      <c r="N121">
        <v>45327</v>
      </c>
      <c r="O121">
        <v>2</v>
      </c>
      <c r="P121" t="s">
        <v>52</v>
      </c>
      <c r="Q121">
        <v>2024</v>
      </c>
    </row>
    <row r="122" spans="1:17" x14ac:dyDescent="0.3">
      <c r="A122" t="s">
        <v>16</v>
      </c>
      <c r="B122" t="s">
        <v>36</v>
      </c>
      <c r="C122" t="s">
        <v>28</v>
      </c>
      <c r="D122" t="s">
        <v>69</v>
      </c>
      <c r="E122" t="s">
        <v>32</v>
      </c>
      <c r="F122">
        <v>857</v>
      </c>
      <c r="G122">
        <v>20</v>
      </c>
      <c r="H122">
        <v>25</v>
      </c>
      <c r="I122">
        <v>21425</v>
      </c>
      <c r="J122">
        <v>1071.25</v>
      </c>
      <c r="K122">
        <v>20353.75</v>
      </c>
      <c r="L122">
        <v>17140</v>
      </c>
      <c r="M122">
        <v>3213.75</v>
      </c>
      <c r="N122">
        <v>45702</v>
      </c>
      <c r="O122">
        <v>2</v>
      </c>
      <c r="P122" t="s">
        <v>52</v>
      </c>
      <c r="Q122">
        <v>2025</v>
      </c>
    </row>
    <row r="123" spans="1:17" x14ac:dyDescent="0.3">
      <c r="A123" t="s">
        <v>25</v>
      </c>
      <c r="B123" t="s">
        <v>22</v>
      </c>
      <c r="C123" t="s">
        <v>28</v>
      </c>
      <c r="D123" t="s">
        <v>130</v>
      </c>
      <c r="E123" t="s">
        <v>32</v>
      </c>
      <c r="F123">
        <v>810</v>
      </c>
      <c r="G123">
        <v>18</v>
      </c>
      <c r="H123">
        <v>27</v>
      </c>
      <c r="I123">
        <v>21870</v>
      </c>
      <c r="J123">
        <v>1093.5</v>
      </c>
      <c r="K123">
        <v>20776.5</v>
      </c>
      <c r="L123">
        <v>14580</v>
      </c>
      <c r="M123">
        <v>6196.5</v>
      </c>
      <c r="N123">
        <v>45132</v>
      </c>
      <c r="O123">
        <v>7</v>
      </c>
      <c r="P123" t="s">
        <v>48</v>
      </c>
      <c r="Q123">
        <v>2023</v>
      </c>
    </row>
    <row r="124" spans="1:17" x14ac:dyDescent="0.3">
      <c r="A124" t="s">
        <v>25</v>
      </c>
      <c r="B124" t="s">
        <v>23</v>
      </c>
      <c r="C124" t="s">
        <v>28</v>
      </c>
      <c r="D124" t="s">
        <v>133</v>
      </c>
      <c r="E124" t="s">
        <v>32</v>
      </c>
      <c r="F124">
        <v>144</v>
      </c>
      <c r="G124">
        <v>11</v>
      </c>
      <c r="H124">
        <v>24</v>
      </c>
      <c r="I124">
        <v>3456</v>
      </c>
      <c r="J124">
        <v>172.8</v>
      </c>
      <c r="K124">
        <v>3283.2</v>
      </c>
      <c r="L124">
        <v>1584</v>
      </c>
      <c r="M124">
        <v>1699.1999999999998</v>
      </c>
      <c r="N124">
        <v>45120</v>
      </c>
      <c r="O124">
        <v>7</v>
      </c>
      <c r="P124" t="s">
        <v>48</v>
      </c>
      <c r="Q124">
        <v>2023</v>
      </c>
    </row>
    <row r="125" spans="1:17" x14ac:dyDescent="0.3">
      <c r="A125" t="s">
        <v>16</v>
      </c>
      <c r="B125" t="s">
        <v>36</v>
      </c>
      <c r="C125" t="s">
        <v>29</v>
      </c>
      <c r="D125" t="s">
        <v>134</v>
      </c>
      <c r="E125" t="s">
        <v>32</v>
      </c>
      <c r="F125">
        <v>638</v>
      </c>
      <c r="G125">
        <v>13</v>
      </c>
      <c r="H125">
        <v>38</v>
      </c>
      <c r="I125">
        <v>24244</v>
      </c>
      <c r="J125">
        <v>1212.2</v>
      </c>
      <c r="K125">
        <v>23031.8</v>
      </c>
      <c r="L125">
        <v>8294</v>
      </c>
      <c r="M125">
        <v>14737.8</v>
      </c>
      <c r="N125">
        <v>45325</v>
      </c>
      <c r="O125">
        <v>2</v>
      </c>
      <c r="P125" t="s">
        <v>52</v>
      </c>
      <c r="Q125">
        <v>2024</v>
      </c>
    </row>
    <row r="126" spans="1:17" x14ac:dyDescent="0.3">
      <c r="A126" t="s">
        <v>16</v>
      </c>
      <c r="B126" t="s">
        <v>20</v>
      </c>
      <c r="C126" t="s">
        <v>29</v>
      </c>
      <c r="D126" t="s">
        <v>76</v>
      </c>
      <c r="E126" t="s">
        <v>32</v>
      </c>
      <c r="F126">
        <v>551</v>
      </c>
      <c r="G126">
        <v>11</v>
      </c>
      <c r="H126">
        <v>30</v>
      </c>
      <c r="I126">
        <v>16530</v>
      </c>
      <c r="J126">
        <v>826.5</v>
      </c>
      <c r="K126">
        <v>15703.5</v>
      </c>
      <c r="L126">
        <v>6061</v>
      </c>
      <c r="M126">
        <v>9642.5</v>
      </c>
      <c r="N126">
        <v>45253</v>
      </c>
      <c r="O126">
        <v>11</v>
      </c>
      <c r="P126" t="s">
        <v>43</v>
      </c>
      <c r="Q126">
        <v>2023</v>
      </c>
    </row>
    <row r="127" spans="1:17" x14ac:dyDescent="0.3">
      <c r="A127" t="s">
        <v>16</v>
      </c>
      <c r="B127" t="s">
        <v>20</v>
      </c>
      <c r="C127" t="s">
        <v>29</v>
      </c>
      <c r="D127" t="s">
        <v>76</v>
      </c>
      <c r="E127" t="s">
        <v>32</v>
      </c>
      <c r="F127">
        <v>92</v>
      </c>
      <c r="G127">
        <v>11</v>
      </c>
      <c r="H127">
        <v>30</v>
      </c>
      <c r="I127">
        <v>2760</v>
      </c>
      <c r="J127">
        <v>138</v>
      </c>
      <c r="K127">
        <v>2622</v>
      </c>
      <c r="L127">
        <v>1012</v>
      </c>
      <c r="M127">
        <v>1610</v>
      </c>
      <c r="N127">
        <v>45265</v>
      </c>
      <c r="O127">
        <v>12</v>
      </c>
      <c r="P127" t="s">
        <v>77</v>
      </c>
      <c r="Q127">
        <v>2023</v>
      </c>
    </row>
    <row r="128" spans="1:17" x14ac:dyDescent="0.3">
      <c r="A128" t="s">
        <v>26</v>
      </c>
      <c r="B128" t="s">
        <v>20</v>
      </c>
      <c r="C128" t="s">
        <v>29</v>
      </c>
      <c r="D128" t="s">
        <v>135</v>
      </c>
      <c r="E128" t="s">
        <v>32</v>
      </c>
      <c r="F128">
        <v>197</v>
      </c>
      <c r="G128">
        <v>20</v>
      </c>
      <c r="H128">
        <v>38</v>
      </c>
      <c r="I128">
        <v>7486</v>
      </c>
      <c r="J128">
        <v>374.3</v>
      </c>
      <c r="K128">
        <v>7111.7</v>
      </c>
      <c r="L128">
        <v>3940</v>
      </c>
      <c r="M128">
        <v>3171.7</v>
      </c>
      <c r="N128">
        <v>45437</v>
      </c>
      <c r="O128">
        <v>5</v>
      </c>
      <c r="P128" t="s">
        <v>46</v>
      </c>
      <c r="Q128">
        <v>2024</v>
      </c>
    </row>
    <row r="129" spans="1:17" x14ac:dyDescent="0.3">
      <c r="A129" t="s">
        <v>26</v>
      </c>
      <c r="B129" t="s">
        <v>23</v>
      </c>
      <c r="C129" t="s">
        <v>29</v>
      </c>
      <c r="D129" t="s">
        <v>136</v>
      </c>
      <c r="E129" t="s">
        <v>32</v>
      </c>
      <c r="F129">
        <v>521</v>
      </c>
      <c r="G129">
        <v>12</v>
      </c>
      <c r="H129">
        <v>30</v>
      </c>
      <c r="I129">
        <v>15630</v>
      </c>
      <c r="J129">
        <v>781.5</v>
      </c>
      <c r="K129">
        <v>14848.5</v>
      </c>
      <c r="L129">
        <v>6252</v>
      </c>
      <c r="M129">
        <v>8596.5</v>
      </c>
      <c r="N129">
        <v>45351</v>
      </c>
      <c r="O129">
        <v>2</v>
      </c>
      <c r="P129" t="s">
        <v>52</v>
      </c>
      <c r="Q129">
        <v>2024</v>
      </c>
    </row>
    <row r="130" spans="1:17" x14ac:dyDescent="0.3">
      <c r="A130" t="s">
        <v>25</v>
      </c>
      <c r="B130" t="s">
        <v>22</v>
      </c>
      <c r="C130" t="s">
        <v>29</v>
      </c>
      <c r="D130" t="s">
        <v>137</v>
      </c>
      <c r="E130" t="s">
        <v>32</v>
      </c>
      <c r="F130">
        <v>264</v>
      </c>
      <c r="G130">
        <v>18</v>
      </c>
      <c r="H130">
        <v>16</v>
      </c>
      <c r="I130">
        <v>4224</v>
      </c>
      <c r="J130">
        <v>211.20000000000002</v>
      </c>
      <c r="K130">
        <v>4012.8</v>
      </c>
      <c r="L130">
        <v>4752</v>
      </c>
      <c r="M130">
        <v>-739.19999999999982</v>
      </c>
      <c r="N130">
        <v>45590</v>
      </c>
      <c r="O130">
        <v>10</v>
      </c>
      <c r="P130" t="s">
        <v>55</v>
      </c>
      <c r="Q130">
        <v>2024</v>
      </c>
    </row>
    <row r="131" spans="1:17" x14ac:dyDescent="0.3">
      <c r="A131" t="s">
        <v>16</v>
      </c>
      <c r="B131" t="s">
        <v>23</v>
      </c>
      <c r="C131" t="s">
        <v>29</v>
      </c>
      <c r="D131" t="s">
        <v>72</v>
      </c>
      <c r="E131" t="s">
        <v>32</v>
      </c>
      <c r="F131">
        <v>318</v>
      </c>
      <c r="G131">
        <v>18</v>
      </c>
      <c r="H131">
        <v>33</v>
      </c>
      <c r="I131">
        <v>10494</v>
      </c>
      <c r="J131">
        <v>524.70000000000005</v>
      </c>
      <c r="K131">
        <v>9969.2999999999993</v>
      </c>
      <c r="L131">
        <v>5724</v>
      </c>
      <c r="M131">
        <v>4245.2999999999993</v>
      </c>
      <c r="N131">
        <v>45264</v>
      </c>
      <c r="O131">
        <v>12</v>
      </c>
      <c r="P131" t="s">
        <v>77</v>
      </c>
      <c r="Q131">
        <v>2023</v>
      </c>
    </row>
    <row r="132" spans="1:17" x14ac:dyDescent="0.3">
      <c r="A132" t="s">
        <v>25</v>
      </c>
      <c r="B132" t="s">
        <v>23</v>
      </c>
      <c r="C132" t="s">
        <v>29</v>
      </c>
      <c r="D132" t="s">
        <v>138</v>
      </c>
      <c r="E132" t="s">
        <v>32</v>
      </c>
      <c r="F132">
        <v>583</v>
      </c>
      <c r="G132">
        <v>16</v>
      </c>
      <c r="H132">
        <v>31</v>
      </c>
      <c r="I132">
        <v>18073</v>
      </c>
      <c r="J132">
        <v>903.65000000000009</v>
      </c>
      <c r="K132">
        <v>17169.349999999999</v>
      </c>
      <c r="L132">
        <v>9328</v>
      </c>
      <c r="M132">
        <v>7841.3499999999985</v>
      </c>
      <c r="N132">
        <v>45150</v>
      </c>
      <c r="O132">
        <v>8</v>
      </c>
      <c r="P132" t="s">
        <v>62</v>
      </c>
      <c r="Q132">
        <v>2023</v>
      </c>
    </row>
    <row r="133" spans="1:17" x14ac:dyDescent="0.3">
      <c r="A133" t="s">
        <v>26</v>
      </c>
      <c r="B133" t="s">
        <v>23</v>
      </c>
      <c r="C133" t="s">
        <v>30</v>
      </c>
      <c r="D133" t="s">
        <v>139</v>
      </c>
      <c r="E133" t="s">
        <v>32</v>
      </c>
      <c r="F133">
        <v>315</v>
      </c>
      <c r="G133">
        <v>11</v>
      </c>
      <c r="H133">
        <v>22</v>
      </c>
      <c r="I133">
        <v>6930</v>
      </c>
      <c r="J133">
        <v>346.5</v>
      </c>
      <c r="K133">
        <v>6583.5</v>
      </c>
      <c r="L133">
        <v>3465</v>
      </c>
      <c r="M133">
        <v>3118.5</v>
      </c>
      <c r="N133">
        <v>45361</v>
      </c>
      <c r="O133">
        <v>3</v>
      </c>
      <c r="P133" t="s">
        <v>38</v>
      </c>
      <c r="Q133">
        <v>2024</v>
      </c>
    </row>
    <row r="134" spans="1:17" x14ac:dyDescent="0.3">
      <c r="A134" t="s">
        <v>27</v>
      </c>
      <c r="B134" t="s">
        <v>20</v>
      </c>
      <c r="C134" t="s">
        <v>30</v>
      </c>
      <c r="D134" t="s">
        <v>117</v>
      </c>
      <c r="E134" t="s">
        <v>32</v>
      </c>
      <c r="F134">
        <v>769</v>
      </c>
      <c r="G134">
        <v>13</v>
      </c>
      <c r="H134">
        <v>16</v>
      </c>
      <c r="I134">
        <v>12304</v>
      </c>
      <c r="J134">
        <v>615.20000000000005</v>
      </c>
      <c r="K134">
        <v>11688.8</v>
      </c>
      <c r="L134">
        <v>9997</v>
      </c>
      <c r="M134">
        <v>1691.7999999999993</v>
      </c>
      <c r="N134">
        <v>45361</v>
      </c>
      <c r="O134">
        <v>3</v>
      </c>
      <c r="P134" t="s">
        <v>38</v>
      </c>
      <c r="Q134">
        <v>2024</v>
      </c>
    </row>
    <row r="135" spans="1:17" x14ac:dyDescent="0.3">
      <c r="A135" t="s">
        <v>16</v>
      </c>
      <c r="B135" t="s">
        <v>20</v>
      </c>
      <c r="C135" t="s">
        <v>30</v>
      </c>
      <c r="D135" t="s">
        <v>114</v>
      </c>
      <c r="E135" t="s">
        <v>32</v>
      </c>
      <c r="F135">
        <v>155</v>
      </c>
      <c r="G135">
        <v>13</v>
      </c>
      <c r="H135">
        <v>38</v>
      </c>
      <c r="I135">
        <v>5890</v>
      </c>
      <c r="J135">
        <v>294.5</v>
      </c>
      <c r="K135">
        <v>5595.5</v>
      </c>
      <c r="L135">
        <v>2015</v>
      </c>
      <c r="M135">
        <v>3580.5</v>
      </c>
      <c r="N135">
        <v>45572</v>
      </c>
      <c r="O135">
        <v>10</v>
      </c>
      <c r="P135" t="s">
        <v>55</v>
      </c>
      <c r="Q135">
        <v>2024</v>
      </c>
    </row>
    <row r="136" spans="1:17" x14ac:dyDescent="0.3">
      <c r="A136" t="s">
        <v>26</v>
      </c>
      <c r="B136" t="s">
        <v>17</v>
      </c>
      <c r="C136" t="s">
        <v>30</v>
      </c>
      <c r="D136" t="s">
        <v>140</v>
      </c>
      <c r="E136" t="s">
        <v>32</v>
      </c>
      <c r="F136">
        <v>919</v>
      </c>
      <c r="G136">
        <v>16</v>
      </c>
      <c r="H136">
        <v>36</v>
      </c>
      <c r="I136">
        <v>33084</v>
      </c>
      <c r="J136">
        <v>1654.2</v>
      </c>
      <c r="K136">
        <v>31429.8</v>
      </c>
      <c r="L136">
        <v>14704</v>
      </c>
      <c r="M136">
        <v>16725.8</v>
      </c>
      <c r="N136">
        <v>45028</v>
      </c>
      <c r="O136">
        <v>4</v>
      </c>
      <c r="P136" t="s">
        <v>75</v>
      </c>
      <c r="Q136">
        <v>2023</v>
      </c>
    </row>
    <row r="137" spans="1:17" x14ac:dyDescent="0.3">
      <c r="A137" t="s">
        <v>16</v>
      </c>
      <c r="B137" t="s">
        <v>36</v>
      </c>
      <c r="C137" t="s">
        <v>30</v>
      </c>
      <c r="D137" t="s">
        <v>141</v>
      </c>
      <c r="E137" t="s">
        <v>32</v>
      </c>
      <c r="F137">
        <v>329</v>
      </c>
      <c r="G137">
        <v>13</v>
      </c>
      <c r="H137">
        <v>25</v>
      </c>
      <c r="I137">
        <v>8225</v>
      </c>
      <c r="J137">
        <v>411.25</v>
      </c>
      <c r="K137">
        <v>7813.75</v>
      </c>
      <c r="L137">
        <v>4277</v>
      </c>
      <c r="M137">
        <v>3536.75</v>
      </c>
      <c r="N137">
        <v>45334</v>
      </c>
      <c r="O137">
        <v>2</v>
      </c>
      <c r="P137" t="s">
        <v>52</v>
      </c>
      <c r="Q137">
        <v>2024</v>
      </c>
    </row>
    <row r="138" spans="1:17" x14ac:dyDescent="0.3">
      <c r="A138" t="s">
        <v>16</v>
      </c>
      <c r="B138" t="s">
        <v>23</v>
      </c>
      <c r="C138" t="s">
        <v>30</v>
      </c>
      <c r="D138" t="s">
        <v>119</v>
      </c>
      <c r="E138" t="s">
        <v>32</v>
      </c>
      <c r="F138">
        <v>444</v>
      </c>
      <c r="G138">
        <v>18</v>
      </c>
      <c r="H138">
        <v>19</v>
      </c>
      <c r="I138">
        <v>8436</v>
      </c>
      <c r="J138">
        <v>421.8</v>
      </c>
      <c r="K138">
        <v>8014.2</v>
      </c>
      <c r="L138">
        <v>7992</v>
      </c>
      <c r="M138">
        <v>22.199999999999818</v>
      </c>
      <c r="N138">
        <v>45030</v>
      </c>
      <c r="O138">
        <v>4</v>
      </c>
      <c r="P138" t="s">
        <v>75</v>
      </c>
      <c r="Q138">
        <v>2023</v>
      </c>
    </row>
    <row r="139" spans="1:17" x14ac:dyDescent="0.3">
      <c r="A139" t="s">
        <v>27</v>
      </c>
      <c r="B139" t="s">
        <v>20</v>
      </c>
      <c r="C139" t="s">
        <v>31</v>
      </c>
      <c r="D139" t="s">
        <v>142</v>
      </c>
      <c r="E139" t="s">
        <v>32</v>
      </c>
      <c r="F139">
        <v>615</v>
      </c>
      <c r="G139">
        <v>14</v>
      </c>
      <c r="H139">
        <v>26</v>
      </c>
      <c r="I139">
        <v>15990</v>
      </c>
      <c r="J139">
        <v>799.5</v>
      </c>
      <c r="K139">
        <v>15190.5</v>
      </c>
      <c r="L139">
        <v>8610</v>
      </c>
      <c r="M139">
        <v>6580.5</v>
      </c>
      <c r="N139">
        <v>45587</v>
      </c>
      <c r="O139">
        <v>10</v>
      </c>
      <c r="P139" t="s">
        <v>55</v>
      </c>
      <c r="Q139">
        <v>2024</v>
      </c>
    </row>
    <row r="140" spans="1:17" x14ac:dyDescent="0.3">
      <c r="A140" t="s">
        <v>27</v>
      </c>
      <c r="B140" t="s">
        <v>23</v>
      </c>
      <c r="C140" t="s">
        <v>31</v>
      </c>
      <c r="D140" t="s">
        <v>143</v>
      </c>
      <c r="E140" t="s">
        <v>32</v>
      </c>
      <c r="F140">
        <v>129</v>
      </c>
      <c r="G140">
        <v>13</v>
      </c>
      <c r="H140">
        <v>16</v>
      </c>
      <c r="I140">
        <v>2064</v>
      </c>
      <c r="J140">
        <v>103.2</v>
      </c>
      <c r="K140">
        <v>1960.8</v>
      </c>
      <c r="L140">
        <v>1677</v>
      </c>
      <c r="M140">
        <v>283.79999999999995</v>
      </c>
      <c r="N140">
        <v>45527</v>
      </c>
      <c r="O140">
        <v>8</v>
      </c>
      <c r="P140" t="s">
        <v>62</v>
      </c>
      <c r="Q140">
        <v>2024</v>
      </c>
    </row>
    <row r="141" spans="1:17" x14ac:dyDescent="0.3">
      <c r="A141" t="s">
        <v>26</v>
      </c>
      <c r="B141" t="s">
        <v>20</v>
      </c>
      <c r="C141" t="s">
        <v>31</v>
      </c>
      <c r="D141" t="s">
        <v>89</v>
      </c>
      <c r="E141" t="s">
        <v>32</v>
      </c>
      <c r="F141">
        <v>956</v>
      </c>
      <c r="G141">
        <v>10</v>
      </c>
      <c r="H141">
        <v>19</v>
      </c>
      <c r="I141">
        <v>18164</v>
      </c>
      <c r="J141">
        <v>908.2</v>
      </c>
      <c r="K141">
        <v>17255.8</v>
      </c>
      <c r="L141">
        <v>9560</v>
      </c>
      <c r="M141">
        <v>7695.7999999999993</v>
      </c>
      <c r="N141">
        <v>45492</v>
      </c>
      <c r="O141">
        <v>7</v>
      </c>
      <c r="P141" t="s">
        <v>48</v>
      </c>
      <c r="Q141">
        <v>2024</v>
      </c>
    </row>
    <row r="142" spans="1:17" x14ac:dyDescent="0.3">
      <c r="A142" t="s">
        <v>16</v>
      </c>
      <c r="B142" t="s">
        <v>20</v>
      </c>
      <c r="C142" t="s">
        <v>31</v>
      </c>
      <c r="D142" t="s">
        <v>90</v>
      </c>
      <c r="E142" t="s">
        <v>32</v>
      </c>
      <c r="F142">
        <v>245</v>
      </c>
      <c r="G142">
        <v>19</v>
      </c>
      <c r="H142">
        <v>17</v>
      </c>
      <c r="I142">
        <v>4165</v>
      </c>
      <c r="J142">
        <v>208.25</v>
      </c>
      <c r="K142">
        <v>3956.75</v>
      </c>
      <c r="L142">
        <v>4655</v>
      </c>
      <c r="M142">
        <v>-698.25</v>
      </c>
      <c r="N142">
        <v>45174</v>
      </c>
      <c r="O142">
        <v>9</v>
      </c>
      <c r="P142" t="s">
        <v>40</v>
      </c>
      <c r="Q142">
        <v>2023</v>
      </c>
    </row>
    <row r="143" spans="1:17" x14ac:dyDescent="0.3">
      <c r="A143" t="s">
        <v>16</v>
      </c>
      <c r="B143" t="s">
        <v>36</v>
      </c>
      <c r="C143" t="s">
        <v>31</v>
      </c>
      <c r="D143" t="s">
        <v>91</v>
      </c>
      <c r="E143" t="s">
        <v>32</v>
      </c>
      <c r="F143">
        <v>839</v>
      </c>
      <c r="G143">
        <v>10</v>
      </c>
      <c r="H143">
        <v>19</v>
      </c>
      <c r="I143">
        <v>15941</v>
      </c>
      <c r="J143">
        <v>797.05000000000007</v>
      </c>
      <c r="K143">
        <v>15143.95</v>
      </c>
      <c r="L143">
        <v>8390</v>
      </c>
      <c r="M143">
        <v>6753.9500000000007</v>
      </c>
      <c r="N143">
        <v>45245</v>
      </c>
      <c r="O143">
        <v>11</v>
      </c>
      <c r="P143" t="s">
        <v>43</v>
      </c>
      <c r="Q143">
        <v>2023</v>
      </c>
    </row>
    <row r="144" spans="1:17" x14ac:dyDescent="0.3">
      <c r="A144" t="s">
        <v>16</v>
      </c>
      <c r="B144" t="s">
        <v>22</v>
      </c>
      <c r="C144" t="s">
        <v>31</v>
      </c>
      <c r="D144" t="s">
        <v>87</v>
      </c>
      <c r="E144" t="s">
        <v>32</v>
      </c>
      <c r="F144">
        <v>198</v>
      </c>
      <c r="G144">
        <v>19</v>
      </c>
      <c r="H144">
        <v>19</v>
      </c>
      <c r="I144">
        <v>3762</v>
      </c>
      <c r="J144">
        <v>188.10000000000002</v>
      </c>
      <c r="K144">
        <v>3573.9</v>
      </c>
      <c r="L144">
        <v>3762</v>
      </c>
      <c r="M144">
        <v>-188.09999999999991</v>
      </c>
      <c r="N144">
        <v>45376</v>
      </c>
      <c r="O144">
        <v>3</v>
      </c>
      <c r="P144" t="s">
        <v>38</v>
      </c>
      <c r="Q144">
        <v>2024</v>
      </c>
    </row>
    <row r="145" spans="1:17" x14ac:dyDescent="0.3">
      <c r="A145" t="s">
        <v>27</v>
      </c>
      <c r="B145" t="s">
        <v>17</v>
      </c>
      <c r="C145" t="s">
        <v>31</v>
      </c>
      <c r="D145" t="s">
        <v>144</v>
      </c>
      <c r="E145" t="s">
        <v>32</v>
      </c>
      <c r="F145">
        <v>254</v>
      </c>
      <c r="G145">
        <v>20</v>
      </c>
      <c r="H145">
        <v>31</v>
      </c>
      <c r="I145">
        <v>7874</v>
      </c>
      <c r="J145">
        <v>393.70000000000005</v>
      </c>
      <c r="K145">
        <v>7480.3</v>
      </c>
      <c r="L145">
        <v>5080</v>
      </c>
      <c r="M145">
        <v>2400.3000000000002</v>
      </c>
      <c r="N145">
        <v>45126</v>
      </c>
      <c r="O145">
        <v>7</v>
      </c>
      <c r="P145" t="s">
        <v>48</v>
      </c>
      <c r="Q145">
        <v>2023</v>
      </c>
    </row>
    <row r="146" spans="1:17" x14ac:dyDescent="0.3">
      <c r="A146" t="s">
        <v>26</v>
      </c>
      <c r="B146" t="s">
        <v>22</v>
      </c>
      <c r="C146" t="s">
        <v>18</v>
      </c>
      <c r="D146" t="s">
        <v>145</v>
      </c>
      <c r="E146" t="s">
        <v>32</v>
      </c>
      <c r="F146">
        <v>415</v>
      </c>
      <c r="G146">
        <v>10</v>
      </c>
      <c r="H146">
        <v>23</v>
      </c>
      <c r="I146">
        <v>9545</v>
      </c>
      <c r="J146">
        <v>477.25</v>
      </c>
      <c r="K146">
        <v>9067.75</v>
      </c>
      <c r="L146">
        <v>4150</v>
      </c>
      <c r="M146">
        <v>4917.75</v>
      </c>
      <c r="N146">
        <v>45532</v>
      </c>
      <c r="O146">
        <v>8</v>
      </c>
      <c r="P146" t="s">
        <v>62</v>
      </c>
      <c r="Q146">
        <v>2024</v>
      </c>
    </row>
    <row r="147" spans="1:17" x14ac:dyDescent="0.3">
      <c r="A147" t="s">
        <v>16</v>
      </c>
      <c r="B147" t="s">
        <v>20</v>
      </c>
      <c r="C147" t="s">
        <v>18</v>
      </c>
      <c r="D147" t="s">
        <v>39</v>
      </c>
      <c r="E147" t="s">
        <v>32</v>
      </c>
      <c r="F147">
        <v>83</v>
      </c>
      <c r="G147">
        <v>19</v>
      </c>
      <c r="H147">
        <v>19</v>
      </c>
      <c r="I147">
        <v>1577</v>
      </c>
      <c r="J147">
        <v>78.850000000000009</v>
      </c>
      <c r="K147">
        <v>1498.15</v>
      </c>
      <c r="L147">
        <v>1577</v>
      </c>
      <c r="M147">
        <v>-78.849999999999909</v>
      </c>
      <c r="N147">
        <v>45483</v>
      </c>
      <c r="O147">
        <v>7</v>
      </c>
      <c r="P147" t="s">
        <v>48</v>
      </c>
      <c r="Q147">
        <v>2024</v>
      </c>
    </row>
    <row r="148" spans="1:17" x14ac:dyDescent="0.3">
      <c r="A148" t="s">
        <v>27</v>
      </c>
      <c r="B148" t="s">
        <v>20</v>
      </c>
      <c r="C148" t="s">
        <v>18</v>
      </c>
      <c r="D148" t="s">
        <v>122</v>
      </c>
      <c r="E148" t="s">
        <v>32</v>
      </c>
      <c r="F148">
        <v>958</v>
      </c>
      <c r="G148">
        <v>15</v>
      </c>
      <c r="H148">
        <v>33</v>
      </c>
      <c r="I148">
        <v>31614</v>
      </c>
      <c r="J148">
        <v>1580.7</v>
      </c>
      <c r="K148">
        <v>30033.3</v>
      </c>
      <c r="L148">
        <v>14370</v>
      </c>
      <c r="M148">
        <v>15663.3</v>
      </c>
      <c r="N148">
        <v>45503</v>
      </c>
      <c r="O148">
        <v>7</v>
      </c>
      <c r="P148" t="s">
        <v>48</v>
      </c>
      <c r="Q148">
        <v>2024</v>
      </c>
    </row>
    <row r="149" spans="1:17" x14ac:dyDescent="0.3">
      <c r="A149" t="s">
        <v>25</v>
      </c>
      <c r="B149" t="s">
        <v>36</v>
      </c>
      <c r="C149" t="s">
        <v>18</v>
      </c>
      <c r="D149" t="s">
        <v>95</v>
      </c>
      <c r="E149" t="s">
        <v>32</v>
      </c>
      <c r="F149">
        <v>984</v>
      </c>
      <c r="G149">
        <v>13</v>
      </c>
      <c r="H149">
        <v>23</v>
      </c>
      <c r="I149">
        <v>22632</v>
      </c>
      <c r="J149">
        <v>1131.6000000000001</v>
      </c>
      <c r="K149">
        <v>21500.400000000001</v>
      </c>
      <c r="L149">
        <v>12792</v>
      </c>
      <c r="M149">
        <v>8708.4000000000015</v>
      </c>
      <c r="N149">
        <v>45133</v>
      </c>
      <c r="O149">
        <v>7</v>
      </c>
      <c r="P149" t="s">
        <v>48</v>
      </c>
      <c r="Q149">
        <v>2023</v>
      </c>
    </row>
    <row r="150" spans="1:17" x14ac:dyDescent="0.3">
      <c r="A150" t="s">
        <v>25</v>
      </c>
      <c r="B150" t="s">
        <v>17</v>
      </c>
      <c r="C150" t="s">
        <v>18</v>
      </c>
      <c r="D150" t="s">
        <v>98</v>
      </c>
      <c r="E150" t="s">
        <v>32</v>
      </c>
      <c r="F150">
        <v>867</v>
      </c>
      <c r="G150">
        <v>20</v>
      </c>
      <c r="H150">
        <v>18</v>
      </c>
      <c r="I150">
        <v>15606</v>
      </c>
      <c r="J150">
        <v>780.30000000000007</v>
      </c>
      <c r="K150">
        <v>14825.7</v>
      </c>
      <c r="L150">
        <v>17340</v>
      </c>
      <c r="M150">
        <v>-2514.2999999999993</v>
      </c>
      <c r="N150">
        <v>45562</v>
      </c>
      <c r="O150">
        <v>9</v>
      </c>
      <c r="P150" t="s">
        <v>40</v>
      </c>
      <c r="Q150">
        <v>2024</v>
      </c>
    </row>
    <row r="151" spans="1:17" x14ac:dyDescent="0.3">
      <c r="A151" t="s">
        <v>16</v>
      </c>
      <c r="B151" t="s">
        <v>20</v>
      </c>
      <c r="C151" t="s">
        <v>24</v>
      </c>
      <c r="D151" t="s">
        <v>57</v>
      </c>
      <c r="E151" t="s">
        <v>32</v>
      </c>
      <c r="F151">
        <v>794</v>
      </c>
      <c r="G151">
        <v>16</v>
      </c>
      <c r="H151">
        <v>31</v>
      </c>
      <c r="I151">
        <v>24614</v>
      </c>
      <c r="J151">
        <v>1230.7</v>
      </c>
      <c r="K151">
        <v>23383.3</v>
      </c>
      <c r="L151">
        <v>12704</v>
      </c>
      <c r="M151">
        <v>10679.3</v>
      </c>
      <c r="N151">
        <v>45419</v>
      </c>
      <c r="O151">
        <v>5</v>
      </c>
      <c r="P151" t="s">
        <v>46</v>
      </c>
      <c r="Q151">
        <v>2024</v>
      </c>
    </row>
    <row r="152" spans="1:17" x14ac:dyDescent="0.3">
      <c r="A152" t="s">
        <v>25</v>
      </c>
      <c r="B152" t="s">
        <v>22</v>
      </c>
      <c r="C152" t="s">
        <v>24</v>
      </c>
      <c r="D152" t="s">
        <v>146</v>
      </c>
      <c r="E152" t="s">
        <v>32</v>
      </c>
      <c r="F152">
        <v>269</v>
      </c>
      <c r="G152">
        <v>11</v>
      </c>
      <c r="H152">
        <v>32</v>
      </c>
      <c r="I152">
        <v>8608</v>
      </c>
      <c r="J152">
        <v>430.40000000000003</v>
      </c>
      <c r="K152">
        <v>8177.6</v>
      </c>
      <c r="L152">
        <v>2959</v>
      </c>
      <c r="M152">
        <v>5218.6000000000004</v>
      </c>
      <c r="N152">
        <v>45516</v>
      </c>
      <c r="O152">
        <v>8</v>
      </c>
      <c r="P152" t="s">
        <v>62</v>
      </c>
      <c r="Q152">
        <v>2024</v>
      </c>
    </row>
    <row r="153" spans="1:17" x14ac:dyDescent="0.3">
      <c r="A153" t="s">
        <v>16</v>
      </c>
      <c r="B153" t="s">
        <v>22</v>
      </c>
      <c r="C153" t="s">
        <v>24</v>
      </c>
      <c r="D153" t="s">
        <v>50</v>
      </c>
      <c r="E153" t="s">
        <v>32</v>
      </c>
      <c r="F153">
        <v>762</v>
      </c>
      <c r="G153">
        <v>12</v>
      </c>
      <c r="H153">
        <v>35</v>
      </c>
      <c r="I153">
        <v>26670</v>
      </c>
      <c r="J153">
        <v>1333.5</v>
      </c>
      <c r="K153">
        <v>25336.5</v>
      </c>
      <c r="L153">
        <v>9144</v>
      </c>
      <c r="M153">
        <v>16192.5</v>
      </c>
      <c r="N153">
        <v>45584</v>
      </c>
      <c r="O153">
        <v>10</v>
      </c>
      <c r="P153" t="s">
        <v>55</v>
      </c>
      <c r="Q153">
        <v>2024</v>
      </c>
    </row>
    <row r="154" spans="1:17" x14ac:dyDescent="0.3">
      <c r="A154" t="s">
        <v>16</v>
      </c>
      <c r="B154" t="s">
        <v>20</v>
      </c>
      <c r="C154" t="s">
        <v>24</v>
      </c>
      <c r="D154" t="s">
        <v>57</v>
      </c>
      <c r="E154" t="s">
        <v>32</v>
      </c>
      <c r="F154">
        <v>834</v>
      </c>
      <c r="G154">
        <v>16</v>
      </c>
      <c r="H154">
        <v>31</v>
      </c>
      <c r="I154">
        <v>25854</v>
      </c>
      <c r="J154">
        <v>1292.7</v>
      </c>
      <c r="K154">
        <v>24561.3</v>
      </c>
      <c r="L154">
        <v>13344</v>
      </c>
      <c r="M154">
        <v>11217.3</v>
      </c>
      <c r="N154">
        <v>45061</v>
      </c>
      <c r="O154">
        <v>5</v>
      </c>
      <c r="P154" t="s">
        <v>46</v>
      </c>
      <c r="Q154">
        <v>2023</v>
      </c>
    </row>
    <row r="155" spans="1:17" x14ac:dyDescent="0.3">
      <c r="A155" t="s">
        <v>26</v>
      </c>
      <c r="B155" t="s">
        <v>22</v>
      </c>
      <c r="C155" t="s">
        <v>24</v>
      </c>
      <c r="D155" t="s">
        <v>147</v>
      </c>
      <c r="E155" t="s">
        <v>32</v>
      </c>
      <c r="F155">
        <v>540</v>
      </c>
      <c r="G155">
        <v>13</v>
      </c>
      <c r="H155">
        <v>33</v>
      </c>
      <c r="I155">
        <v>17820</v>
      </c>
      <c r="J155">
        <v>891</v>
      </c>
      <c r="K155">
        <v>16929</v>
      </c>
      <c r="L155">
        <v>7020</v>
      </c>
      <c r="M155">
        <v>9909</v>
      </c>
      <c r="N155">
        <v>45284</v>
      </c>
      <c r="O155">
        <v>12</v>
      </c>
      <c r="P155" t="s">
        <v>77</v>
      </c>
      <c r="Q155">
        <v>2023</v>
      </c>
    </row>
    <row r="156" spans="1:17" x14ac:dyDescent="0.3">
      <c r="A156" t="s">
        <v>26</v>
      </c>
      <c r="B156" t="s">
        <v>20</v>
      </c>
      <c r="C156" t="s">
        <v>24</v>
      </c>
      <c r="D156" t="s">
        <v>148</v>
      </c>
      <c r="E156" t="s">
        <v>32</v>
      </c>
      <c r="F156">
        <v>170</v>
      </c>
      <c r="G156">
        <v>17</v>
      </c>
      <c r="H156">
        <v>37</v>
      </c>
      <c r="I156">
        <v>6290</v>
      </c>
      <c r="J156">
        <v>314.5</v>
      </c>
      <c r="K156">
        <v>5975.5</v>
      </c>
      <c r="L156">
        <v>2890</v>
      </c>
      <c r="M156">
        <v>3085.5</v>
      </c>
      <c r="N156">
        <v>45559</v>
      </c>
      <c r="O156">
        <v>9</v>
      </c>
      <c r="P156" t="s">
        <v>40</v>
      </c>
      <c r="Q156">
        <v>2024</v>
      </c>
    </row>
    <row r="157" spans="1:17" x14ac:dyDescent="0.3">
      <c r="A157" t="s">
        <v>27</v>
      </c>
      <c r="B157" t="s">
        <v>22</v>
      </c>
      <c r="C157" t="s">
        <v>28</v>
      </c>
      <c r="D157" t="s">
        <v>127</v>
      </c>
      <c r="E157" t="s">
        <v>32</v>
      </c>
      <c r="F157">
        <v>308</v>
      </c>
      <c r="G157">
        <v>19</v>
      </c>
      <c r="H157">
        <v>28</v>
      </c>
      <c r="I157">
        <v>8624</v>
      </c>
      <c r="J157">
        <v>431.20000000000005</v>
      </c>
      <c r="K157">
        <v>8192.7999999999993</v>
      </c>
      <c r="L157">
        <v>5852</v>
      </c>
      <c r="M157">
        <v>2340.7999999999993</v>
      </c>
      <c r="N157">
        <v>45613</v>
      </c>
      <c r="O157">
        <v>11</v>
      </c>
      <c r="P157" t="s">
        <v>43</v>
      </c>
      <c r="Q157">
        <v>2024</v>
      </c>
    </row>
    <row r="158" spans="1:17" x14ac:dyDescent="0.3">
      <c r="A158" t="s">
        <v>26</v>
      </c>
      <c r="B158" t="s">
        <v>17</v>
      </c>
      <c r="C158" t="s">
        <v>28</v>
      </c>
      <c r="D158" t="s">
        <v>132</v>
      </c>
      <c r="E158" t="s">
        <v>32</v>
      </c>
      <c r="F158">
        <v>358</v>
      </c>
      <c r="G158">
        <v>14</v>
      </c>
      <c r="H158">
        <v>19</v>
      </c>
      <c r="I158">
        <v>6802</v>
      </c>
      <c r="J158">
        <v>340.1</v>
      </c>
      <c r="K158">
        <v>6461.9</v>
      </c>
      <c r="L158">
        <v>5012</v>
      </c>
      <c r="M158">
        <v>1449.8999999999996</v>
      </c>
      <c r="N158">
        <v>45271</v>
      </c>
      <c r="O158">
        <v>12</v>
      </c>
      <c r="P158" t="s">
        <v>77</v>
      </c>
      <c r="Q158">
        <v>2023</v>
      </c>
    </row>
    <row r="159" spans="1:17" x14ac:dyDescent="0.3">
      <c r="A159" t="s">
        <v>25</v>
      </c>
      <c r="B159" t="s">
        <v>22</v>
      </c>
      <c r="C159" t="s">
        <v>28</v>
      </c>
      <c r="D159" t="s">
        <v>130</v>
      </c>
      <c r="E159" t="s">
        <v>32</v>
      </c>
      <c r="F159">
        <v>398</v>
      </c>
      <c r="G159">
        <v>18</v>
      </c>
      <c r="H159">
        <v>27</v>
      </c>
      <c r="I159">
        <v>10746</v>
      </c>
      <c r="J159">
        <v>537.30000000000007</v>
      </c>
      <c r="K159">
        <v>10208.700000000001</v>
      </c>
      <c r="L159">
        <v>7164</v>
      </c>
      <c r="M159">
        <v>3044.7000000000007</v>
      </c>
      <c r="N159">
        <v>45713</v>
      </c>
      <c r="O159">
        <v>2</v>
      </c>
      <c r="P159" t="s">
        <v>52</v>
      </c>
      <c r="Q159">
        <v>2025</v>
      </c>
    </row>
    <row r="160" spans="1:17" x14ac:dyDescent="0.3">
      <c r="A160" t="s">
        <v>27</v>
      </c>
      <c r="B160" t="s">
        <v>20</v>
      </c>
      <c r="C160" t="s">
        <v>28</v>
      </c>
      <c r="D160" t="s">
        <v>128</v>
      </c>
      <c r="E160" t="s">
        <v>32</v>
      </c>
      <c r="F160">
        <v>558</v>
      </c>
      <c r="G160">
        <v>14</v>
      </c>
      <c r="H160">
        <v>16</v>
      </c>
      <c r="I160">
        <v>8928</v>
      </c>
      <c r="J160">
        <v>446.40000000000003</v>
      </c>
      <c r="K160">
        <v>8481.6</v>
      </c>
      <c r="L160">
        <v>7812</v>
      </c>
      <c r="M160">
        <v>669.60000000000036</v>
      </c>
      <c r="N160">
        <v>45407</v>
      </c>
      <c r="O160">
        <v>4</v>
      </c>
      <c r="P160" t="s">
        <v>75</v>
      </c>
      <c r="Q160">
        <v>2024</v>
      </c>
    </row>
    <row r="161" spans="1:17" x14ac:dyDescent="0.3">
      <c r="A161" t="s">
        <v>26</v>
      </c>
      <c r="B161" t="s">
        <v>20</v>
      </c>
      <c r="C161" t="s">
        <v>28</v>
      </c>
      <c r="D161" t="s">
        <v>129</v>
      </c>
      <c r="E161" t="s">
        <v>32</v>
      </c>
      <c r="F161">
        <v>914</v>
      </c>
      <c r="G161">
        <v>12</v>
      </c>
      <c r="H161">
        <v>31</v>
      </c>
      <c r="I161">
        <v>28334</v>
      </c>
      <c r="J161">
        <v>1416.7</v>
      </c>
      <c r="K161">
        <v>26917.3</v>
      </c>
      <c r="L161">
        <v>10968</v>
      </c>
      <c r="M161">
        <v>15949.3</v>
      </c>
      <c r="N161">
        <v>45427</v>
      </c>
      <c r="O161">
        <v>5</v>
      </c>
      <c r="P161" t="s">
        <v>46</v>
      </c>
      <c r="Q161">
        <v>2024</v>
      </c>
    </row>
    <row r="162" spans="1:17" x14ac:dyDescent="0.3">
      <c r="A162" t="s">
        <v>25</v>
      </c>
      <c r="B162" t="s">
        <v>36</v>
      </c>
      <c r="C162" t="s">
        <v>28</v>
      </c>
      <c r="D162" t="s">
        <v>70</v>
      </c>
      <c r="E162" t="s">
        <v>32</v>
      </c>
      <c r="F162">
        <v>923</v>
      </c>
      <c r="G162">
        <v>15</v>
      </c>
      <c r="H162">
        <v>16</v>
      </c>
      <c r="I162">
        <v>14768</v>
      </c>
      <c r="J162">
        <v>738.40000000000009</v>
      </c>
      <c r="K162">
        <v>14029.6</v>
      </c>
      <c r="L162">
        <v>13845</v>
      </c>
      <c r="M162">
        <v>184.60000000000036</v>
      </c>
      <c r="N162">
        <v>45602</v>
      </c>
      <c r="O162">
        <v>11</v>
      </c>
      <c r="P162" t="s">
        <v>43</v>
      </c>
      <c r="Q162">
        <v>2024</v>
      </c>
    </row>
    <row r="163" spans="1:17" x14ac:dyDescent="0.3">
      <c r="A163" t="s">
        <v>26</v>
      </c>
      <c r="B163" t="s">
        <v>17</v>
      </c>
      <c r="C163" t="s">
        <v>28</v>
      </c>
      <c r="D163" t="s">
        <v>132</v>
      </c>
      <c r="E163" t="s">
        <v>32</v>
      </c>
      <c r="F163">
        <v>948</v>
      </c>
      <c r="G163">
        <v>14</v>
      </c>
      <c r="H163">
        <v>19</v>
      </c>
      <c r="I163">
        <v>18012</v>
      </c>
      <c r="J163">
        <v>900.6</v>
      </c>
      <c r="K163">
        <v>17111.400000000001</v>
      </c>
      <c r="L163">
        <v>13272</v>
      </c>
      <c r="M163">
        <v>3839.4000000000015</v>
      </c>
      <c r="N163">
        <v>45491</v>
      </c>
      <c r="O163">
        <v>7</v>
      </c>
      <c r="P163" t="s">
        <v>48</v>
      </c>
      <c r="Q163">
        <v>2024</v>
      </c>
    </row>
    <row r="164" spans="1:17" x14ac:dyDescent="0.3">
      <c r="A164" t="s">
        <v>21</v>
      </c>
      <c r="B164" t="s">
        <v>20</v>
      </c>
      <c r="C164" t="s">
        <v>28</v>
      </c>
      <c r="D164" t="s">
        <v>111</v>
      </c>
      <c r="E164" t="s">
        <v>32</v>
      </c>
      <c r="F164">
        <v>738</v>
      </c>
      <c r="G164">
        <v>16</v>
      </c>
      <c r="H164">
        <v>27</v>
      </c>
      <c r="I164">
        <v>19926</v>
      </c>
      <c r="J164">
        <v>996.30000000000007</v>
      </c>
      <c r="K164">
        <v>18929.7</v>
      </c>
      <c r="L164">
        <v>11808</v>
      </c>
      <c r="M164">
        <v>7121.7000000000007</v>
      </c>
      <c r="N164">
        <v>45641</v>
      </c>
      <c r="O164">
        <v>12</v>
      </c>
      <c r="P164" t="s">
        <v>77</v>
      </c>
      <c r="Q164">
        <v>2024</v>
      </c>
    </row>
    <row r="165" spans="1:17" x14ac:dyDescent="0.3">
      <c r="A165" t="s">
        <v>26</v>
      </c>
      <c r="B165" t="s">
        <v>22</v>
      </c>
      <c r="C165" t="s">
        <v>28</v>
      </c>
      <c r="D165" t="s">
        <v>109</v>
      </c>
      <c r="E165" t="s">
        <v>32</v>
      </c>
      <c r="F165">
        <v>996</v>
      </c>
      <c r="G165">
        <v>20</v>
      </c>
      <c r="H165">
        <v>21</v>
      </c>
      <c r="I165">
        <v>20916</v>
      </c>
      <c r="J165">
        <v>1045.8</v>
      </c>
      <c r="K165">
        <v>19870.2</v>
      </c>
      <c r="L165">
        <v>19920</v>
      </c>
      <c r="M165">
        <v>-49.799999999999272</v>
      </c>
      <c r="N165">
        <v>45465</v>
      </c>
      <c r="O165">
        <v>6</v>
      </c>
      <c r="P165" t="s">
        <v>45</v>
      </c>
      <c r="Q165">
        <v>2024</v>
      </c>
    </row>
    <row r="166" spans="1:17" x14ac:dyDescent="0.3">
      <c r="A166" t="s">
        <v>26</v>
      </c>
      <c r="B166" t="s">
        <v>20</v>
      </c>
      <c r="C166" t="s">
        <v>28</v>
      </c>
      <c r="D166" t="s">
        <v>129</v>
      </c>
      <c r="E166" t="s">
        <v>32</v>
      </c>
      <c r="F166">
        <v>384</v>
      </c>
      <c r="G166">
        <v>12</v>
      </c>
      <c r="H166">
        <v>31</v>
      </c>
      <c r="I166">
        <v>11904</v>
      </c>
      <c r="J166">
        <v>595.20000000000005</v>
      </c>
      <c r="K166">
        <v>11308.8</v>
      </c>
      <c r="L166">
        <v>4608</v>
      </c>
      <c r="M166">
        <v>6700.7999999999993</v>
      </c>
      <c r="N166">
        <v>45231</v>
      </c>
      <c r="O166">
        <v>11</v>
      </c>
      <c r="P166" t="s">
        <v>43</v>
      </c>
      <c r="Q166">
        <v>2023</v>
      </c>
    </row>
    <row r="167" spans="1:17" x14ac:dyDescent="0.3">
      <c r="A167" t="s">
        <v>26</v>
      </c>
      <c r="B167" t="s">
        <v>17</v>
      </c>
      <c r="C167" t="s">
        <v>29</v>
      </c>
      <c r="D167" t="s">
        <v>79</v>
      </c>
      <c r="E167" t="s">
        <v>32</v>
      </c>
      <c r="F167">
        <v>554</v>
      </c>
      <c r="G167">
        <v>16</v>
      </c>
      <c r="H167">
        <v>28</v>
      </c>
      <c r="I167">
        <v>15512</v>
      </c>
      <c r="J167">
        <v>775.6</v>
      </c>
      <c r="K167">
        <v>14736.4</v>
      </c>
      <c r="L167">
        <v>8864</v>
      </c>
      <c r="M167">
        <v>5872.4</v>
      </c>
      <c r="N167">
        <v>45677</v>
      </c>
      <c r="O167">
        <v>1</v>
      </c>
      <c r="P167" t="s">
        <v>58</v>
      </c>
      <c r="Q167">
        <v>2025</v>
      </c>
    </row>
    <row r="168" spans="1:17" x14ac:dyDescent="0.3">
      <c r="A168" t="s">
        <v>27</v>
      </c>
      <c r="B168" t="s">
        <v>36</v>
      </c>
      <c r="C168" t="s">
        <v>30</v>
      </c>
      <c r="D168" t="s">
        <v>149</v>
      </c>
      <c r="E168" t="s">
        <v>32</v>
      </c>
      <c r="F168">
        <v>171</v>
      </c>
      <c r="G168">
        <v>10</v>
      </c>
      <c r="H168">
        <v>38</v>
      </c>
      <c r="I168">
        <v>6498</v>
      </c>
      <c r="J168">
        <v>324.90000000000003</v>
      </c>
      <c r="K168">
        <v>6173.1</v>
      </c>
      <c r="L168">
        <v>1710</v>
      </c>
      <c r="M168">
        <v>4463.1000000000004</v>
      </c>
      <c r="N168">
        <v>45117</v>
      </c>
      <c r="O168">
        <v>7</v>
      </c>
      <c r="P168" t="s">
        <v>48</v>
      </c>
      <c r="Q168">
        <v>2023</v>
      </c>
    </row>
    <row r="169" spans="1:17" x14ac:dyDescent="0.3">
      <c r="A169" t="s">
        <v>25</v>
      </c>
      <c r="B169" t="s">
        <v>23</v>
      </c>
      <c r="C169" t="s">
        <v>30</v>
      </c>
      <c r="D169" t="s">
        <v>150</v>
      </c>
      <c r="E169" t="s">
        <v>32</v>
      </c>
      <c r="F169">
        <v>869</v>
      </c>
      <c r="G169">
        <v>11</v>
      </c>
      <c r="H169">
        <v>30</v>
      </c>
      <c r="I169">
        <v>26070</v>
      </c>
      <c r="J169">
        <v>1303.5</v>
      </c>
      <c r="K169">
        <v>24766.5</v>
      </c>
      <c r="L169">
        <v>9559</v>
      </c>
      <c r="M169">
        <v>15207.5</v>
      </c>
      <c r="N169">
        <v>45040</v>
      </c>
      <c r="O169">
        <v>4</v>
      </c>
      <c r="P169" t="s">
        <v>75</v>
      </c>
      <c r="Q169">
        <v>2023</v>
      </c>
    </row>
    <row r="170" spans="1:17" x14ac:dyDescent="0.3">
      <c r="A170" t="s">
        <v>26</v>
      </c>
      <c r="B170" t="s">
        <v>20</v>
      </c>
      <c r="C170" t="s">
        <v>30</v>
      </c>
      <c r="D170" t="s">
        <v>151</v>
      </c>
      <c r="E170" t="s">
        <v>32</v>
      </c>
      <c r="F170">
        <v>330</v>
      </c>
      <c r="G170">
        <v>13</v>
      </c>
      <c r="H170">
        <v>27</v>
      </c>
      <c r="I170">
        <v>8910</v>
      </c>
      <c r="J170">
        <v>445.5</v>
      </c>
      <c r="K170">
        <v>8464.5</v>
      </c>
      <c r="L170">
        <v>4290</v>
      </c>
      <c r="M170">
        <v>4174.5</v>
      </c>
      <c r="N170">
        <v>45615</v>
      </c>
      <c r="O170">
        <v>11</v>
      </c>
      <c r="P170" t="s">
        <v>43</v>
      </c>
      <c r="Q170">
        <v>2024</v>
      </c>
    </row>
    <row r="171" spans="1:17" x14ac:dyDescent="0.3">
      <c r="A171" t="s">
        <v>27</v>
      </c>
      <c r="B171" t="s">
        <v>17</v>
      </c>
      <c r="C171" t="s">
        <v>30</v>
      </c>
      <c r="D171" t="s">
        <v>80</v>
      </c>
      <c r="E171" t="s">
        <v>32</v>
      </c>
      <c r="F171">
        <v>745</v>
      </c>
      <c r="G171">
        <v>16</v>
      </c>
      <c r="H171">
        <v>16</v>
      </c>
      <c r="I171">
        <v>11920</v>
      </c>
      <c r="J171">
        <v>596</v>
      </c>
      <c r="K171">
        <v>11324</v>
      </c>
      <c r="L171">
        <v>11920</v>
      </c>
      <c r="M171">
        <v>-596</v>
      </c>
      <c r="N171">
        <v>45302</v>
      </c>
      <c r="O171">
        <v>1</v>
      </c>
      <c r="P171" t="s">
        <v>58</v>
      </c>
      <c r="Q171">
        <v>2024</v>
      </c>
    </row>
    <row r="172" spans="1:17" x14ac:dyDescent="0.3">
      <c r="A172" t="s">
        <v>16</v>
      </c>
      <c r="B172" t="s">
        <v>23</v>
      </c>
      <c r="C172" t="s">
        <v>30</v>
      </c>
      <c r="D172" t="s">
        <v>119</v>
      </c>
      <c r="E172" t="s">
        <v>32</v>
      </c>
      <c r="F172">
        <v>997</v>
      </c>
      <c r="G172">
        <v>18</v>
      </c>
      <c r="H172">
        <v>19</v>
      </c>
      <c r="I172">
        <v>18943</v>
      </c>
      <c r="J172">
        <v>947.15000000000009</v>
      </c>
      <c r="K172">
        <v>17995.849999999999</v>
      </c>
      <c r="L172">
        <v>17946</v>
      </c>
      <c r="M172">
        <v>49.849999999998545</v>
      </c>
      <c r="N172">
        <v>45160</v>
      </c>
      <c r="O172">
        <v>8</v>
      </c>
      <c r="P172" t="s">
        <v>62</v>
      </c>
      <c r="Q172">
        <v>2023</v>
      </c>
    </row>
    <row r="173" spans="1:17" x14ac:dyDescent="0.3">
      <c r="A173" t="s">
        <v>21</v>
      </c>
      <c r="B173" t="s">
        <v>20</v>
      </c>
      <c r="C173" t="s">
        <v>30</v>
      </c>
      <c r="D173" t="s">
        <v>83</v>
      </c>
      <c r="E173" t="s">
        <v>32</v>
      </c>
      <c r="F173">
        <v>186</v>
      </c>
      <c r="G173">
        <v>14</v>
      </c>
      <c r="H173">
        <v>31</v>
      </c>
      <c r="I173">
        <v>5766</v>
      </c>
      <c r="J173">
        <v>288.3</v>
      </c>
      <c r="K173">
        <v>5477.7</v>
      </c>
      <c r="L173">
        <v>2604</v>
      </c>
      <c r="M173">
        <v>2873.7</v>
      </c>
      <c r="N173">
        <v>45461</v>
      </c>
      <c r="O173">
        <v>6</v>
      </c>
      <c r="P173" t="s">
        <v>45</v>
      </c>
      <c r="Q173">
        <v>2024</v>
      </c>
    </row>
    <row r="174" spans="1:17" x14ac:dyDescent="0.3">
      <c r="A174" t="s">
        <v>16</v>
      </c>
      <c r="B174" t="s">
        <v>17</v>
      </c>
      <c r="C174" t="s">
        <v>18</v>
      </c>
      <c r="D174" t="s">
        <v>37</v>
      </c>
      <c r="E174" t="s">
        <v>32</v>
      </c>
      <c r="F174">
        <v>316</v>
      </c>
      <c r="G174">
        <v>12</v>
      </c>
      <c r="H174">
        <v>29</v>
      </c>
      <c r="I174">
        <v>9164</v>
      </c>
      <c r="J174">
        <v>458.20000000000005</v>
      </c>
      <c r="K174">
        <v>8705.7999999999993</v>
      </c>
      <c r="L174">
        <v>3792</v>
      </c>
      <c r="M174">
        <v>4913.7999999999993</v>
      </c>
      <c r="N174">
        <v>45568</v>
      </c>
      <c r="O174">
        <v>10</v>
      </c>
      <c r="P174" t="s">
        <v>55</v>
      </c>
      <c r="Q174">
        <v>2024</v>
      </c>
    </row>
    <row r="175" spans="1:17" x14ac:dyDescent="0.3">
      <c r="A175" t="s">
        <v>16</v>
      </c>
      <c r="B175" t="s">
        <v>23</v>
      </c>
      <c r="C175" t="s">
        <v>28</v>
      </c>
      <c r="D175" t="s">
        <v>66</v>
      </c>
      <c r="E175" t="s">
        <v>32</v>
      </c>
      <c r="F175">
        <v>307</v>
      </c>
      <c r="G175">
        <v>11</v>
      </c>
      <c r="H175">
        <v>21</v>
      </c>
      <c r="I175">
        <v>6447</v>
      </c>
      <c r="J175">
        <v>322.35000000000002</v>
      </c>
      <c r="K175">
        <v>6124.65</v>
      </c>
      <c r="L175">
        <v>3377</v>
      </c>
      <c r="M175">
        <v>2747.6499999999996</v>
      </c>
      <c r="N175">
        <v>45062</v>
      </c>
      <c r="O175">
        <v>5</v>
      </c>
      <c r="P175" t="s">
        <v>46</v>
      </c>
      <c r="Q175">
        <v>2023</v>
      </c>
    </row>
    <row r="176" spans="1:17" x14ac:dyDescent="0.3">
      <c r="A176" t="s">
        <v>16</v>
      </c>
      <c r="B176" t="s">
        <v>17</v>
      </c>
      <c r="C176" t="s">
        <v>29</v>
      </c>
      <c r="D176" t="s">
        <v>113</v>
      </c>
      <c r="E176" t="s">
        <v>32</v>
      </c>
      <c r="F176">
        <v>730</v>
      </c>
      <c r="G176">
        <v>18</v>
      </c>
      <c r="H176">
        <v>23</v>
      </c>
      <c r="I176">
        <v>16790</v>
      </c>
      <c r="J176">
        <v>839.5</v>
      </c>
      <c r="K176">
        <v>15950.5</v>
      </c>
      <c r="L176">
        <v>13140</v>
      </c>
      <c r="M176">
        <v>2810.5</v>
      </c>
      <c r="N176">
        <v>45310</v>
      </c>
      <c r="O176">
        <v>1</v>
      </c>
      <c r="P176" t="s">
        <v>58</v>
      </c>
      <c r="Q176">
        <v>2024</v>
      </c>
    </row>
    <row r="177" spans="1:17" x14ac:dyDescent="0.3">
      <c r="A177" t="s">
        <v>25</v>
      </c>
      <c r="B177" t="s">
        <v>20</v>
      </c>
      <c r="C177" t="s">
        <v>30</v>
      </c>
      <c r="D177" t="s">
        <v>81</v>
      </c>
      <c r="E177" t="s">
        <v>32</v>
      </c>
      <c r="F177">
        <v>938</v>
      </c>
      <c r="G177">
        <v>15</v>
      </c>
      <c r="H177">
        <v>25</v>
      </c>
      <c r="I177">
        <v>23450</v>
      </c>
      <c r="J177">
        <v>1172.5</v>
      </c>
      <c r="K177">
        <v>22277.5</v>
      </c>
      <c r="L177">
        <v>14070</v>
      </c>
      <c r="M177">
        <v>8207.5</v>
      </c>
      <c r="N177">
        <v>45687</v>
      </c>
      <c r="O177">
        <v>1</v>
      </c>
      <c r="P177" t="s">
        <v>58</v>
      </c>
      <c r="Q177">
        <v>2025</v>
      </c>
    </row>
    <row r="178" spans="1:17" x14ac:dyDescent="0.3">
      <c r="A178" t="s">
        <v>21</v>
      </c>
      <c r="B178" t="s">
        <v>23</v>
      </c>
      <c r="C178" t="s">
        <v>24</v>
      </c>
      <c r="D178" t="s">
        <v>53</v>
      </c>
      <c r="E178" t="s">
        <v>32</v>
      </c>
      <c r="F178">
        <v>683</v>
      </c>
      <c r="G178">
        <v>16</v>
      </c>
      <c r="H178">
        <v>18</v>
      </c>
      <c r="I178">
        <v>12294</v>
      </c>
      <c r="J178">
        <v>614.70000000000005</v>
      </c>
      <c r="K178">
        <v>11679.3</v>
      </c>
      <c r="L178">
        <v>10928</v>
      </c>
      <c r="M178">
        <v>751.29999999999927</v>
      </c>
      <c r="N178">
        <v>45663</v>
      </c>
      <c r="O178">
        <v>1</v>
      </c>
      <c r="P178" t="s">
        <v>58</v>
      </c>
      <c r="Q178">
        <v>2025</v>
      </c>
    </row>
    <row r="179" spans="1:17" x14ac:dyDescent="0.3">
      <c r="A179" t="s">
        <v>21</v>
      </c>
      <c r="B179" t="s">
        <v>23</v>
      </c>
      <c r="C179" t="s">
        <v>28</v>
      </c>
      <c r="D179" t="s">
        <v>61</v>
      </c>
      <c r="E179" t="s">
        <v>32</v>
      </c>
      <c r="F179">
        <v>317</v>
      </c>
      <c r="G179">
        <v>13</v>
      </c>
      <c r="H179">
        <v>33</v>
      </c>
      <c r="I179">
        <v>10461</v>
      </c>
      <c r="J179">
        <v>523.05000000000007</v>
      </c>
      <c r="K179">
        <v>9937.9500000000007</v>
      </c>
      <c r="L179">
        <v>4121</v>
      </c>
      <c r="M179">
        <v>5816.9500000000007</v>
      </c>
      <c r="N179">
        <v>45531</v>
      </c>
      <c r="O179">
        <v>8</v>
      </c>
      <c r="P179" t="s">
        <v>62</v>
      </c>
      <c r="Q179">
        <v>2024</v>
      </c>
    </row>
    <row r="180" spans="1:17" x14ac:dyDescent="0.3">
      <c r="A180" t="s">
        <v>21</v>
      </c>
      <c r="B180" t="s">
        <v>22</v>
      </c>
      <c r="C180" t="s">
        <v>28</v>
      </c>
      <c r="D180" t="s">
        <v>67</v>
      </c>
      <c r="E180" t="s">
        <v>32</v>
      </c>
      <c r="F180">
        <v>32</v>
      </c>
      <c r="G180">
        <v>16</v>
      </c>
      <c r="H180">
        <v>27</v>
      </c>
      <c r="I180">
        <v>864</v>
      </c>
      <c r="J180">
        <v>8.64</v>
      </c>
      <c r="K180">
        <v>855.36</v>
      </c>
      <c r="L180">
        <v>512</v>
      </c>
      <c r="M180">
        <v>343.36</v>
      </c>
      <c r="N180">
        <v>45356</v>
      </c>
      <c r="O180">
        <v>3</v>
      </c>
      <c r="P180" t="s">
        <v>38</v>
      </c>
      <c r="Q180">
        <v>2024</v>
      </c>
    </row>
    <row r="181" spans="1:17" x14ac:dyDescent="0.3">
      <c r="A181" t="s">
        <v>16</v>
      </c>
      <c r="B181" t="s">
        <v>36</v>
      </c>
      <c r="C181" t="s">
        <v>29</v>
      </c>
      <c r="D181" t="s">
        <v>134</v>
      </c>
      <c r="E181" t="s">
        <v>32</v>
      </c>
      <c r="F181">
        <v>673</v>
      </c>
      <c r="G181">
        <v>13</v>
      </c>
      <c r="H181">
        <v>38</v>
      </c>
      <c r="I181">
        <v>25574</v>
      </c>
      <c r="J181">
        <v>1278.7</v>
      </c>
      <c r="K181">
        <v>24295.3</v>
      </c>
      <c r="L181">
        <v>8749</v>
      </c>
      <c r="M181">
        <v>15546.3</v>
      </c>
      <c r="N181">
        <v>45307</v>
      </c>
      <c r="O181">
        <v>1</v>
      </c>
      <c r="P181" t="s">
        <v>58</v>
      </c>
      <c r="Q181">
        <v>2024</v>
      </c>
    </row>
    <row r="182" spans="1:17" x14ac:dyDescent="0.3">
      <c r="A182" t="s">
        <v>16</v>
      </c>
      <c r="B182" t="s">
        <v>17</v>
      </c>
      <c r="C182" t="s">
        <v>18</v>
      </c>
      <c r="D182" t="s">
        <v>37</v>
      </c>
      <c r="E182" t="s">
        <v>32</v>
      </c>
      <c r="F182">
        <v>908</v>
      </c>
      <c r="G182">
        <v>12</v>
      </c>
      <c r="H182">
        <v>29</v>
      </c>
      <c r="I182">
        <v>26332</v>
      </c>
      <c r="J182">
        <v>1316.6000000000001</v>
      </c>
      <c r="K182">
        <v>25015.4</v>
      </c>
      <c r="L182">
        <v>10896</v>
      </c>
      <c r="M182">
        <v>14119.400000000001</v>
      </c>
      <c r="N182">
        <v>45354</v>
      </c>
      <c r="O182">
        <v>3</v>
      </c>
      <c r="P182" t="s">
        <v>38</v>
      </c>
      <c r="Q182">
        <v>2024</v>
      </c>
    </row>
    <row r="183" spans="1:17" x14ac:dyDescent="0.3">
      <c r="A183" t="s">
        <v>27</v>
      </c>
      <c r="B183" t="s">
        <v>20</v>
      </c>
      <c r="C183" t="s">
        <v>18</v>
      </c>
      <c r="D183" t="s">
        <v>122</v>
      </c>
      <c r="E183" t="s">
        <v>32</v>
      </c>
      <c r="F183">
        <v>125</v>
      </c>
      <c r="G183">
        <v>15</v>
      </c>
      <c r="H183">
        <v>33</v>
      </c>
      <c r="I183">
        <v>4125</v>
      </c>
      <c r="J183">
        <v>206.25</v>
      </c>
      <c r="K183">
        <v>3918.75</v>
      </c>
      <c r="L183">
        <v>1875</v>
      </c>
      <c r="M183">
        <v>2043.75</v>
      </c>
      <c r="N183">
        <v>45256</v>
      </c>
      <c r="O183">
        <v>11</v>
      </c>
      <c r="P183" t="s">
        <v>43</v>
      </c>
      <c r="Q183">
        <v>2023</v>
      </c>
    </row>
    <row r="184" spans="1:17" x14ac:dyDescent="0.3">
      <c r="A184" t="s">
        <v>16</v>
      </c>
      <c r="B184" t="s">
        <v>36</v>
      </c>
      <c r="C184" t="s">
        <v>18</v>
      </c>
      <c r="D184" t="s">
        <v>97</v>
      </c>
      <c r="E184" t="s">
        <v>32</v>
      </c>
      <c r="F184">
        <v>16</v>
      </c>
      <c r="G184">
        <v>11</v>
      </c>
      <c r="H184">
        <v>19</v>
      </c>
      <c r="I184">
        <v>304</v>
      </c>
      <c r="J184">
        <v>3.04</v>
      </c>
      <c r="K184">
        <v>300.95999999999998</v>
      </c>
      <c r="L184">
        <v>176</v>
      </c>
      <c r="M184">
        <v>124.95999999999998</v>
      </c>
      <c r="N184">
        <v>45299</v>
      </c>
      <c r="O184">
        <v>1</v>
      </c>
      <c r="P184" t="s">
        <v>58</v>
      </c>
      <c r="Q184">
        <v>2024</v>
      </c>
    </row>
    <row r="185" spans="1:17" x14ac:dyDescent="0.3">
      <c r="A185" t="s">
        <v>21</v>
      </c>
      <c r="B185" t="s">
        <v>17</v>
      </c>
      <c r="C185" t="s">
        <v>24</v>
      </c>
      <c r="D185" t="s">
        <v>152</v>
      </c>
      <c r="E185" t="s">
        <v>32</v>
      </c>
      <c r="F185">
        <v>144</v>
      </c>
      <c r="G185">
        <v>16</v>
      </c>
      <c r="H185">
        <v>24</v>
      </c>
      <c r="I185">
        <v>3456</v>
      </c>
      <c r="J185">
        <v>172.8</v>
      </c>
      <c r="K185">
        <v>3283.2</v>
      </c>
      <c r="L185">
        <v>2304</v>
      </c>
      <c r="M185">
        <v>979.19999999999982</v>
      </c>
      <c r="N185">
        <v>45481</v>
      </c>
      <c r="O185">
        <v>7</v>
      </c>
      <c r="P185" t="s">
        <v>48</v>
      </c>
      <c r="Q185">
        <v>2024</v>
      </c>
    </row>
    <row r="186" spans="1:17" x14ac:dyDescent="0.3">
      <c r="A186" t="s">
        <v>27</v>
      </c>
      <c r="B186" t="s">
        <v>20</v>
      </c>
      <c r="C186" t="s">
        <v>24</v>
      </c>
      <c r="D186" t="s">
        <v>153</v>
      </c>
      <c r="E186" t="s">
        <v>32</v>
      </c>
      <c r="F186">
        <v>846</v>
      </c>
      <c r="G186">
        <v>14</v>
      </c>
      <c r="H186">
        <v>16</v>
      </c>
      <c r="I186">
        <v>13536</v>
      </c>
      <c r="J186">
        <v>676.80000000000007</v>
      </c>
      <c r="K186">
        <v>12859.2</v>
      </c>
      <c r="L186">
        <v>11844</v>
      </c>
      <c r="M186">
        <v>1015.2000000000007</v>
      </c>
      <c r="N186">
        <v>45254</v>
      </c>
      <c r="O186">
        <v>11</v>
      </c>
      <c r="P186" t="s">
        <v>43</v>
      </c>
      <c r="Q186">
        <v>2023</v>
      </c>
    </row>
    <row r="187" spans="1:17" x14ac:dyDescent="0.3">
      <c r="A187" t="s">
        <v>16</v>
      </c>
      <c r="B187" t="s">
        <v>17</v>
      </c>
      <c r="C187" t="s">
        <v>24</v>
      </c>
      <c r="D187" t="s">
        <v>105</v>
      </c>
      <c r="E187" t="s">
        <v>32</v>
      </c>
      <c r="F187">
        <v>689</v>
      </c>
      <c r="G187">
        <v>12</v>
      </c>
      <c r="H187">
        <v>26</v>
      </c>
      <c r="I187">
        <v>17914</v>
      </c>
      <c r="J187">
        <v>895.7</v>
      </c>
      <c r="K187">
        <v>17018.3</v>
      </c>
      <c r="L187">
        <v>8268</v>
      </c>
      <c r="M187">
        <v>8750.2999999999993</v>
      </c>
      <c r="N187">
        <v>45523</v>
      </c>
      <c r="O187">
        <v>8</v>
      </c>
      <c r="P187" t="s">
        <v>62</v>
      </c>
      <c r="Q187">
        <v>2024</v>
      </c>
    </row>
    <row r="188" spans="1:17" x14ac:dyDescent="0.3">
      <c r="A188" t="s">
        <v>27</v>
      </c>
      <c r="B188" t="s">
        <v>20</v>
      </c>
      <c r="C188" t="s">
        <v>24</v>
      </c>
      <c r="D188" t="s">
        <v>153</v>
      </c>
      <c r="E188" t="s">
        <v>32</v>
      </c>
      <c r="F188">
        <v>44</v>
      </c>
      <c r="G188">
        <v>14</v>
      </c>
      <c r="H188">
        <v>16</v>
      </c>
      <c r="I188">
        <v>704</v>
      </c>
      <c r="J188">
        <v>7.04</v>
      </c>
      <c r="K188">
        <v>696.96</v>
      </c>
      <c r="L188">
        <v>616</v>
      </c>
      <c r="M188">
        <v>80.960000000000036</v>
      </c>
      <c r="N188">
        <v>45139</v>
      </c>
      <c r="O188">
        <v>8</v>
      </c>
      <c r="P188" t="s">
        <v>62</v>
      </c>
      <c r="Q188">
        <v>2023</v>
      </c>
    </row>
    <row r="189" spans="1:17" x14ac:dyDescent="0.3">
      <c r="A189" t="s">
        <v>26</v>
      </c>
      <c r="B189" t="s">
        <v>23</v>
      </c>
      <c r="C189" t="s">
        <v>24</v>
      </c>
      <c r="D189" t="s">
        <v>126</v>
      </c>
      <c r="E189" t="s">
        <v>32</v>
      </c>
      <c r="F189">
        <v>552</v>
      </c>
      <c r="G189">
        <v>19</v>
      </c>
      <c r="H189">
        <v>33</v>
      </c>
      <c r="I189">
        <v>18216</v>
      </c>
      <c r="J189">
        <v>910.80000000000007</v>
      </c>
      <c r="K189">
        <v>17305.2</v>
      </c>
      <c r="L189">
        <v>10488</v>
      </c>
      <c r="M189">
        <v>6817.2000000000007</v>
      </c>
      <c r="N189">
        <v>45396</v>
      </c>
      <c r="O189">
        <v>4</v>
      </c>
      <c r="P189" t="s">
        <v>75</v>
      </c>
      <c r="Q189">
        <v>2024</v>
      </c>
    </row>
    <row r="190" spans="1:17" x14ac:dyDescent="0.3">
      <c r="A190" t="s">
        <v>16</v>
      </c>
      <c r="B190" t="s">
        <v>17</v>
      </c>
      <c r="C190" t="s">
        <v>28</v>
      </c>
      <c r="D190" t="s">
        <v>60</v>
      </c>
      <c r="E190" t="s">
        <v>32</v>
      </c>
      <c r="F190">
        <v>628</v>
      </c>
      <c r="G190">
        <v>17</v>
      </c>
      <c r="H190">
        <v>38</v>
      </c>
      <c r="I190">
        <v>23864</v>
      </c>
      <c r="J190">
        <v>1193.2</v>
      </c>
      <c r="K190">
        <v>22670.799999999999</v>
      </c>
      <c r="L190">
        <v>10676</v>
      </c>
      <c r="M190">
        <v>11994.8</v>
      </c>
      <c r="N190">
        <v>45107</v>
      </c>
      <c r="O190">
        <v>6</v>
      </c>
      <c r="P190" t="s">
        <v>45</v>
      </c>
      <c r="Q190">
        <v>2023</v>
      </c>
    </row>
    <row r="191" spans="1:17" x14ac:dyDescent="0.3">
      <c r="A191" t="s">
        <v>26</v>
      </c>
      <c r="B191" t="s">
        <v>20</v>
      </c>
      <c r="C191" t="s">
        <v>28</v>
      </c>
      <c r="D191" t="s">
        <v>129</v>
      </c>
      <c r="E191" t="s">
        <v>32</v>
      </c>
      <c r="F191">
        <v>64</v>
      </c>
      <c r="G191">
        <v>12</v>
      </c>
      <c r="H191">
        <v>31</v>
      </c>
      <c r="I191">
        <v>1984</v>
      </c>
      <c r="J191">
        <v>99.2</v>
      </c>
      <c r="K191">
        <v>1884.8</v>
      </c>
      <c r="L191">
        <v>768</v>
      </c>
      <c r="M191">
        <v>1116.8</v>
      </c>
      <c r="N191">
        <v>45577</v>
      </c>
      <c r="O191">
        <v>10</v>
      </c>
      <c r="P191" t="s">
        <v>55</v>
      </c>
      <c r="Q191">
        <v>2024</v>
      </c>
    </row>
    <row r="192" spans="1:17" x14ac:dyDescent="0.3">
      <c r="A192" t="s">
        <v>27</v>
      </c>
      <c r="B192" t="s">
        <v>20</v>
      </c>
      <c r="C192" t="s">
        <v>28</v>
      </c>
      <c r="D192" t="s">
        <v>128</v>
      </c>
      <c r="E192" t="s">
        <v>32</v>
      </c>
      <c r="F192">
        <v>765</v>
      </c>
      <c r="G192">
        <v>14</v>
      </c>
      <c r="H192">
        <v>16</v>
      </c>
      <c r="I192">
        <v>12240</v>
      </c>
      <c r="J192">
        <v>612</v>
      </c>
      <c r="K192">
        <v>11628</v>
      </c>
      <c r="L192">
        <v>10710</v>
      </c>
      <c r="M192">
        <v>918</v>
      </c>
      <c r="N192">
        <v>45690</v>
      </c>
      <c r="O192">
        <v>2</v>
      </c>
      <c r="P192" t="s">
        <v>52</v>
      </c>
      <c r="Q192">
        <v>2025</v>
      </c>
    </row>
    <row r="193" spans="1:17" x14ac:dyDescent="0.3">
      <c r="A193" t="s">
        <v>27</v>
      </c>
      <c r="B193" t="s">
        <v>36</v>
      </c>
      <c r="C193" t="s">
        <v>28</v>
      </c>
      <c r="D193" t="s">
        <v>112</v>
      </c>
      <c r="E193" t="s">
        <v>32</v>
      </c>
      <c r="F193">
        <v>31</v>
      </c>
      <c r="G193">
        <v>10</v>
      </c>
      <c r="H193">
        <v>19</v>
      </c>
      <c r="I193">
        <v>589</v>
      </c>
      <c r="J193">
        <v>5.89</v>
      </c>
      <c r="K193">
        <v>583.11</v>
      </c>
      <c r="L193">
        <v>310</v>
      </c>
      <c r="M193">
        <v>273.11</v>
      </c>
      <c r="N193">
        <v>45468</v>
      </c>
      <c r="O193">
        <v>6</v>
      </c>
      <c r="P193" t="s">
        <v>45</v>
      </c>
      <c r="Q193">
        <v>2024</v>
      </c>
    </row>
    <row r="194" spans="1:17" x14ac:dyDescent="0.3">
      <c r="A194" t="s">
        <v>16</v>
      </c>
      <c r="B194" t="s">
        <v>36</v>
      </c>
      <c r="C194" t="s">
        <v>28</v>
      </c>
      <c r="D194" t="s">
        <v>69</v>
      </c>
      <c r="E194" t="s">
        <v>32</v>
      </c>
      <c r="F194">
        <v>332</v>
      </c>
      <c r="G194">
        <v>20</v>
      </c>
      <c r="H194">
        <v>25</v>
      </c>
      <c r="I194">
        <v>8300</v>
      </c>
      <c r="J194">
        <v>415</v>
      </c>
      <c r="K194">
        <v>7885</v>
      </c>
      <c r="L194">
        <v>6640</v>
      </c>
      <c r="M194">
        <v>1245</v>
      </c>
      <c r="N194">
        <v>45258</v>
      </c>
      <c r="O194">
        <v>11</v>
      </c>
      <c r="P194" t="s">
        <v>43</v>
      </c>
      <c r="Q194">
        <v>2023</v>
      </c>
    </row>
    <row r="195" spans="1:17" x14ac:dyDescent="0.3">
      <c r="A195" t="s">
        <v>26</v>
      </c>
      <c r="B195" t="s">
        <v>22</v>
      </c>
      <c r="C195" t="s">
        <v>28</v>
      </c>
      <c r="D195" t="s">
        <v>109</v>
      </c>
      <c r="E195" t="s">
        <v>32</v>
      </c>
      <c r="F195">
        <v>82</v>
      </c>
      <c r="G195">
        <v>20</v>
      </c>
      <c r="H195">
        <v>21</v>
      </c>
      <c r="I195">
        <v>1722</v>
      </c>
      <c r="J195">
        <v>86.100000000000009</v>
      </c>
      <c r="K195">
        <v>1635.9</v>
      </c>
      <c r="L195">
        <v>1640</v>
      </c>
      <c r="M195">
        <v>-4.0999999999999091</v>
      </c>
      <c r="N195">
        <v>45565</v>
      </c>
      <c r="O195">
        <v>9</v>
      </c>
      <c r="P195" t="s">
        <v>40</v>
      </c>
      <c r="Q195">
        <v>2024</v>
      </c>
    </row>
    <row r="196" spans="1:17" x14ac:dyDescent="0.3">
      <c r="A196" t="s">
        <v>21</v>
      </c>
      <c r="B196" t="s">
        <v>17</v>
      </c>
      <c r="C196" t="s">
        <v>28</v>
      </c>
      <c r="D196" t="s">
        <v>71</v>
      </c>
      <c r="E196" t="s">
        <v>32</v>
      </c>
      <c r="F196">
        <v>840</v>
      </c>
      <c r="G196">
        <v>17</v>
      </c>
      <c r="H196">
        <v>25</v>
      </c>
      <c r="I196">
        <v>21000</v>
      </c>
      <c r="J196">
        <v>1050</v>
      </c>
      <c r="K196">
        <v>19950</v>
      </c>
      <c r="L196">
        <v>14280</v>
      </c>
      <c r="M196">
        <v>5670</v>
      </c>
      <c r="N196">
        <v>45528</v>
      </c>
      <c r="O196">
        <v>8</v>
      </c>
      <c r="P196" t="s">
        <v>62</v>
      </c>
      <c r="Q196">
        <v>2024</v>
      </c>
    </row>
    <row r="197" spans="1:17" x14ac:dyDescent="0.3">
      <c r="A197" t="s">
        <v>16</v>
      </c>
      <c r="B197" t="s">
        <v>17</v>
      </c>
      <c r="C197" t="s">
        <v>28</v>
      </c>
      <c r="D197" t="s">
        <v>60</v>
      </c>
      <c r="E197" t="s">
        <v>32</v>
      </c>
      <c r="F197">
        <v>758</v>
      </c>
      <c r="G197">
        <v>17</v>
      </c>
      <c r="H197">
        <v>38</v>
      </c>
      <c r="I197">
        <v>28804</v>
      </c>
      <c r="J197">
        <v>1440.2</v>
      </c>
      <c r="K197">
        <v>27363.8</v>
      </c>
      <c r="L197">
        <v>12886</v>
      </c>
      <c r="M197">
        <v>14477.8</v>
      </c>
      <c r="N197">
        <v>45191</v>
      </c>
      <c r="O197">
        <v>9</v>
      </c>
      <c r="P197" t="s">
        <v>40</v>
      </c>
      <c r="Q197">
        <v>2023</v>
      </c>
    </row>
    <row r="198" spans="1:17" x14ac:dyDescent="0.3">
      <c r="A198" t="s">
        <v>16</v>
      </c>
      <c r="B198" t="s">
        <v>36</v>
      </c>
      <c r="C198" t="s">
        <v>28</v>
      </c>
      <c r="D198" t="s">
        <v>69</v>
      </c>
      <c r="E198" t="s">
        <v>32</v>
      </c>
      <c r="F198">
        <v>981</v>
      </c>
      <c r="G198">
        <v>20</v>
      </c>
      <c r="H198">
        <v>25</v>
      </c>
      <c r="I198">
        <v>24525</v>
      </c>
      <c r="J198">
        <v>1226.25</v>
      </c>
      <c r="K198">
        <v>23298.75</v>
      </c>
      <c r="L198">
        <v>19620</v>
      </c>
      <c r="M198">
        <v>3678.75</v>
      </c>
      <c r="N198">
        <v>45308</v>
      </c>
      <c r="O198">
        <v>1</v>
      </c>
      <c r="P198" t="s">
        <v>58</v>
      </c>
      <c r="Q198">
        <v>2024</v>
      </c>
    </row>
    <row r="199" spans="1:17" x14ac:dyDescent="0.3">
      <c r="A199" t="s">
        <v>21</v>
      </c>
      <c r="B199" t="s">
        <v>36</v>
      </c>
      <c r="C199" t="s">
        <v>28</v>
      </c>
      <c r="D199" t="s">
        <v>107</v>
      </c>
      <c r="E199" t="s">
        <v>32</v>
      </c>
      <c r="F199">
        <v>721</v>
      </c>
      <c r="G199">
        <v>13</v>
      </c>
      <c r="H199">
        <v>31</v>
      </c>
      <c r="I199">
        <v>22351</v>
      </c>
      <c r="J199">
        <v>1117.55</v>
      </c>
      <c r="K199">
        <v>21233.45</v>
      </c>
      <c r="L199">
        <v>9373</v>
      </c>
      <c r="M199">
        <v>11860.45</v>
      </c>
      <c r="N199">
        <v>45515</v>
      </c>
      <c r="O199">
        <v>8</v>
      </c>
      <c r="P199" t="s">
        <v>62</v>
      </c>
      <c r="Q199">
        <v>2024</v>
      </c>
    </row>
    <row r="200" spans="1:17" x14ac:dyDescent="0.3">
      <c r="A200" t="s">
        <v>21</v>
      </c>
      <c r="B200" t="s">
        <v>23</v>
      </c>
      <c r="C200" t="s">
        <v>28</v>
      </c>
      <c r="D200" t="s">
        <v>61</v>
      </c>
      <c r="E200" t="s">
        <v>32</v>
      </c>
      <c r="F200">
        <v>395</v>
      </c>
      <c r="G200">
        <v>13</v>
      </c>
      <c r="H200">
        <v>33</v>
      </c>
      <c r="I200">
        <v>13035</v>
      </c>
      <c r="J200">
        <v>651.75</v>
      </c>
      <c r="K200">
        <v>12383.25</v>
      </c>
      <c r="L200">
        <v>5135</v>
      </c>
      <c r="M200">
        <v>7248.25</v>
      </c>
      <c r="N200">
        <v>45047</v>
      </c>
      <c r="O200">
        <v>5</v>
      </c>
      <c r="P200" t="s">
        <v>46</v>
      </c>
      <c r="Q200">
        <v>2023</v>
      </c>
    </row>
    <row r="201" spans="1:17" x14ac:dyDescent="0.3">
      <c r="A201" t="s">
        <v>16</v>
      </c>
      <c r="B201" t="s">
        <v>36</v>
      </c>
      <c r="C201" t="s">
        <v>28</v>
      </c>
      <c r="D201" t="s">
        <v>69</v>
      </c>
      <c r="E201" t="s">
        <v>32</v>
      </c>
      <c r="F201">
        <v>516</v>
      </c>
      <c r="G201">
        <v>20</v>
      </c>
      <c r="H201">
        <v>25</v>
      </c>
      <c r="I201">
        <v>12900</v>
      </c>
      <c r="J201">
        <v>645</v>
      </c>
      <c r="K201">
        <v>12255</v>
      </c>
      <c r="L201">
        <v>10320</v>
      </c>
      <c r="M201">
        <v>1935</v>
      </c>
      <c r="N201">
        <v>45629</v>
      </c>
      <c r="O201">
        <v>12</v>
      </c>
      <c r="P201" t="s">
        <v>77</v>
      </c>
      <c r="Q201">
        <v>2024</v>
      </c>
    </row>
    <row r="202" spans="1:17" x14ac:dyDescent="0.3">
      <c r="A202" t="s">
        <v>26</v>
      </c>
      <c r="B202" t="s">
        <v>23</v>
      </c>
      <c r="C202" t="s">
        <v>28</v>
      </c>
      <c r="D202" t="s">
        <v>110</v>
      </c>
      <c r="E202" t="s">
        <v>32</v>
      </c>
      <c r="F202">
        <v>257</v>
      </c>
      <c r="G202">
        <v>20</v>
      </c>
      <c r="H202">
        <v>25</v>
      </c>
      <c r="I202">
        <v>6425</v>
      </c>
      <c r="J202">
        <v>321.25</v>
      </c>
      <c r="K202">
        <v>6103.75</v>
      </c>
      <c r="L202">
        <v>5140</v>
      </c>
      <c r="M202">
        <v>963.75</v>
      </c>
      <c r="N202">
        <v>45447</v>
      </c>
      <c r="O202">
        <v>6</v>
      </c>
      <c r="P202" t="s">
        <v>45</v>
      </c>
      <c r="Q202">
        <v>2024</v>
      </c>
    </row>
    <row r="203" spans="1:17" x14ac:dyDescent="0.3">
      <c r="A203" t="s">
        <v>25</v>
      </c>
      <c r="B203" t="s">
        <v>36</v>
      </c>
      <c r="C203" t="s">
        <v>29</v>
      </c>
      <c r="D203" t="s">
        <v>154</v>
      </c>
      <c r="E203" t="s">
        <v>32</v>
      </c>
      <c r="F203">
        <v>292</v>
      </c>
      <c r="G203">
        <v>19</v>
      </c>
      <c r="H203">
        <v>28</v>
      </c>
      <c r="I203">
        <v>8176</v>
      </c>
      <c r="J203">
        <v>408.8</v>
      </c>
      <c r="K203">
        <v>7767.2</v>
      </c>
      <c r="L203">
        <v>5548</v>
      </c>
      <c r="M203">
        <v>2219.1999999999998</v>
      </c>
      <c r="N203">
        <v>45471</v>
      </c>
      <c r="O203">
        <v>6</v>
      </c>
      <c r="P203" t="s">
        <v>45</v>
      </c>
      <c r="Q203">
        <v>2024</v>
      </c>
    </row>
    <row r="204" spans="1:17" x14ac:dyDescent="0.3">
      <c r="A204" t="s">
        <v>16</v>
      </c>
      <c r="B204" t="s">
        <v>17</v>
      </c>
      <c r="C204" t="s">
        <v>29</v>
      </c>
      <c r="D204" t="s">
        <v>113</v>
      </c>
      <c r="E204" t="s">
        <v>32</v>
      </c>
      <c r="F204">
        <v>500</v>
      </c>
      <c r="G204">
        <v>18</v>
      </c>
      <c r="H204">
        <v>23</v>
      </c>
      <c r="I204">
        <v>11500</v>
      </c>
      <c r="J204">
        <v>575</v>
      </c>
      <c r="K204">
        <v>10925</v>
      </c>
      <c r="L204">
        <v>9000</v>
      </c>
      <c r="M204">
        <v>1925</v>
      </c>
      <c r="N204">
        <v>45393</v>
      </c>
      <c r="O204">
        <v>4</v>
      </c>
      <c r="P204" t="s">
        <v>75</v>
      </c>
      <c r="Q204">
        <v>2024</v>
      </c>
    </row>
    <row r="205" spans="1:17" x14ac:dyDescent="0.3">
      <c r="A205" t="s">
        <v>16</v>
      </c>
      <c r="B205" t="s">
        <v>22</v>
      </c>
      <c r="C205" t="s">
        <v>29</v>
      </c>
      <c r="D205" t="s">
        <v>94</v>
      </c>
      <c r="E205" t="s">
        <v>32</v>
      </c>
      <c r="F205">
        <v>405</v>
      </c>
      <c r="G205">
        <v>19</v>
      </c>
      <c r="H205">
        <v>22</v>
      </c>
      <c r="I205">
        <v>8910</v>
      </c>
      <c r="J205">
        <v>445.5</v>
      </c>
      <c r="K205">
        <v>8464.5</v>
      </c>
      <c r="L205">
        <v>7695</v>
      </c>
      <c r="M205">
        <v>769.5</v>
      </c>
      <c r="N205">
        <v>45636</v>
      </c>
      <c r="O205">
        <v>12</v>
      </c>
      <c r="P205" t="s">
        <v>77</v>
      </c>
      <c r="Q205">
        <v>2024</v>
      </c>
    </row>
    <row r="206" spans="1:17" x14ac:dyDescent="0.3">
      <c r="A206" t="s">
        <v>25</v>
      </c>
      <c r="B206" t="s">
        <v>22</v>
      </c>
      <c r="C206" t="s">
        <v>30</v>
      </c>
      <c r="D206" t="s">
        <v>155</v>
      </c>
      <c r="E206" t="s">
        <v>32</v>
      </c>
      <c r="F206">
        <v>67</v>
      </c>
      <c r="G206">
        <v>15</v>
      </c>
      <c r="H206">
        <v>36</v>
      </c>
      <c r="I206">
        <v>2412</v>
      </c>
      <c r="J206">
        <v>120.60000000000001</v>
      </c>
      <c r="K206">
        <v>2291.4</v>
      </c>
      <c r="L206">
        <v>1005</v>
      </c>
      <c r="M206">
        <v>1286.4000000000001</v>
      </c>
      <c r="N206">
        <v>45627</v>
      </c>
      <c r="O206">
        <v>12</v>
      </c>
      <c r="P206" t="s">
        <v>77</v>
      </c>
      <c r="Q206">
        <v>2024</v>
      </c>
    </row>
    <row r="207" spans="1:17" x14ac:dyDescent="0.3">
      <c r="A207" t="s">
        <v>16</v>
      </c>
      <c r="B207" t="s">
        <v>36</v>
      </c>
      <c r="C207" t="s">
        <v>30</v>
      </c>
      <c r="D207" t="s">
        <v>141</v>
      </c>
      <c r="E207" t="s">
        <v>32</v>
      </c>
      <c r="F207">
        <v>628</v>
      </c>
      <c r="G207">
        <v>13</v>
      </c>
      <c r="H207">
        <v>25</v>
      </c>
      <c r="I207">
        <v>15700</v>
      </c>
      <c r="J207">
        <v>785</v>
      </c>
      <c r="K207">
        <v>14915</v>
      </c>
      <c r="L207">
        <v>8164</v>
      </c>
      <c r="M207">
        <v>6751</v>
      </c>
      <c r="N207">
        <v>45341</v>
      </c>
      <c r="O207">
        <v>2</v>
      </c>
      <c r="P207" t="s">
        <v>52</v>
      </c>
      <c r="Q207">
        <v>2024</v>
      </c>
    </row>
    <row r="208" spans="1:17" x14ac:dyDescent="0.3">
      <c r="A208" t="s">
        <v>16</v>
      </c>
      <c r="B208" t="s">
        <v>22</v>
      </c>
      <c r="C208" t="s">
        <v>30</v>
      </c>
      <c r="D208" t="s">
        <v>84</v>
      </c>
      <c r="E208" t="s">
        <v>32</v>
      </c>
      <c r="F208">
        <v>76</v>
      </c>
      <c r="G208">
        <v>20</v>
      </c>
      <c r="H208">
        <v>23</v>
      </c>
      <c r="I208">
        <v>1748</v>
      </c>
      <c r="J208">
        <v>87.4</v>
      </c>
      <c r="K208">
        <v>1660.6</v>
      </c>
      <c r="L208">
        <v>1520</v>
      </c>
      <c r="M208">
        <v>140.59999999999991</v>
      </c>
      <c r="N208">
        <v>45167</v>
      </c>
      <c r="O208">
        <v>8</v>
      </c>
      <c r="P208" t="s">
        <v>62</v>
      </c>
      <c r="Q208">
        <v>2023</v>
      </c>
    </row>
    <row r="209" spans="1:17" x14ac:dyDescent="0.3">
      <c r="A209" t="s">
        <v>21</v>
      </c>
      <c r="B209" t="s">
        <v>23</v>
      </c>
      <c r="C209" t="s">
        <v>30</v>
      </c>
      <c r="D209" t="s">
        <v>156</v>
      </c>
      <c r="E209" t="s">
        <v>32</v>
      </c>
      <c r="F209">
        <v>452</v>
      </c>
      <c r="G209">
        <v>12</v>
      </c>
      <c r="H209">
        <v>28</v>
      </c>
      <c r="I209">
        <v>12656</v>
      </c>
      <c r="J209">
        <v>632.80000000000007</v>
      </c>
      <c r="K209">
        <v>12023.2</v>
      </c>
      <c r="L209">
        <v>5424</v>
      </c>
      <c r="M209">
        <v>6599.2000000000007</v>
      </c>
      <c r="N209">
        <v>45557</v>
      </c>
      <c r="O209">
        <v>9</v>
      </c>
      <c r="P209" t="s">
        <v>40</v>
      </c>
      <c r="Q209">
        <v>2024</v>
      </c>
    </row>
    <row r="210" spans="1:17" x14ac:dyDescent="0.3">
      <c r="A210" t="s">
        <v>16</v>
      </c>
      <c r="B210" t="s">
        <v>23</v>
      </c>
      <c r="C210" t="s">
        <v>31</v>
      </c>
      <c r="D210" t="s">
        <v>157</v>
      </c>
      <c r="E210" t="s">
        <v>32</v>
      </c>
      <c r="F210">
        <v>348</v>
      </c>
      <c r="G210">
        <v>14</v>
      </c>
      <c r="H210">
        <v>32</v>
      </c>
      <c r="I210">
        <v>11136</v>
      </c>
      <c r="J210">
        <v>556.80000000000007</v>
      </c>
      <c r="K210">
        <v>10579.2</v>
      </c>
      <c r="L210">
        <v>4872</v>
      </c>
      <c r="M210">
        <v>5707.2000000000007</v>
      </c>
      <c r="N210">
        <v>45215</v>
      </c>
      <c r="O210">
        <v>10</v>
      </c>
      <c r="P210" t="s">
        <v>55</v>
      </c>
      <c r="Q210">
        <v>2023</v>
      </c>
    </row>
    <row r="211" spans="1:17" x14ac:dyDescent="0.3">
      <c r="A211" t="s">
        <v>26</v>
      </c>
      <c r="B211" t="s">
        <v>23</v>
      </c>
      <c r="C211" t="s">
        <v>31</v>
      </c>
      <c r="D211" t="s">
        <v>158</v>
      </c>
      <c r="E211" t="s">
        <v>32</v>
      </c>
      <c r="F211">
        <v>968</v>
      </c>
      <c r="G211">
        <v>20</v>
      </c>
      <c r="H211">
        <v>35</v>
      </c>
      <c r="I211">
        <v>33880</v>
      </c>
      <c r="J211">
        <v>1694</v>
      </c>
      <c r="K211">
        <v>32186</v>
      </c>
      <c r="L211">
        <v>19360</v>
      </c>
      <c r="M211">
        <v>12826</v>
      </c>
      <c r="N211">
        <v>45494</v>
      </c>
      <c r="O211">
        <v>7</v>
      </c>
      <c r="P211" t="s">
        <v>48</v>
      </c>
      <c r="Q211">
        <v>2024</v>
      </c>
    </row>
    <row r="212" spans="1:17" x14ac:dyDescent="0.3">
      <c r="A212" t="s">
        <v>16</v>
      </c>
      <c r="B212" t="s">
        <v>20</v>
      </c>
      <c r="C212" t="s">
        <v>31</v>
      </c>
      <c r="D212" t="s">
        <v>90</v>
      </c>
      <c r="E212" t="s">
        <v>32</v>
      </c>
      <c r="F212">
        <v>856</v>
      </c>
      <c r="G212">
        <v>19</v>
      </c>
      <c r="H212">
        <v>17</v>
      </c>
      <c r="I212">
        <v>14552</v>
      </c>
      <c r="J212">
        <v>727.6</v>
      </c>
      <c r="K212">
        <v>13824.4</v>
      </c>
      <c r="L212">
        <v>16264</v>
      </c>
      <c r="M212">
        <v>-2439.6000000000004</v>
      </c>
      <c r="N212">
        <v>45268</v>
      </c>
      <c r="O212">
        <v>12</v>
      </c>
      <c r="P212" t="s">
        <v>77</v>
      </c>
      <c r="Q212">
        <v>2023</v>
      </c>
    </row>
    <row r="213" spans="1:17" x14ac:dyDescent="0.3">
      <c r="A213" t="s">
        <v>21</v>
      </c>
      <c r="B213" t="s">
        <v>36</v>
      </c>
      <c r="C213" t="s">
        <v>31</v>
      </c>
      <c r="D213" t="s">
        <v>92</v>
      </c>
      <c r="E213" t="s">
        <v>32</v>
      </c>
      <c r="F213">
        <v>425</v>
      </c>
      <c r="G213">
        <v>10</v>
      </c>
      <c r="H213">
        <v>20</v>
      </c>
      <c r="I213">
        <v>8500</v>
      </c>
      <c r="J213">
        <v>425</v>
      </c>
      <c r="K213">
        <v>8075</v>
      </c>
      <c r="L213">
        <v>4250</v>
      </c>
      <c r="M213">
        <v>3825</v>
      </c>
      <c r="N213">
        <v>45426</v>
      </c>
      <c r="O213">
        <v>5</v>
      </c>
      <c r="P213" t="s">
        <v>46</v>
      </c>
      <c r="Q213">
        <v>2024</v>
      </c>
    </row>
    <row r="214" spans="1:17" x14ac:dyDescent="0.3">
      <c r="A214" t="s">
        <v>16</v>
      </c>
      <c r="B214" t="s">
        <v>17</v>
      </c>
      <c r="C214" t="s">
        <v>31</v>
      </c>
      <c r="D214" t="s">
        <v>159</v>
      </c>
      <c r="E214" t="s">
        <v>32</v>
      </c>
      <c r="F214">
        <v>319</v>
      </c>
      <c r="G214">
        <v>19</v>
      </c>
      <c r="H214">
        <v>38</v>
      </c>
      <c r="I214">
        <v>12122</v>
      </c>
      <c r="J214">
        <v>606.1</v>
      </c>
      <c r="K214">
        <v>11515.9</v>
      </c>
      <c r="L214">
        <v>6061</v>
      </c>
      <c r="M214">
        <v>5454.9</v>
      </c>
      <c r="N214">
        <v>45371</v>
      </c>
      <c r="O214">
        <v>3</v>
      </c>
      <c r="P214" t="s">
        <v>38</v>
      </c>
      <c r="Q214">
        <v>2024</v>
      </c>
    </row>
    <row r="215" spans="1:17" x14ac:dyDescent="0.3">
      <c r="A215" t="s">
        <v>16</v>
      </c>
      <c r="B215" t="s">
        <v>20</v>
      </c>
      <c r="C215" t="s">
        <v>24</v>
      </c>
      <c r="D215" t="s">
        <v>57</v>
      </c>
      <c r="E215" t="s">
        <v>33</v>
      </c>
      <c r="F215">
        <v>321</v>
      </c>
      <c r="G215">
        <v>16</v>
      </c>
      <c r="H215">
        <v>31</v>
      </c>
      <c r="I215">
        <v>9951</v>
      </c>
      <c r="J215">
        <v>497.55</v>
      </c>
      <c r="K215">
        <v>9453.4500000000007</v>
      </c>
      <c r="L215">
        <v>5136</v>
      </c>
      <c r="M215">
        <v>4317.4500000000007</v>
      </c>
      <c r="N215">
        <v>45630</v>
      </c>
      <c r="O215">
        <v>12</v>
      </c>
      <c r="P215" t="s">
        <v>77</v>
      </c>
      <c r="Q215">
        <v>2024</v>
      </c>
    </row>
    <row r="216" spans="1:17" x14ac:dyDescent="0.3">
      <c r="A216" t="s">
        <v>16</v>
      </c>
      <c r="B216" t="s">
        <v>20</v>
      </c>
      <c r="C216" t="s">
        <v>28</v>
      </c>
      <c r="D216" t="s">
        <v>64</v>
      </c>
      <c r="E216" t="s">
        <v>33</v>
      </c>
      <c r="F216">
        <v>375</v>
      </c>
      <c r="G216">
        <v>14</v>
      </c>
      <c r="H216">
        <v>22</v>
      </c>
      <c r="I216">
        <v>8250</v>
      </c>
      <c r="J216">
        <v>412.5</v>
      </c>
      <c r="K216">
        <v>7837.5</v>
      </c>
      <c r="L216">
        <v>5250</v>
      </c>
      <c r="M216">
        <v>2587.5</v>
      </c>
      <c r="N216">
        <v>45146</v>
      </c>
      <c r="O216">
        <v>8</v>
      </c>
      <c r="P216" t="s">
        <v>62</v>
      </c>
      <c r="Q216">
        <v>2023</v>
      </c>
    </row>
    <row r="217" spans="1:17" x14ac:dyDescent="0.3">
      <c r="A217" t="s">
        <v>16</v>
      </c>
      <c r="B217" t="s">
        <v>17</v>
      </c>
      <c r="C217" t="s">
        <v>28</v>
      </c>
      <c r="D217" t="s">
        <v>60</v>
      </c>
      <c r="E217" t="s">
        <v>33</v>
      </c>
      <c r="F217">
        <v>416</v>
      </c>
      <c r="G217">
        <v>17</v>
      </c>
      <c r="H217">
        <v>38</v>
      </c>
      <c r="I217">
        <v>15808</v>
      </c>
      <c r="J217">
        <v>790.40000000000009</v>
      </c>
      <c r="K217">
        <v>15017.6</v>
      </c>
      <c r="L217">
        <v>7072</v>
      </c>
      <c r="M217">
        <v>7945.6</v>
      </c>
      <c r="N217">
        <v>45116</v>
      </c>
      <c r="O217">
        <v>7</v>
      </c>
      <c r="P217" t="s">
        <v>48</v>
      </c>
      <c r="Q217">
        <v>2023</v>
      </c>
    </row>
    <row r="218" spans="1:17" x14ac:dyDescent="0.3">
      <c r="A218" t="s">
        <v>16</v>
      </c>
      <c r="B218" t="s">
        <v>23</v>
      </c>
      <c r="C218" t="s">
        <v>28</v>
      </c>
      <c r="D218" t="s">
        <v>66</v>
      </c>
      <c r="E218" t="s">
        <v>33</v>
      </c>
      <c r="F218">
        <v>351</v>
      </c>
      <c r="G218">
        <v>11</v>
      </c>
      <c r="H218">
        <v>21</v>
      </c>
      <c r="I218">
        <v>7371</v>
      </c>
      <c r="J218">
        <v>368.55</v>
      </c>
      <c r="K218">
        <v>7002.45</v>
      </c>
      <c r="L218">
        <v>3861</v>
      </c>
      <c r="M218">
        <v>3141.45</v>
      </c>
      <c r="N218">
        <v>45733</v>
      </c>
      <c r="O218">
        <v>3</v>
      </c>
      <c r="P218" t="s">
        <v>38</v>
      </c>
      <c r="Q218">
        <v>2025</v>
      </c>
    </row>
    <row r="219" spans="1:17" x14ac:dyDescent="0.3">
      <c r="A219" t="s">
        <v>25</v>
      </c>
      <c r="B219" t="s">
        <v>17</v>
      </c>
      <c r="C219" t="s">
        <v>28</v>
      </c>
      <c r="D219" t="s">
        <v>63</v>
      </c>
      <c r="E219" t="s">
        <v>33</v>
      </c>
      <c r="F219">
        <v>798</v>
      </c>
      <c r="G219">
        <v>11</v>
      </c>
      <c r="H219">
        <v>21</v>
      </c>
      <c r="I219">
        <v>16758</v>
      </c>
      <c r="J219">
        <v>837.90000000000009</v>
      </c>
      <c r="K219">
        <v>15920.1</v>
      </c>
      <c r="L219">
        <v>8778</v>
      </c>
      <c r="M219">
        <v>7142.1</v>
      </c>
      <c r="N219">
        <v>45455</v>
      </c>
      <c r="O219">
        <v>6</v>
      </c>
      <c r="P219" t="s">
        <v>45</v>
      </c>
      <c r="Q219">
        <v>2024</v>
      </c>
    </row>
    <row r="220" spans="1:17" x14ac:dyDescent="0.3">
      <c r="A220" t="s">
        <v>25</v>
      </c>
      <c r="B220" t="s">
        <v>17</v>
      </c>
      <c r="C220" t="s">
        <v>29</v>
      </c>
      <c r="D220" t="s">
        <v>160</v>
      </c>
      <c r="E220" t="s">
        <v>33</v>
      </c>
      <c r="F220">
        <v>705</v>
      </c>
      <c r="G220">
        <v>12</v>
      </c>
      <c r="H220">
        <v>21</v>
      </c>
      <c r="I220">
        <v>14805</v>
      </c>
      <c r="J220">
        <v>740.25</v>
      </c>
      <c r="K220">
        <v>14064.75</v>
      </c>
      <c r="L220">
        <v>8460</v>
      </c>
      <c r="M220">
        <v>5604.75</v>
      </c>
      <c r="N220">
        <v>45713</v>
      </c>
      <c r="O220">
        <v>2</v>
      </c>
      <c r="P220" t="s">
        <v>52</v>
      </c>
      <c r="Q220">
        <v>2025</v>
      </c>
    </row>
    <row r="221" spans="1:17" x14ac:dyDescent="0.3">
      <c r="A221" t="s">
        <v>16</v>
      </c>
      <c r="B221" t="s">
        <v>23</v>
      </c>
      <c r="C221" t="s">
        <v>30</v>
      </c>
      <c r="D221" t="s">
        <v>119</v>
      </c>
      <c r="E221" t="s">
        <v>33</v>
      </c>
      <c r="F221">
        <v>756</v>
      </c>
      <c r="G221">
        <v>18</v>
      </c>
      <c r="H221">
        <v>19</v>
      </c>
      <c r="I221">
        <v>14364</v>
      </c>
      <c r="J221">
        <v>718.2</v>
      </c>
      <c r="K221">
        <v>13645.8</v>
      </c>
      <c r="L221">
        <v>13608</v>
      </c>
      <c r="M221">
        <v>37.799999999999272</v>
      </c>
      <c r="N221">
        <v>45195</v>
      </c>
      <c r="O221">
        <v>9</v>
      </c>
      <c r="P221" t="s">
        <v>40</v>
      </c>
      <c r="Q221">
        <v>2023</v>
      </c>
    </row>
    <row r="222" spans="1:17" x14ac:dyDescent="0.3">
      <c r="A222" t="s">
        <v>16</v>
      </c>
      <c r="B222" t="s">
        <v>23</v>
      </c>
      <c r="C222" t="s">
        <v>31</v>
      </c>
      <c r="D222" t="s">
        <v>157</v>
      </c>
      <c r="E222" t="s">
        <v>33</v>
      </c>
      <c r="F222">
        <v>765</v>
      </c>
      <c r="G222">
        <v>14</v>
      </c>
      <c r="H222">
        <v>32</v>
      </c>
      <c r="I222">
        <v>24480</v>
      </c>
      <c r="J222">
        <v>1224</v>
      </c>
      <c r="K222">
        <v>23256</v>
      </c>
      <c r="L222">
        <v>10710</v>
      </c>
      <c r="M222">
        <v>12546</v>
      </c>
      <c r="N222">
        <v>45141</v>
      </c>
      <c r="O222">
        <v>8</v>
      </c>
      <c r="P222" t="s">
        <v>62</v>
      </c>
      <c r="Q222">
        <v>2023</v>
      </c>
    </row>
    <row r="223" spans="1:17" x14ac:dyDescent="0.3">
      <c r="A223" t="s">
        <v>25</v>
      </c>
      <c r="B223" t="s">
        <v>23</v>
      </c>
      <c r="C223" t="s">
        <v>31</v>
      </c>
      <c r="D223" t="s">
        <v>161</v>
      </c>
      <c r="E223" t="s">
        <v>33</v>
      </c>
      <c r="F223">
        <v>264</v>
      </c>
      <c r="G223">
        <v>19</v>
      </c>
      <c r="H223">
        <v>32</v>
      </c>
      <c r="I223">
        <v>8448</v>
      </c>
      <c r="J223">
        <v>422.40000000000003</v>
      </c>
      <c r="K223">
        <v>8025.6</v>
      </c>
      <c r="L223">
        <v>5016</v>
      </c>
      <c r="M223">
        <v>3009.6000000000004</v>
      </c>
      <c r="N223">
        <v>45670</v>
      </c>
      <c r="O223">
        <v>1</v>
      </c>
      <c r="P223" t="s">
        <v>58</v>
      </c>
      <c r="Q223">
        <v>2025</v>
      </c>
    </row>
    <row r="224" spans="1:17" x14ac:dyDescent="0.3">
      <c r="A224" t="s">
        <v>16</v>
      </c>
      <c r="B224" t="s">
        <v>20</v>
      </c>
      <c r="C224" t="s">
        <v>31</v>
      </c>
      <c r="D224" t="s">
        <v>90</v>
      </c>
      <c r="E224" t="s">
        <v>33</v>
      </c>
      <c r="F224">
        <v>951</v>
      </c>
      <c r="G224">
        <v>19</v>
      </c>
      <c r="H224">
        <v>17</v>
      </c>
      <c r="I224">
        <v>16167</v>
      </c>
      <c r="J224">
        <v>808.35</v>
      </c>
      <c r="K224">
        <v>15358.65</v>
      </c>
      <c r="L224">
        <v>18069</v>
      </c>
      <c r="M224">
        <v>-2710.3500000000004</v>
      </c>
      <c r="N224">
        <v>45545</v>
      </c>
      <c r="O224">
        <v>9</v>
      </c>
      <c r="P224" t="s">
        <v>40</v>
      </c>
      <c r="Q224">
        <v>2024</v>
      </c>
    </row>
    <row r="225" spans="1:17" x14ac:dyDescent="0.3">
      <c r="A225" t="s">
        <v>25</v>
      </c>
      <c r="B225" t="s">
        <v>22</v>
      </c>
      <c r="C225" t="s">
        <v>18</v>
      </c>
      <c r="D225" t="s">
        <v>100</v>
      </c>
      <c r="E225" t="s">
        <v>33</v>
      </c>
      <c r="F225">
        <v>836</v>
      </c>
      <c r="G225">
        <v>19</v>
      </c>
      <c r="H225">
        <v>20</v>
      </c>
      <c r="I225">
        <v>16720</v>
      </c>
      <c r="J225">
        <v>836</v>
      </c>
      <c r="K225">
        <v>15884</v>
      </c>
      <c r="L225">
        <v>15884</v>
      </c>
      <c r="M225">
        <v>0</v>
      </c>
      <c r="N225">
        <v>45138</v>
      </c>
      <c r="O225">
        <v>7</v>
      </c>
      <c r="P225" t="s">
        <v>48</v>
      </c>
      <c r="Q225">
        <v>2023</v>
      </c>
    </row>
    <row r="226" spans="1:17" x14ac:dyDescent="0.3">
      <c r="A226" t="s">
        <v>25</v>
      </c>
      <c r="B226" t="s">
        <v>20</v>
      </c>
      <c r="C226" t="s">
        <v>18</v>
      </c>
      <c r="D226" t="s">
        <v>101</v>
      </c>
      <c r="E226" t="s">
        <v>33</v>
      </c>
      <c r="F226">
        <v>335</v>
      </c>
      <c r="G226">
        <v>10</v>
      </c>
      <c r="H226">
        <v>34</v>
      </c>
      <c r="I226">
        <v>11390</v>
      </c>
      <c r="J226">
        <v>569.5</v>
      </c>
      <c r="K226">
        <v>10820.5</v>
      </c>
      <c r="L226">
        <v>3350</v>
      </c>
      <c r="M226">
        <v>7470.5</v>
      </c>
      <c r="N226">
        <v>45202</v>
      </c>
      <c r="O226">
        <v>10</v>
      </c>
      <c r="P226" t="s">
        <v>55</v>
      </c>
      <c r="Q226">
        <v>2023</v>
      </c>
    </row>
    <row r="227" spans="1:17" x14ac:dyDescent="0.3">
      <c r="A227" t="s">
        <v>16</v>
      </c>
      <c r="B227" t="s">
        <v>22</v>
      </c>
      <c r="C227" t="s">
        <v>18</v>
      </c>
      <c r="D227" t="s">
        <v>103</v>
      </c>
      <c r="E227" t="s">
        <v>33</v>
      </c>
      <c r="F227">
        <v>483</v>
      </c>
      <c r="G227">
        <v>11</v>
      </c>
      <c r="H227">
        <v>20</v>
      </c>
      <c r="I227">
        <v>9660</v>
      </c>
      <c r="J227">
        <v>483</v>
      </c>
      <c r="K227">
        <v>9177</v>
      </c>
      <c r="L227">
        <v>5313</v>
      </c>
      <c r="M227">
        <v>3864</v>
      </c>
      <c r="N227">
        <v>45174</v>
      </c>
      <c r="O227">
        <v>9</v>
      </c>
      <c r="P227" t="s">
        <v>40</v>
      </c>
      <c r="Q227">
        <v>2023</v>
      </c>
    </row>
    <row r="228" spans="1:17" x14ac:dyDescent="0.3">
      <c r="A228" t="s">
        <v>27</v>
      </c>
      <c r="B228" t="s">
        <v>36</v>
      </c>
      <c r="C228" t="s">
        <v>18</v>
      </c>
      <c r="D228" t="s">
        <v>162</v>
      </c>
      <c r="E228" t="s">
        <v>33</v>
      </c>
      <c r="F228">
        <v>78</v>
      </c>
      <c r="G228">
        <v>17</v>
      </c>
      <c r="H228">
        <v>23</v>
      </c>
      <c r="I228">
        <v>1794</v>
      </c>
      <c r="J228">
        <v>89.7</v>
      </c>
      <c r="K228">
        <v>1704.3</v>
      </c>
      <c r="L228">
        <v>1326</v>
      </c>
      <c r="M228">
        <v>378.29999999999995</v>
      </c>
      <c r="N228">
        <v>45065</v>
      </c>
      <c r="O228">
        <v>5</v>
      </c>
      <c r="P228" t="s">
        <v>46</v>
      </c>
      <c r="Q228">
        <v>2023</v>
      </c>
    </row>
    <row r="229" spans="1:17" x14ac:dyDescent="0.3">
      <c r="A229" t="s">
        <v>16</v>
      </c>
      <c r="B229" t="s">
        <v>20</v>
      </c>
      <c r="C229" t="s">
        <v>18</v>
      </c>
      <c r="D229" t="s">
        <v>39</v>
      </c>
      <c r="E229" t="s">
        <v>33</v>
      </c>
      <c r="F229">
        <v>984</v>
      </c>
      <c r="G229">
        <v>19</v>
      </c>
      <c r="H229">
        <v>19</v>
      </c>
      <c r="I229">
        <v>18696</v>
      </c>
      <c r="J229">
        <v>934.80000000000007</v>
      </c>
      <c r="K229">
        <v>17761.2</v>
      </c>
      <c r="L229">
        <v>18696</v>
      </c>
      <c r="M229">
        <v>-934.79999999999927</v>
      </c>
      <c r="N229">
        <v>45298</v>
      </c>
      <c r="O229">
        <v>1</v>
      </c>
      <c r="P229" t="s">
        <v>58</v>
      </c>
      <c r="Q229">
        <v>2024</v>
      </c>
    </row>
    <row r="230" spans="1:17" x14ac:dyDescent="0.3">
      <c r="A230" t="s">
        <v>21</v>
      </c>
      <c r="B230" t="s">
        <v>23</v>
      </c>
      <c r="C230" t="s">
        <v>18</v>
      </c>
      <c r="D230" t="s">
        <v>44</v>
      </c>
      <c r="E230" t="s">
        <v>33</v>
      </c>
      <c r="F230">
        <v>748</v>
      </c>
      <c r="G230">
        <v>14</v>
      </c>
      <c r="H230">
        <v>20</v>
      </c>
      <c r="I230">
        <v>14960</v>
      </c>
      <c r="J230">
        <v>748</v>
      </c>
      <c r="K230">
        <v>14212</v>
      </c>
      <c r="L230">
        <v>10472</v>
      </c>
      <c r="M230">
        <v>3740</v>
      </c>
      <c r="N230">
        <v>45743</v>
      </c>
      <c r="O230">
        <v>3</v>
      </c>
      <c r="P230" t="s">
        <v>38</v>
      </c>
      <c r="Q230">
        <v>2025</v>
      </c>
    </row>
    <row r="231" spans="1:17" x14ac:dyDescent="0.3">
      <c r="A231" t="s">
        <v>16</v>
      </c>
      <c r="B231" t="s">
        <v>36</v>
      </c>
      <c r="C231" t="s">
        <v>18</v>
      </c>
      <c r="D231" t="s">
        <v>97</v>
      </c>
      <c r="E231" t="s">
        <v>33</v>
      </c>
      <c r="F231">
        <v>433</v>
      </c>
      <c r="G231">
        <v>11</v>
      </c>
      <c r="H231">
        <v>19</v>
      </c>
      <c r="I231">
        <v>8227</v>
      </c>
      <c r="J231">
        <v>411.35</v>
      </c>
      <c r="K231">
        <v>7815.65</v>
      </c>
      <c r="L231">
        <v>4763</v>
      </c>
      <c r="M231">
        <v>3052.6499999999996</v>
      </c>
      <c r="N231">
        <v>45447</v>
      </c>
      <c r="O231">
        <v>6</v>
      </c>
      <c r="P231" t="s">
        <v>45</v>
      </c>
      <c r="Q231">
        <v>2024</v>
      </c>
    </row>
    <row r="232" spans="1:17" x14ac:dyDescent="0.3">
      <c r="A232" t="s">
        <v>16</v>
      </c>
      <c r="B232" t="s">
        <v>22</v>
      </c>
      <c r="C232" t="s">
        <v>18</v>
      </c>
      <c r="D232" t="s">
        <v>103</v>
      </c>
      <c r="E232" t="s">
        <v>33</v>
      </c>
      <c r="F232">
        <v>35</v>
      </c>
      <c r="G232">
        <v>11</v>
      </c>
      <c r="H232">
        <v>20</v>
      </c>
      <c r="I232">
        <v>700</v>
      </c>
      <c r="J232">
        <v>7</v>
      </c>
      <c r="K232">
        <v>693</v>
      </c>
      <c r="L232">
        <v>385</v>
      </c>
      <c r="M232">
        <v>308</v>
      </c>
      <c r="N232">
        <v>45692</v>
      </c>
      <c r="O232">
        <v>2</v>
      </c>
      <c r="P232" t="s">
        <v>52</v>
      </c>
      <c r="Q232">
        <v>2025</v>
      </c>
    </row>
    <row r="233" spans="1:17" x14ac:dyDescent="0.3">
      <c r="A233" t="s">
        <v>16</v>
      </c>
      <c r="B233" t="s">
        <v>22</v>
      </c>
      <c r="C233" t="s">
        <v>24</v>
      </c>
      <c r="D233" t="s">
        <v>50</v>
      </c>
      <c r="E233" t="s">
        <v>33</v>
      </c>
      <c r="F233">
        <v>470</v>
      </c>
      <c r="G233">
        <v>12</v>
      </c>
      <c r="H233">
        <v>35</v>
      </c>
      <c r="I233">
        <v>16450</v>
      </c>
      <c r="J233">
        <v>822.5</v>
      </c>
      <c r="K233">
        <v>15627.5</v>
      </c>
      <c r="L233">
        <v>5640</v>
      </c>
      <c r="M233">
        <v>9987.5</v>
      </c>
      <c r="N233">
        <v>45527</v>
      </c>
      <c r="O233">
        <v>8</v>
      </c>
      <c r="P233" t="s">
        <v>62</v>
      </c>
      <c r="Q233">
        <v>2024</v>
      </c>
    </row>
    <row r="234" spans="1:17" x14ac:dyDescent="0.3">
      <c r="A234" t="s">
        <v>26</v>
      </c>
      <c r="B234" t="s">
        <v>36</v>
      </c>
      <c r="C234" t="s">
        <v>24</v>
      </c>
      <c r="D234" t="s">
        <v>106</v>
      </c>
      <c r="E234" t="s">
        <v>33</v>
      </c>
      <c r="F234">
        <v>91</v>
      </c>
      <c r="G234">
        <v>17</v>
      </c>
      <c r="H234">
        <v>36</v>
      </c>
      <c r="I234">
        <v>3276</v>
      </c>
      <c r="J234">
        <v>163.80000000000001</v>
      </c>
      <c r="K234">
        <v>3112.2</v>
      </c>
      <c r="L234">
        <v>1547</v>
      </c>
      <c r="M234">
        <v>1565.1999999999998</v>
      </c>
      <c r="N234">
        <v>45369</v>
      </c>
      <c r="O234">
        <v>3</v>
      </c>
      <c r="P234" t="s">
        <v>38</v>
      </c>
      <c r="Q234">
        <v>2024</v>
      </c>
    </row>
    <row r="235" spans="1:17" x14ac:dyDescent="0.3">
      <c r="A235" t="s">
        <v>16</v>
      </c>
      <c r="B235" t="s">
        <v>23</v>
      </c>
      <c r="C235" t="s">
        <v>24</v>
      </c>
      <c r="D235" t="s">
        <v>163</v>
      </c>
      <c r="E235" t="s">
        <v>33</v>
      </c>
      <c r="F235">
        <v>228</v>
      </c>
      <c r="G235">
        <v>15</v>
      </c>
      <c r="H235">
        <v>34</v>
      </c>
      <c r="I235">
        <v>7752</v>
      </c>
      <c r="J235">
        <v>387.6</v>
      </c>
      <c r="K235">
        <v>7364.4</v>
      </c>
      <c r="L235">
        <v>3420</v>
      </c>
      <c r="M235">
        <v>3944.3999999999996</v>
      </c>
      <c r="N235">
        <v>45653</v>
      </c>
      <c r="O235">
        <v>12</v>
      </c>
      <c r="P235" t="s">
        <v>77</v>
      </c>
      <c r="Q235">
        <v>2024</v>
      </c>
    </row>
    <row r="236" spans="1:17" x14ac:dyDescent="0.3">
      <c r="A236" t="s">
        <v>25</v>
      </c>
      <c r="B236" t="s">
        <v>20</v>
      </c>
      <c r="C236" t="s">
        <v>24</v>
      </c>
      <c r="D236" t="s">
        <v>51</v>
      </c>
      <c r="E236" t="s">
        <v>33</v>
      </c>
      <c r="F236">
        <v>91</v>
      </c>
      <c r="G236">
        <v>11</v>
      </c>
      <c r="H236">
        <v>28</v>
      </c>
      <c r="I236">
        <v>2548</v>
      </c>
      <c r="J236">
        <v>127.4</v>
      </c>
      <c r="K236">
        <v>2420.6</v>
      </c>
      <c r="L236">
        <v>1001</v>
      </c>
      <c r="M236">
        <v>1419.6</v>
      </c>
      <c r="N236">
        <v>45370</v>
      </c>
      <c r="O236">
        <v>3</v>
      </c>
      <c r="P236" t="s">
        <v>38</v>
      </c>
      <c r="Q236">
        <v>2024</v>
      </c>
    </row>
    <row r="237" spans="1:17" x14ac:dyDescent="0.3">
      <c r="A237" t="s">
        <v>27</v>
      </c>
      <c r="B237" t="s">
        <v>23</v>
      </c>
      <c r="C237" t="s">
        <v>24</v>
      </c>
      <c r="D237" t="s">
        <v>56</v>
      </c>
      <c r="E237" t="s">
        <v>33</v>
      </c>
      <c r="F237">
        <v>561</v>
      </c>
      <c r="G237">
        <v>16</v>
      </c>
      <c r="H237">
        <v>23</v>
      </c>
      <c r="I237">
        <v>12903</v>
      </c>
      <c r="J237">
        <v>645.15000000000009</v>
      </c>
      <c r="K237">
        <v>12257.85</v>
      </c>
      <c r="L237">
        <v>8976</v>
      </c>
      <c r="M237">
        <v>3281.8500000000004</v>
      </c>
      <c r="N237">
        <v>45561</v>
      </c>
      <c r="O237">
        <v>9</v>
      </c>
      <c r="P237" t="s">
        <v>40</v>
      </c>
      <c r="Q237">
        <v>2024</v>
      </c>
    </row>
    <row r="238" spans="1:17" x14ac:dyDescent="0.3">
      <c r="A238" t="s">
        <v>16</v>
      </c>
      <c r="B238" t="s">
        <v>22</v>
      </c>
      <c r="C238" t="s">
        <v>28</v>
      </c>
      <c r="D238" t="s">
        <v>93</v>
      </c>
      <c r="E238" t="s">
        <v>33</v>
      </c>
      <c r="F238">
        <v>614</v>
      </c>
      <c r="G238">
        <v>12</v>
      </c>
      <c r="H238">
        <v>27</v>
      </c>
      <c r="I238">
        <v>16578</v>
      </c>
      <c r="J238">
        <v>828.90000000000009</v>
      </c>
      <c r="K238">
        <v>15749.1</v>
      </c>
      <c r="L238">
        <v>7368</v>
      </c>
      <c r="M238">
        <v>8381.1</v>
      </c>
      <c r="N238">
        <v>45690</v>
      </c>
      <c r="O238">
        <v>2</v>
      </c>
      <c r="P238" t="s">
        <v>52</v>
      </c>
      <c r="Q238">
        <v>2025</v>
      </c>
    </row>
    <row r="239" spans="1:17" x14ac:dyDescent="0.3">
      <c r="A239" t="s">
        <v>26</v>
      </c>
      <c r="B239" t="s">
        <v>36</v>
      </c>
      <c r="C239" t="s">
        <v>28</v>
      </c>
      <c r="D239" t="s">
        <v>108</v>
      </c>
      <c r="E239" t="s">
        <v>33</v>
      </c>
      <c r="F239">
        <v>738</v>
      </c>
      <c r="G239">
        <v>10</v>
      </c>
      <c r="H239">
        <v>31</v>
      </c>
      <c r="I239">
        <v>22878</v>
      </c>
      <c r="J239">
        <v>1143.9000000000001</v>
      </c>
      <c r="K239">
        <v>21734.1</v>
      </c>
      <c r="L239">
        <v>7380</v>
      </c>
      <c r="M239">
        <v>14354.099999999999</v>
      </c>
      <c r="N239">
        <v>45479</v>
      </c>
      <c r="O239">
        <v>7</v>
      </c>
      <c r="P239" t="s">
        <v>48</v>
      </c>
      <c r="Q239">
        <v>2024</v>
      </c>
    </row>
    <row r="240" spans="1:17" x14ac:dyDescent="0.3">
      <c r="A240" t="s">
        <v>26</v>
      </c>
      <c r="B240" t="s">
        <v>22</v>
      </c>
      <c r="C240" t="s">
        <v>28</v>
      </c>
      <c r="D240" t="s">
        <v>109</v>
      </c>
      <c r="E240" t="s">
        <v>33</v>
      </c>
      <c r="F240">
        <v>555</v>
      </c>
      <c r="G240">
        <v>20</v>
      </c>
      <c r="H240">
        <v>21</v>
      </c>
      <c r="I240">
        <v>11655</v>
      </c>
      <c r="J240">
        <v>582.75</v>
      </c>
      <c r="K240">
        <v>11072.25</v>
      </c>
      <c r="L240">
        <v>11100</v>
      </c>
      <c r="M240">
        <v>-27.75</v>
      </c>
      <c r="N240">
        <v>45166</v>
      </c>
      <c r="O240">
        <v>8</v>
      </c>
      <c r="P240" t="s">
        <v>62</v>
      </c>
      <c r="Q240">
        <v>2023</v>
      </c>
    </row>
    <row r="241" spans="1:17" x14ac:dyDescent="0.3">
      <c r="A241" t="s">
        <v>27</v>
      </c>
      <c r="B241" t="s">
        <v>23</v>
      </c>
      <c r="C241" t="s">
        <v>28</v>
      </c>
      <c r="D241" t="s">
        <v>68</v>
      </c>
      <c r="E241" t="s">
        <v>33</v>
      </c>
      <c r="F241">
        <v>949</v>
      </c>
      <c r="G241">
        <v>11</v>
      </c>
      <c r="H241">
        <v>33</v>
      </c>
      <c r="I241">
        <v>31317</v>
      </c>
      <c r="J241">
        <v>1565.8500000000001</v>
      </c>
      <c r="K241">
        <v>29751.15</v>
      </c>
      <c r="L241">
        <v>10439</v>
      </c>
      <c r="M241">
        <v>19312.150000000001</v>
      </c>
      <c r="N241">
        <v>45052</v>
      </c>
      <c r="O241">
        <v>5</v>
      </c>
      <c r="P241" t="s">
        <v>46</v>
      </c>
      <c r="Q241">
        <v>2023</v>
      </c>
    </row>
    <row r="242" spans="1:17" x14ac:dyDescent="0.3">
      <c r="A242" t="s">
        <v>16</v>
      </c>
      <c r="B242" t="s">
        <v>36</v>
      </c>
      <c r="C242" t="s">
        <v>28</v>
      </c>
      <c r="D242" t="s">
        <v>69</v>
      </c>
      <c r="E242" t="s">
        <v>33</v>
      </c>
      <c r="F242">
        <v>788</v>
      </c>
      <c r="G242">
        <v>20</v>
      </c>
      <c r="H242">
        <v>25</v>
      </c>
      <c r="I242">
        <v>19700</v>
      </c>
      <c r="J242">
        <v>985</v>
      </c>
      <c r="K242">
        <v>18715</v>
      </c>
      <c r="L242">
        <v>15760</v>
      </c>
      <c r="M242">
        <v>2955</v>
      </c>
      <c r="N242">
        <v>45387</v>
      </c>
      <c r="O242">
        <v>4</v>
      </c>
      <c r="P242" t="s">
        <v>75</v>
      </c>
      <c r="Q242">
        <v>2024</v>
      </c>
    </row>
    <row r="243" spans="1:17" x14ac:dyDescent="0.3">
      <c r="A243" t="s">
        <v>27</v>
      </c>
      <c r="B243" t="s">
        <v>36</v>
      </c>
      <c r="C243" t="s">
        <v>28</v>
      </c>
      <c r="D243" t="s">
        <v>112</v>
      </c>
      <c r="E243" t="s">
        <v>33</v>
      </c>
      <c r="F243">
        <v>688</v>
      </c>
      <c r="G243">
        <v>10</v>
      </c>
      <c r="H243">
        <v>19</v>
      </c>
      <c r="I243">
        <v>13072</v>
      </c>
      <c r="J243">
        <v>653.6</v>
      </c>
      <c r="K243">
        <v>12418.4</v>
      </c>
      <c r="L243">
        <v>6880</v>
      </c>
      <c r="M243">
        <v>5538.4</v>
      </c>
      <c r="N243">
        <v>45372</v>
      </c>
      <c r="O243">
        <v>3</v>
      </c>
      <c r="P243" t="s">
        <v>38</v>
      </c>
      <c r="Q243">
        <v>2024</v>
      </c>
    </row>
    <row r="244" spans="1:17" x14ac:dyDescent="0.3">
      <c r="A244" t="s">
        <v>16</v>
      </c>
      <c r="B244" t="s">
        <v>36</v>
      </c>
      <c r="C244" t="s">
        <v>28</v>
      </c>
      <c r="D244" t="s">
        <v>69</v>
      </c>
      <c r="E244" t="s">
        <v>33</v>
      </c>
      <c r="F244">
        <v>408</v>
      </c>
      <c r="G244">
        <v>20</v>
      </c>
      <c r="H244">
        <v>25</v>
      </c>
      <c r="I244">
        <v>10200</v>
      </c>
      <c r="J244">
        <v>510</v>
      </c>
      <c r="K244">
        <v>9690</v>
      </c>
      <c r="L244">
        <v>8160</v>
      </c>
      <c r="M244">
        <v>1530</v>
      </c>
      <c r="N244">
        <v>45655</v>
      </c>
      <c r="O244">
        <v>12</v>
      </c>
      <c r="P244" t="s">
        <v>77</v>
      </c>
      <c r="Q244">
        <v>2024</v>
      </c>
    </row>
    <row r="245" spans="1:17" x14ac:dyDescent="0.3">
      <c r="A245" t="s">
        <v>21</v>
      </c>
      <c r="B245" t="s">
        <v>22</v>
      </c>
      <c r="C245" t="s">
        <v>28</v>
      </c>
      <c r="D245" t="s">
        <v>67</v>
      </c>
      <c r="E245" t="s">
        <v>33</v>
      </c>
      <c r="F245">
        <v>973</v>
      </c>
      <c r="G245">
        <v>16</v>
      </c>
      <c r="H245">
        <v>27</v>
      </c>
      <c r="I245">
        <v>26271</v>
      </c>
      <c r="J245">
        <v>1313.5500000000002</v>
      </c>
      <c r="K245">
        <v>24957.45</v>
      </c>
      <c r="L245">
        <v>15568</v>
      </c>
      <c r="M245">
        <v>9389.4500000000007</v>
      </c>
      <c r="N245">
        <v>45076</v>
      </c>
      <c r="O245">
        <v>5</v>
      </c>
      <c r="P245" t="s">
        <v>46</v>
      </c>
      <c r="Q245">
        <v>2023</v>
      </c>
    </row>
    <row r="246" spans="1:17" x14ac:dyDescent="0.3">
      <c r="A246" t="s">
        <v>16</v>
      </c>
      <c r="B246" t="s">
        <v>17</v>
      </c>
      <c r="C246" t="s">
        <v>28</v>
      </c>
      <c r="D246" t="s">
        <v>60</v>
      </c>
      <c r="E246" t="s">
        <v>33</v>
      </c>
      <c r="F246">
        <v>286</v>
      </c>
      <c r="G246">
        <v>17</v>
      </c>
      <c r="H246">
        <v>38</v>
      </c>
      <c r="I246">
        <v>10868</v>
      </c>
      <c r="J246">
        <v>543.4</v>
      </c>
      <c r="K246">
        <v>10324.6</v>
      </c>
      <c r="L246">
        <v>4862</v>
      </c>
      <c r="M246">
        <v>5462.6</v>
      </c>
      <c r="N246">
        <v>45535</v>
      </c>
      <c r="O246">
        <v>8</v>
      </c>
      <c r="P246" t="s">
        <v>62</v>
      </c>
      <c r="Q246">
        <v>2024</v>
      </c>
    </row>
    <row r="247" spans="1:17" x14ac:dyDescent="0.3">
      <c r="A247" t="s">
        <v>16</v>
      </c>
      <c r="B247" t="s">
        <v>17</v>
      </c>
      <c r="C247" t="s">
        <v>28</v>
      </c>
      <c r="D247" t="s">
        <v>60</v>
      </c>
      <c r="E247" t="s">
        <v>33</v>
      </c>
      <c r="F247">
        <v>240</v>
      </c>
      <c r="G247">
        <v>17</v>
      </c>
      <c r="H247">
        <v>38</v>
      </c>
      <c r="I247">
        <v>9120</v>
      </c>
      <c r="J247">
        <v>456</v>
      </c>
      <c r="K247">
        <v>8664</v>
      </c>
      <c r="L247">
        <v>4080</v>
      </c>
      <c r="M247">
        <v>4584</v>
      </c>
      <c r="N247">
        <v>45076</v>
      </c>
      <c r="O247">
        <v>5</v>
      </c>
      <c r="P247" t="s">
        <v>46</v>
      </c>
      <c r="Q247">
        <v>2023</v>
      </c>
    </row>
    <row r="248" spans="1:17" x14ac:dyDescent="0.3">
      <c r="A248" t="s">
        <v>26</v>
      </c>
      <c r="B248" t="s">
        <v>36</v>
      </c>
      <c r="C248" t="s">
        <v>28</v>
      </c>
      <c r="D248" t="s">
        <v>108</v>
      </c>
      <c r="E248" t="s">
        <v>33</v>
      </c>
      <c r="F248">
        <v>225</v>
      </c>
      <c r="G248">
        <v>10</v>
      </c>
      <c r="H248">
        <v>31</v>
      </c>
      <c r="I248">
        <v>6975</v>
      </c>
      <c r="J248">
        <v>348.75</v>
      </c>
      <c r="K248">
        <v>6626.25</v>
      </c>
      <c r="L248">
        <v>2250</v>
      </c>
      <c r="M248">
        <v>4376.25</v>
      </c>
      <c r="N248">
        <v>45670</v>
      </c>
      <c r="O248">
        <v>1</v>
      </c>
      <c r="P248" t="s">
        <v>58</v>
      </c>
      <c r="Q248">
        <v>2025</v>
      </c>
    </row>
    <row r="249" spans="1:17" x14ac:dyDescent="0.3">
      <c r="A249" t="s">
        <v>26</v>
      </c>
      <c r="B249" t="s">
        <v>22</v>
      </c>
      <c r="C249" t="s">
        <v>28</v>
      </c>
      <c r="D249" t="s">
        <v>109</v>
      </c>
      <c r="E249" t="s">
        <v>33</v>
      </c>
      <c r="F249">
        <v>470</v>
      </c>
      <c r="G249">
        <v>20</v>
      </c>
      <c r="H249">
        <v>21</v>
      </c>
      <c r="I249">
        <v>9870</v>
      </c>
      <c r="J249">
        <v>493.5</v>
      </c>
      <c r="K249">
        <v>9376.5</v>
      </c>
      <c r="L249">
        <v>9400</v>
      </c>
      <c r="M249">
        <v>-23.5</v>
      </c>
      <c r="N249">
        <v>45100</v>
      </c>
      <c r="O249">
        <v>6</v>
      </c>
      <c r="P249" t="s">
        <v>45</v>
      </c>
      <c r="Q249">
        <v>2023</v>
      </c>
    </row>
    <row r="250" spans="1:17" x14ac:dyDescent="0.3">
      <c r="A250" t="s">
        <v>16</v>
      </c>
      <c r="B250" t="s">
        <v>17</v>
      </c>
      <c r="C250" t="s">
        <v>28</v>
      </c>
      <c r="D250" t="s">
        <v>60</v>
      </c>
      <c r="E250" t="s">
        <v>33</v>
      </c>
      <c r="F250">
        <v>367</v>
      </c>
      <c r="G250">
        <v>17</v>
      </c>
      <c r="H250">
        <v>38</v>
      </c>
      <c r="I250">
        <v>13946</v>
      </c>
      <c r="J250">
        <v>697.30000000000007</v>
      </c>
      <c r="K250">
        <v>13248.7</v>
      </c>
      <c r="L250">
        <v>6239</v>
      </c>
      <c r="M250">
        <v>7009.7000000000007</v>
      </c>
      <c r="N250">
        <v>45062</v>
      </c>
      <c r="O250">
        <v>5</v>
      </c>
      <c r="P250" t="s">
        <v>46</v>
      </c>
      <c r="Q250">
        <v>2023</v>
      </c>
    </row>
    <row r="251" spans="1:17" x14ac:dyDescent="0.3">
      <c r="A251" t="s">
        <v>16</v>
      </c>
      <c r="B251" t="s">
        <v>36</v>
      </c>
      <c r="C251" t="s">
        <v>28</v>
      </c>
      <c r="D251" t="s">
        <v>69</v>
      </c>
      <c r="E251" t="s">
        <v>33</v>
      </c>
      <c r="F251">
        <v>552</v>
      </c>
      <c r="G251">
        <v>20</v>
      </c>
      <c r="H251">
        <v>25</v>
      </c>
      <c r="I251">
        <v>13800</v>
      </c>
      <c r="J251">
        <v>690</v>
      </c>
      <c r="K251">
        <v>13110</v>
      </c>
      <c r="L251">
        <v>11040</v>
      </c>
      <c r="M251">
        <v>2070</v>
      </c>
      <c r="N251">
        <v>45705</v>
      </c>
      <c r="O251">
        <v>2</v>
      </c>
      <c r="P251" t="s">
        <v>52</v>
      </c>
      <c r="Q251">
        <v>2025</v>
      </c>
    </row>
    <row r="252" spans="1:17" x14ac:dyDescent="0.3">
      <c r="A252" t="s">
        <v>16</v>
      </c>
      <c r="B252" t="s">
        <v>22</v>
      </c>
      <c r="C252" t="s">
        <v>28</v>
      </c>
      <c r="D252" t="s">
        <v>93</v>
      </c>
      <c r="E252" t="s">
        <v>33</v>
      </c>
      <c r="F252">
        <v>595</v>
      </c>
      <c r="G252">
        <v>12</v>
      </c>
      <c r="H252">
        <v>27</v>
      </c>
      <c r="I252">
        <v>16065</v>
      </c>
      <c r="J252">
        <v>803.25</v>
      </c>
      <c r="K252">
        <v>15261.75</v>
      </c>
      <c r="L252">
        <v>7140</v>
      </c>
      <c r="M252">
        <v>8121.75</v>
      </c>
      <c r="N252">
        <v>45673</v>
      </c>
      <c r="O252">
        <v>1</v>
      </c>
      <c r="P252" t="s">
        <v>58</v>
      </c>
      <c r="Q252">
        <v>2025</v>
      </c>
    </row>
    <row r="253" spans="1:17" x14ac:dyDescent="0.3">
      <c r="A253" t="s">
        <v>21</v>
      </c>
      <c r="B253" t="s">
        <v>20</v>
      </c>
      <c r="C253" t="s">
        <v>28</v>
      </c>
      <c r="D253" t="s">
        <v>111</v>
      </c>
      <c r="E253" t="s">
        <v>33</v>
      </c>
      <c r="F253">
        <v>208</v>
      </c>
      <c r="G253">
        <v>16</v>
      </c>
      <c r="H253">
        <v>27</v>
      </c>
      <c r="I253">
        <v>5616</v>
      </c>
      <c r="J253">
        <v>280.8</v>
      </c>
      <c r="K253">
        <v>5335.2</v>
      </c>
      <c r="L253">
        <v>3328</v>
      </c>
      <c r="M253">
        <v>2007.1999999999998</v>
      </c>
      <c r="N253">
        <v>45693</v>
      </c>
      <c r="O253">
        <v>2</v>
      </c>
      <c r="P253" t="s">
        <v>52</v>
      </c>
      <c r="Q253">
        <v>2025</v>
      </c>
    </row>
    <row r="254" spans="1:17" x14ac:dyDescent="0.3">
      <c r="A254" t="s">
        <v>21</v>
      </c>
      <c r="B254" t="s">
        <v>36</v>
      </c>
      <c r="C254" t="s">
        <v>29</v>
      </c>
      <c r="D254" t="s">
        <v>164</v>
      </c>
      <c r="E254" t="s">
        <v>33</v>
      </c>
      <c r="F254">
        <v>527</v>
      </c>
      <c r="G254">
        <v>13</v>
      </c>
      <c r="H254">
        <v>19</v>
      </c>
      <c r="I254">
        <v>10013</v>
      </c>
      <c r="J254">
        <v>500.65000000000003</v>
      </c>
      <c r="K254">
        <v>9512.35</v>
      </c>
      <c r="L254">
        <v>6851</v>
      </c>
      <c r="M254">
        <v>2661.3500000000004</v>
      </c>
      <c r="N254">
        <v>45521</v>
      </c>
      <c r="O254">
        <v>8</v>
      </c>
      <c r="P254" t="s">
        <v>62</v>
      </c>
      <c r="Q254">
        <v>2024</v>
      </c>
    </row>
    <row r="255" spans="1:17" x14ac:dyDescent="0.3">
      <c r="A255" t="s">
        <v>21</v>
      </c>
      <c r="B255" t="s">
        <v>23</v>
      </c>
      <c r="C255" t="s">
        <v>29</v>
      </c>
      <c r="D255" t="s">
        <v>165</v>
      </c>
      <c r="E255" t="s">
        <v>33</v>
      </c>
      <c r="F255">
        <v>486</v>
      </c>
      <c r="G255">
        <v>12</v>
      </c>
      <c r="H255">
        <v>21</v>
      </c>
      <c r="I255">
        <v>10206</v>
      </c>
      <c r="J255">
        <v>510.3</v>
      </c>
      <c r="K255">
        <v>9695.7000000000007</v>
      </c>
      <c r="L255">
        <v>5832</v>
      </c>
      <c r="M255">
        <v>3863.7000000000007</v>
      </c>
      <c r="N255">
        <v>45297</v>
      </c>
      <c r="O255">
        <v>1</v>
      </c>
      <c r="P255" t="s">
        <v>58</v>
      </c>
      <c r="Q255">
        <v>2024</v>
      </c>
    </row>
    <row r="256" spans="1:17" x14ac:dyDescent="0.3">
      <c r="A256" t="s">
        <v>26</v>
      </c>
      <c r="B256" t="s">
        <v>20</v>
      </c>
      <c r="C256" t="s">
        <v>29</v>
      </c>
      <c r="D256" t="s">
        <v>135</v>
      </c>
      <c r="E256" t="s">
        <v>33</v>
      </c>
      <c r="F256">
        <v>45</v>
      </c>
      <c r="G256">
        <v>20</v>
      </c>
      <c r="H256">
        <v>38</v>
      </c>
      <c r="I256">
        <v>1710</v>
      </c>
      <c r="J256">
        <v>85.5</v>
      </c>
      <c r="K256">
        <v>1624.5</v>
      </c>
      <c r="L256">
        <v>900</v>
      </c>
      <c r="M256">
        <v>724.5</v>
      </c>
      <c r="N256">
        <v>45266</v>
      </c>
      <c r="O256">
        <v>12</v>
      </c>
      <c r="P256" t="s">
        <v>77</v>
      </c>
      <c r="Q256">
        <v>2023</v>
      </c>
    </row>
    <row r="257" spans="1:17" x14ac:dyDescent="0.3">
      <c r="A257" t="s">
        <v>16</v>
      </c>
      <c r="B257" t="s">
        <v>36</v>
      </c>
      <c r="C257" t="s">
        <v>29</v>
      </c>
      <c r="D257" t="s">
        <v>134</v>
      </c>
      <c r="E257" t="s">
        <v>33</v>
      </c>
      <c r="F257">
        <v>837</v>
      </c>
      <c r="G257">
        <v>13</v>
      </c>
      <c r="H257">
        <v>38</v>
      </c>
      <c r="I257">
        <v>31806</v>
      </c>
      <c r="J257">
        <v>1590.3000000000002</v>
      </c>
      <c r="K257">
        <v>30215.7</v>
      </c>
      <c r="L257">
        <v>10881</v>
      </c>
      <c r="M257">
        <v>19334.7</v>
      </c>
      <c r="N257">
        <v>45050</v>
      </c>
      <c r="O257">
        <v>5</v>
      </c>
      <c r="P257" t="s">
        <v>46</v>
      </c>
      <c r="Q257">
        <v>2023</v>
      </c>
    </row>
    <row r="258" spans="1:17" x14ac:dyDescent="0.3">
      <c r="A258" t="s">
        <v>16</v>
      </c>
      <c r="B258" t="s">
        <v>36</v>
      </c>
      <c r="C258" t="s">
        <v>29</v>
      </c>
      <c r="D258" t="s">
        <v>134</v>
      </c>
      <c r="E258" t="s">
        <v>33</v>
      </c>
      <c r="F258">
        <v>93</v>
      </c>
      <c r="G258">
        <v>13</v>
      </c>
      <c r="H258">
        <v>38</v>
      </c>
      <c r="I258">
        <v>3534</v>
      </c>
      <c r="J258">
        <v>176.70000000000002</v>
      </c>
      <c r="K258">
        <v>3357.3</v>
      </c>
      <c r="L258">
        <v>1209</v>
      </c>
      <c r="M258">
        <v>2148.3000000000002</v>
      </c>
      <c r="N258">
        <v>45488</v>
      </c>
      <c r="O258">
        <v>7</v>
      </c>
      <c r="P258" t="s">
        <v>48</v>
      </c>
      <c r="Q258">
        <v>2024</v>
      </c>
    </row>
    <row r="259" spans="1:17" x14ac:dyDescent="0.3">
      <c r="A259" t="s">
        <v>16</v>
      </c>
      <c r="B259" t="s">
        <v>22</v>
      </c>
      <c r="C259" t="s">
        <v>29</v>
      </c>
      <c r="D259" t="s">
        <v>94</v>
      </c>
      <c r="E259" t="s">
        <v>33</v>
      </c>
      <c r="F259">
        <v>905</v>
      </c>
      <c r="G259">
        <v>19</v>
      </c>
      <c r="H259">
        <v>22</v>
      </c>
      <c r="I259">
        <v>19910</v>
      </c>
      <c r="J259">
        <v>995.5</v>
      </c>
      <c r="K259">
        <v>18914.5</v>
      </c>
      <c r="L259">
        <v>17195</v>
      </c>
      <c r="M259">
        <v>1719.5</v>
      </c>
      <c r="N259">
        <v>45726</v>
      </c>
      <c r="O259">
        <v>3</v>
      </c>
      <c r="P259" t="s">
        <v>38</v>
      </c>
      <c r="Q259">
        <v>2025</v>
      </c>
    </row>
    <row r="260" spans="1:17" x14ac:dyDescent="0.3">
      <c r="A260" t="s">
        <v>26</v>
      </c>
      <c r="B260" t="s">
        <v>36</v>
      </c>
      <c r="C260" t="s">
        <v>29</v>
      </c>
      <c r="D260" t="s">
        <v>78</v>
      </c>
      <c r="E260" t="s">
        <v>33</v>
      </c>
      <c r="F260">
        <v>718</v>
      </c>
      <c r="G260">
        <v>12</v>
      </c>
      <c r="H260">
        <v>36</v>
      </c>
      <c r="I260">
        <v>25848</v>
      </c>
      <c r="J260">
        <v>1292.4000000000001</v>
      </c>
      <c r="K260">
        <v>24555.599999999999</v>
      </c>
      <c r="L260">
        <v>8616</v>
      </c>
      <c r="M260">
        <v>15939.599999999999</v>
      </c>
      <c r="N260">
        <v>45408</v>
      </c>
      <c r="O260">
        <v>4</v>
      </c>
      <c r="P260" t="s">
        <v>75</v>
      </c>
      <c r="Q260">
        <v>2024</v>
      </c>
    </row>
    <row r="261" spans="1:17" x14ac:dyDescent="0.3">
      <c r="A261" t="s">
        <v>26</v>
      </c>
      <c r="B261" t="s">
        <v>22</v>
      </c>
      <c r="C261" t="s">
        <v>29</v>
      </c>
      <c r="D261" t="s">
        <v>73</v>
      </c>
      <c r="E261" t="s">
        <v>33</v>
      </c>
      <c r="F261">
        <v>798</v>
      </c>
      <c r="G261">
        <v>16</v>
      </c>
      <c r="H261">
        <v>20</v>
      </c>
      <c r="I261">
        <v>15960</v>
      </c>
      <c r="J261">
        <v>798</v>
      </c>
      <c r="K261">
        <v>15162</v>
      </c>
      <c r="L261">
        <v>12768</v>
      </c>
      <c r="M261">
        <v>2394</v>
      </c>
      <c r="N261">
        <v>45232</v>
      </c>
      <c r="O261">
        <v>11</v>
      </c>
      <c r="P261" t="s">
        <v>43</v>
      </c>
      <c r="Q261">
        <v>2023</v>
      </c>
    </row>
    <row r="262" spans="1:17" x14ac:dyDescent="0.3">
      <c r="A262" t="s">
        <v>16</v>
      </c>
      <c r="B262" t="s">
        <v>22</v>
      </c>
      <c r="C262" t="s">
        <v>29</v>
      </c>
      <c r="D262" t="s">
        <v>94</v>
      </c>
      <c r="E262" t="s">
        <v>33</v>
      </c>
      <c r="F262">
        <v>791</v>
      </c>
      <c r="G262">
        <v>19</v>
      </c>
      <c r="H262">
        <v>22</v>
      </c>
      <c r="I262">
        <v>17402</v>
      </c>
      <c r="J262">
        <v>870.1</v>
      </c>
      <c r="K262">
        <v>16531.900000000001</v>
      </c>
      <c r="L262">
        <v>15029</v>
      </c>
      <c r="M262">
        <v>1502.9000000000015</v>
      </c>
      <c r="N262">
        <v>45196</v>
      </c>
      <c r="O262">
        <v>9</v>
      </c>
      <c r="P262" t="s">
        <v>40</v>
      </c>
      <c r="Q262">
        <v>2023</v>
      </c>
    </row>
    <row r="263" spans="1:17" x14ac:dyDescent="0.3">
      <c r="A263" t="s">
        <v>27</v>
      </c>
      <c r="B263" t="s">
        <v>20</v>
      </c>
      <c r="C263" t="s">
        <v>29</v>
      </c>
      <c r="D263" t="s">
        <v>166</v>
      </c>
      <c r="E263" t="s">
        <v>33</v>
      </c>
      <c r="F263">
        <v>739</v>
      </c>
      <c r="G263">
        <v>18</v>
      </c>
      <c r="H263">
        <v>30</v>
      </c>
      <c r="I263">
        <v>22170</v>
      </c>
      <c r="J263">
        <v>1108.5</v>
      </c>
      <c r="K263">
        <v>21061.5</v>
      </c>
      <c r="L263">
        <v>13302</v>
      </c>
      <c r="M263">
        <v>7759.5</v>
      </c>
      <c r="N263">
        <v>45749</v>
      </c>
      <c r="O263">
        <v>4</v>
      </c>
      <c r="P263" t="s">
        <v>75</v>
      </c>
      <c r="Q263">
        <v>2025</v>
      </c>
    </row>
    <row r="264" spans="1:17" x14ac:dyDescent="0.3">
      <c r="A264" t="s">
        <v>16</v>
      </c>
      <c r="B264" t="s">
        <v>17</v>
      </c>
      <c r="C264" t="s">
        <v>30</v>
      </c>
      <c r="D264" t="s">
        <v>86</v>
      </c>
      <c r="E264" t="s">
        <v>33</v>
      </c>
      <c r="F264">
        <v>150</v>
      </c>
      <c r="G264">
        <v>15</v>
      </c>
      <c r="H264">
        <v>36</v>
      </c>
      <c r="I264">
        <v>5400</v>
      </c>
      <c r="J264">
        <v>270</v>
      </c>
      <c r="K264">
        <v>5130</v>
      </c>
      <c r="L264">
        <v>2250</v>
      </c>
      <c r="M264">
        <v>2880</v>
      </c>
      <c r="N264">
        <v>45594</v>
      </c>
      <c r="O264">
        <v>10</v>
      </c>
      <c r="P264" t="s">
        <v>55</v>
      </c>
      <c r="Q264">
        <v>2024</v>
      </c>
    </row>
    <row r="265" spans="1:17" x14ac:dyDescent="0.3">
      <c r="A265" t="s">
        <v>16</v>
      </c>
      <c r="B265" t="s">
        <v>36</v>
      </c>
      <c r="C265" t="s">
        <v>30</v>
      </c>
      <c r="D265" t="s">
        <v>141</v>
      </c>
      <c r="E265" t="s">
        <v>33</v>
      </c>
      <c r="F265">
        <v>646</v>
      </c>
      <c r="G265">
        <v>13</v>
      </c>
      <c r="H265">
        <v>25</v>
      </c>
      <c r="I265">
        <v>16150</v>
      </c>
      <c r="J265">
        <v>807.5</v>
      </c>
      <c r="K265">
        <v>15342.5</v>
      </c>
      <c r="L265">
        <v>8398</v>
      </c>
      <c r="M265">
        <v>6944.5</v>
      </c>
      <c r="N265">
        <v>45178</v>
      </c>
      <c r="O265">
        <v>9</v>
      </c>
      <c r="P265" t="s">
        <v>40</v>
      </c>
      <c r="Q265">
        <v>2023</v>
      </c>
    </row>
    <row r="266" spans="1:17" x14ac:dyDescent="0.3">
      <c r="A266" t="s">
        <v>16</v>
      </c>
      <c r="B266" t="s">
        <v>20</v>
      </c>
      <c r="C266" t="s">
        <v>30</v>
      </c>
      <c r="D266" t="s">
        <v>114</v>
      </c>
      <c r="E266" t="s">
        <v>33</v>
      </c>
      <c r="F266">
        <v>709</v>
      </c>
      <c r="G266">
        <v>13</v>
      </c>
      <c r="H266">
        <v>38</v>
      </c>
      <c r="I266">
        <v>26942</v>
      </c>
      <c r="J266">
        <v>1347.1000000000001</v>
      </c>
      <c r="K266">
        <v>25594.9</v>
      </c>
      <c r="L266">
        <v>9217</v>
      </c>
      <c r="M266">
        <v>16377.900000000001</v>
      </c>
      <c r="N266">
        <v>45037</v>
      </c>
      <c r="O266">
        <v>4</v>
      </c>
      <c r="P266" t="s">
        <v>75</v>
      </c>
      <c r="Q266">
        <v>2023</v>
      </c>
    </row>
    <row r="267" spans="1:17" x14ac:dyDescent="0.3">
      <c r="A267" t="s">
        <v>16</v>
      </c>
      <c r="B267" t="s">
        <v>36</v>
      </c>
      <c r="C267" t="s">
        <v>30</v>
      </c>
      <c r="D267" t="s">
        <v>141</v>
      </c>
      <c r="E267" t="s">
        <v>33</v>
      </c>
      <c r="F267">
        <v>900</v>
      </c>
      <c r="G267">
        <v>13</v>
      </c>
      <c r="H267">
        <v>25</v>
      </c>
      <c r="I267">
        <v>22500</v>
      </c>
      <c r="J267">
        <v>1125</v>
      </c>
      <c r="K267">
        <v>21375</v>
      </c>
      <c r="L267">
        <v>11700</v>
      </c>
      <c r="M267">
        <v>9675</v>
      </c>
      <c r="N267">
        <v>45056</v>
      </c>
      <c r="O267">
        <v>5</v>
      </c>
      <c r="P267" t="s">
        <v>46</v>
      </c>
      <c r="Q267">
        <v>2023</v>
      </c>
    </row>
    <row r="268" spans="1:17" x14ac:dyDescent="0.3">
      <c r="A268" t="s">
        <v>16</v>
      </c>
      <c r="B268" t="s">
        <v>36</v>
      </c>
      <c r="C268" t="s">
        <v>30</v>
      </c>
      <c r="D268" t="s">
        <v>141</v>
      </c>
      <c r="E268" t="s">
        <v>33</v>
      </c>
      <c r="F268">
        <v>908</v>
      </c>
      <c r="G268">
        <v>13</v>
      </c>
      <c r="H268">
        <v>25</v>
      </c>
      <c r="I268">
        <v>22700</v>
      </c>
      <c r="J268">
        <v>1135</v>
      </c>
      <c r="K268">
        <v>21565</v>
      </c>
      <c r="L268">
        <v>11804</v>
      </c>
      <c r="M268">
        <v>9761</v>
      </c>
      <c r="N268">
        <v>45376</v>
      </c>
      <c r="O268">
        <v>3</v>
      </c>
      <c r="P268" t="s">
        <v>38</v>
      </c>
      <c r="Q268">
        <v>2024</v>
      </c>
    </row>
    <row r="269" spans="1:17" x14ac:dyDescent="0.3">
      <c r="A269" t="s">
        <v>16</v>
      </c>
      <c r="B269" t="s">
        <v>22</v>
      </c>
      <c r="C269" t="s">
        <v>30</v>
      </c>
      <c r="D269" t="s">
        <v>84</v>
      </c>
      <c r="E269" t="s">
        <v>33</v>
      </c>
      <c r="F269">
        <v>527</v>
      </c>
      <c r="G269">
        <v>20</v>
      </c>
      <c r="H269">
        <v>23</v>
      </c>
      <c r="I269">
        <v>12121</v>
      </c>
      <c r="J269">
        <v>606.05000000000007</v>
      </c>
      <c r="K269">
        <v>11514.95</v>
      </c>
      <c r="L269">
        <v>10540</v>
      </c>
      <c r="M269">
        <v>974.95000000000073</v>
      </c>
      <c r="N269">
        <v>45310</v>
      </c>
      <c r="O269">
        <v>1</v>
      </c>
      <c r="P269" t="s">
        <v>58</v>
      </c>
      <c r="Q269">
        <v>2024</v>
      </c>
    </row>
    <row r="270" spans="1:17" x14ac:dyDescent="0.3">
      <c r="A270" t="s">
        <v>16</v>
      </c>
      <c r="B270" t="s">
        <v>20</v>
      </c>
      <c r="C270" t="s">
        <v>31</v>
      </c>
      <c r="D270" t="s">
        <v>90</v>
      </c>
      <c r="E270" t="s">
        <v>33</v>
      </c>
      <c r="F270">
        <v>296</v>
      </c>
      <c r="G270">
        <v>19</v>
      </c>
      <c r="H270">
        <v>17</v>
      </c>
      <c r="I270">
        <v>5032</v>
      </c>
      <c r="J270">
        <v>251.60000000000002</v>
      </c>
      <c r="K270">
        <v>4780.3999999999996</v>
      </c>
      <c r="L270">
        <v>5624</v>
      </c>
      <c r="M270">
        <v>-843.60000000000036</v>
      </c>
      <c r="N270">
        <v>45713</v>
      </c>
      <c r="O270">
        <v>2</v>
      </c>
      <c r="P270" t="s">
        <v>52</v>
      </c>
      <c r="Q270">
        <v>2025</v>
      </c>
    </row>
    <row r="271" spans="1:17" x14ac:dyDescent="0.3">
      <c r="A271" t="s">
        <v>16</v>
      </c>
      <c r="B271" t="s">
        <v>17</v>
      </c>
      <c r="C271" t="s">
        <v>31</v>
      </c>
      <c r="D271" t="s">
        <v>159</v>
      </c>
      <c r="E271" t="s">
        <v>33</v>
      </c>
      <c r="F271">
        <v>778</v>
      </c>
      <c r="G271">
        <v>19</v>
      </c>
      <c r="H271">
        <v>38</v>
      </c>
      <c r="I271">
        <v>29564</v>
      </c>
      <c r="J271">
        <v>1478.2</v>
      </c>
      <c r="K271">
        <v>28085.8</v>
      </c>
      <c r="L271">
        <v>14782</v>
      </c>
      <c r="M271">
        <v>13303.8</v>
      </c>
      <c r="N271">
        <v>45458</v>
      </c>
      <c r="O271">
        <v>6</v>
      </c>
      <c r="P271" t="s">
        <v>45</v>
      </c>
      <c r="Q271">
        <v>2024</v>
      </c>
    </row>
    <row r="272" spans="1:17" x14ac:dyDescent="0.3">
      <c r="A272" t="s">
        <v>16</v>
      </c>
      <c r="B272" t="s">
        <v>17</v>
      </c>
      <c r="C272" t="s">
        <v>31</v>
      </c>
      <c r="D272" t="s">
        <v>159</v>
      </c>
      <c r="E272" t="s">
        <v>33</v>
      </c>
      <c r="F272">
        <v>939</v>
      </c>
      <c r="G272">
        <v>19</v>
      </c>
      <c r="H272">
        <v>38</v>
      </c>
      <c r="I272">
        <v>35682</v>
      </c>
      <c r="J272">
        <v>1784.1000000000001</v>
      </c>
      <c r="K272">
        <v>33897.9</v>
      </c>
      <c r="L272">
        <v>17841</v>
      </c>
      <c r="M272">
        <v>16056.900000000001</v>
      </c>
      <c r="N272">
        <v>45703</v>
      </c>
      <c r="O272">
        <v>2</v>
      </c>
      <c r="P272" t="s">
        <v>52</v>
      </c>
      <c r="Q272">
        <v>2025</v>
      </c>
    </row>
    <row r="273" spans="1:17" x14ac:dyDescent="0.3">
      <c r="A273" t="s">
        <v>27</v>
      </c>
      <c r="B273" t="s">
        <v>20</v>
      </c>
      <c r="C273" t="s">
        <v>31</v>
      </c>
      <c r="D273" t="s">
        <v>142</v>
      </c>
      <c r="E273" t="s">
        <v>33</v>
      </c>
      <c r="F273">
        <v>323</v>
      </c>
      <c r="G273">
        <v>14</v>
      </c>
      <c r="H273">
        <v>26</v>
      </c>
      <c r="I273">
        <v>8398</v>
      </c>
      <c r="J273">
        <v>419.90000000000003</v>
      </c>
      <c r="K273">
        <v>7978.1</v>
      </c>
      <c r="L273">
        <v>4522</v>
      </c>
      <c r="M273">
        <v>3456.1000000000004</v>
      </c>
      <c r="N273">
        <v>45354</v>
      </c>
      <c r="O273">
        <v>3</v>
      </c>
      <c r="P273" t="s">
        <v>38</v>
      </c>
      <c r="Q273">
        <v>2024</v>
      </c>
    </row>
    <row r="274" spans="1:17" x14ac:dyDescent="0.3">
      <c r="A274" t="s">
        <v>21</v>
      </c>
      <c r="B274" t="s">
        <v>22</v>
      </c>
      <c r="C274" t="s">
        <v>28</v>
      </c>
      <c r="D274" t="s">
        <v>67</v>
      </c>
      <c r="E274" t="s">
        <v>33</v>
      </c>
      <c r="F274">
        <v>749</v>
      </c>
      <c r="G274">
        <v>16</v>
      </c>
      <c r="H274">
        <v>27</v>
      </c>
      <c r="I274">
        <v>20223</v>
      </c>
      <c r="J274">
        <v>1011.1500000000001</v>
      </c>
      <c r="K274">
        <v>19211.849999999999</v>
      </c>
      <c r="L274">
        <v>11984</v>
      </c>
      <c r="M274">
        <v>7227.8499999999985</v>
      </c>
      <c r="N274">
        <v>45658</v>
      </c>
      <c r="O274">
        <v>1</v>
      </c>
      <c r="P274" t="s">
        <v>58</v>
      </c>
      <c r="Q274">
        <v>2025</v>
      </c>
    </row>
    <row r="275" spans="1:17" x14ac:dyDescent="0.3">
      <c r="A275" t="s">
        <v>16</v>
      </c>
      <c r="B275" t="s">
        <v>36</v>
      </c>
      <c r="C275" t="s">
        <v>18</v>
      </c>
      <c r="D275" t="s">
        <v>97</v>
      </c>
      <c r="E275" t="s">
        <v>33</v>
      </c>
      <c r="F275">
        <v>959</v>
      </c>
      <c r="G275">
        <v>11</v>
      </c>
      <c r="H275">
        <v>19</v>
      </c>
      <c r="I275">
        <v>18221</v>
      </c>
      <c r="J275">
        <v>911.05000000000007</v>
      </c>
      <c r="K275">
        <v>17309.95</v>
      </c>
      <c r="L275">
        <v>10549</v>
      </c>
      <c r="M275">
        <v>6760.9500000000007</v>
      </c>
      <c r="N275">
        <v>45636</v>
      </c>
      <c r="O275">
        <v>12</v>
      </c>
      <c r="P275" t="s">
        <v>77</v>
      </c>
      <c r="Q275">
        <v>2024</v>
      </c>
    </row>
    <row r="276" spans="1:17" x14ac:dyDescent="0.3">
      <c r="A276" t="s">
        <v>21</v>
      </c>
      <c r="B276" t="s">
        <v>17</v>
      </c>
      <c r="C276" t="s">
        <v>18</v>
      </c>
      <c r="D276" t="s">
        <v>167</v>
      </c>
      <c r="E276" t="s">
        <v>33</v>
      </c>
      <c r="F276">
        <v>894</v>
      </c>
      <c r="G276">
        <v>10</v>
      </c>
      <c r="H276">
        <v>23</v>
      </c>
      <c r="I276">
        <v>20562</v>
      </c>
      <c r="J276">
        <v>1028.1000000000001</v>
      </c>
      <c r="K276">
        <v>19533.900000000001</v>
      </c>
      <c r="L276">
        <v>8940</v>
      </c>
      <c r="M276">
        <v>10593.900000000001</v>
      </c>
      <c r="N276">
        <v>45300</v>
      </c>
      <c r="O276">
        <v>1</v>
      </c>
      <c r="P276" t="s">
        <v>58</v>
      </c>
      <c r="Q276">
        <v>2024</v>
      </c>
    </row>
    <row r="277" spans="1:17" x14ac:dyDescent="0.3">
      <c r="A277" t="s">
        <v>25</v>
      </c>
      <c r="B277" t="s">
        <v>23</v>
      </c>
      <c r="C277" t="s">
        <v>18</v>
      </c>
      <c r="D277" t="s">
        <v>168</v>
      </c>
      <c r="E277" t="s">
        <v>33</v>
      </c>
      <c r="F277">
        <v>657</v>
      </c>
      <c r="G277">
        <v>17</v>
      </c>
      <c r="H277">
        <v>26</v>
      </c>
      <c r="I277">
        <v>17082</v>
      </c>
      <c r="J277">
        <v>854.1</v>
      </c>
      <c r="K277">
        <v>16227.9</v>
      </c>
      <c r="L277">
        <v>11169</v>
      </c>
      <c r="M277">
        <v>5058.8999999999996</v>
      </c>
      <c r="N277">
        <v>45257</v>
      </c>
      <c r="O277">
        <v>11</v>
      </c>
      <c r="P277" t="s">
        <v>43</v>
      </c>
      <c r="Q277">
        <v>2023</v>
      </c>
    </row>
    <row r="278" spans="1:17" x14ac:dyDescent="0.3">
      <c r="A278" t="s">
        <v>25</v>
      </c>
      <c r="B278" t="s">
        <v>17</v>
      </c>
      <c r="C278" t="s">
        <v>18</v>
      </c>
      <c r="D278" t="s">
        <v>98</v>
      </c>
      <c r="E278" t="s">
        <v>33</v>
      </c>
      <c r="F278">
        <v>857</v>
      </c>
      <c r="G278">
        <v>20</v>
      </c>
      <c r="H278">
        <v>18</v>
      </c>
      <c r="I278">
        <v>15426</v>
      </c>
      <c r="J278">
        <v>771.30000000000007</v>
      </c>
      <c r="K278">
        <v>14654.7</v>
      </c>
      <c r="L278">
        <v>17140</v>
      </c>
      <c r="M278">
        <v>-2485.2999999999993</v>
      </c>
      <c r="N278">
        <v>45136</v>
      </c>
      <c r="O278">
        <v>7</v>
      </c>
      <c r="P278" t="s">
        <v>48</v>
      </c>
      <c r="Q278">
        <v>2023</v>
      </c>
    </row>
    <row r="279" spans="1:17" x14ac:dyDescent="0.3">
      <c r="A279" t="s">
        <v>21</v>
      </c>
      <c r="B279" t="s">
        <v>36</v>
      </c>
      <c r="C279" t="s">
        <v>18</v>
      </c>
      <c r="D279" t="s">
        <v>169</v>
      </c>
      <c r="E279" t="s">
        <v>33</v>
      </c>
      <c r="F279">
        <v>726</v>
      </c>
      <c r="G279">
        <v>19</v>
      </c>
      <c r="H279">
        <v>18</v>
      </c>
      <c r="I279">
        <v>13068</v>
      </c>
      <c r="J279">
        <v>653.40000000000009</v>
      </c>
      <c r="K279">
        <v>12414.6</v>
      </c>
      <c r="L279">
        <v>13794</v>
      </c>
      <c r="M279">
        <v>-1379.3999999999996</v>
      </c>
      <c r="N279">
        <v>45626</v>
      </c>
      <c r="O279">
        <v>11</v>
      </c>
      <c r="P279" t="s">
        <v>43</v>
      </c>
      <c r="Q279">
        <v>2024</v>
      </c>
    </row>
    <row r="280" spans="1:17" x14ac:dyDescent="0.3">
      <c r="A280" t="s">
        <v>16</v>
      </c>
      <c r="B280" t="s">
        <v>36</v>
      </c>
      <c r="C280" t="s">
        <v>18</v>
      </c>
      <c r="D280" t="s">
        <v>97</v>
      </c>
      <c r="E280" t="s">
        <v>33</v>
      </c>
      <c r="F280">
        <v>927</v>
      </c>
      <c r="G280">
        <v>11</v>
      </c>
      <c r="H280">
        <v>19</v>
      </c>
      <c r="I280">
        <v>17613</v>
      </c>
      <c r="J280">
        <v>880.65000000000009</v>
      </c>
      <c r="K280">
        <v>16732.349999999999</v>
      </c>
      <c r="L280">
        <v>10197</v>
      </c>
      <c r="M280">
        <v>6535.3499999999985</v>
      </c>
      <c r="N280">
        <v>45273</v>
      </c>
      <c r="O280">
        <v>12</v>
      </c>
      <c r="P280" t="s">
        <v>77</v>
      </c>
      <c r="Q280">
        <v>2023</v>
      </c>
    </row>
    <row r="281" spans="1:17" x14ac:dyDescent="0.3">
      <c r="A281" t="s">
        <v>26</v>
      </c>
      <c r="B281" t="s">
        <v>20</v>
      </c>
      <c r="C281" t="s">
        <v>18</v>
      </c>
      <c r="D281" t="s">
        <v>170</v>
      </c>
      <c r="E281" t="s">
        <v>33</v>
      </c>
      <c r="F281">
        <v>11</v>
      </c>
      <c r="G281">
        <v>18</v>
      </c>
      <c r="H281">
        <v>29</v>
      </c>
      <c r="I281">
        <v>319</v>
      </c>
      <c r="J281">
        <v>3.19</v>
      </c>
      <c r="K281">
        <v>315.81</v>
      </c>
      <c r="L281">
        <v>198</v>
      </c>
      <c r="M281">
        <v>117.81</v>
      </c>
      <c r="N281">
        <v>45298</v>
      </c>
      <c r="O281">
        <v>1</v>
      </c>
      <c r="P281" t="s">
        <v>58</v>
      </c>
      <c r="Q281">
        <v>2024</v>
      </c>
    </row>
    <row r="282" spans="1:17" x14ac:dyDescent="0.3">
      <c r="A282" t="s">
        <v>16</v>
      </c>
      <c r="B282" t="s">
        <v>23</v>
      </c>
      <c r="C282" t="s">
        <v>24</v>
      </c>
      <c r="D282" t="s">
        <v>163</v>
      </c>
      <c r="E282" t="s">
        <v>33</v>
      </c>
      <c r="F282">
        <v>941</v>
      </c>
      <c r="G282">
        <v>15</v>
      </c>
      <c r="H282">
        <v>34</v>
      </c>
      <c r="I282">
        <v>31994</v>
      </c>
      <c r="J282">
        <v>1599.7</v>
      </c>
      <c r="K282">
        <v>30394.3</v>
      </c>
      <c r="L282">
        <v>14115</v>
      </c>
      <c r="M282">
        <v>16279.3</v>
      </c>
      <c r="N282">
        <v>45453</v>
      </c>
      <c r="O282">
        <v>6</v>
      </c>
      <c r="P282" t="s">
        <v>45</v>
      </c>
      <c r="Q282">
        <v>2024</v>
      </c>
    </row>
    <row r="283" spans="1:17" x14ac:dyDescent="0.3">
      <c r="A283" t="s">
        <v>16</v>
      </c>
      <c r="B283" t="s">
        <v>20</v>
      </c>
      <c r="C283" t="s">
        <v>24</v>
      </c>
      <c r="D283" t="s">
        <v>57</v>
      </c>
      <c r="E283" t="s">
        <v>33</v>
      </c>
      <c r="F283">
        <v>496</v>
      </c>
      <c r="G283">
        <v>16</v>
      </c>
      <c r="H283">
        <v>31</v>
      </c>
      <c r="I283">
        <v>15376</v>
      </c>
      <c r="J283">
        <v>768.80000000000007</v>
      </c>
      <c r="K283">
        <v>14607.2</v>
      </c>
      <c r="L283">
        <v>7936</v>
      </c>
      <c r="M283">
        <v>6671.2000000000007</v>
      </c>
      <c r="N283">
        <v>45453</v>
      </c>
      <c r="O283">
        <v>6</v>
      </c>
      <c r="P283" t="s">
        <v>45</v>
      </c>
      <c r="Q283">
        <v>2024</v>
      </c>
    </row>
    <row r="284" spans="1:17" x14ac:dyDescent="0.3">
      <c r="A284" t="s">
        <v>16</v>
      </c>
      <c r="B284" t="s">
        <v>22</v>
      </c>
      <c r="C284" t="s">
        <v>24</v>
      </c>
      <c r="D284" t="s">
        <v>50</v>
      </c>
      <c r="E284" t="s">
        <v>33</v>
      </c>
      <c r="F284">
        <v>226</v>
      </c>
      <c r="G284">
        <v>12</v>
      </c>
      <c r="H284">
        <v>35</v>
      </c>
      <c r="I284">
        <v>7910</v>
      </c>
      <c r="J284">
        <v>395.5</v>
      </c>
      <c r="K284">
        <v>7514.5</v>
      </c>
      <c r="L284">
        <v>2712</v>
      </c>
      <c r="M284">
        <v>4802.5</v>
      </c>
      <c r="N284">
        <v>45125</v>
      </c>
      <c r="O284">
        <v>7</v>
      </c>
      <c r="P284" t="s">
        <v>48</v>
      </c>
      <c r="Q284">
        <v>2023</v>
      </c>
    </row>
    <row r="285" spans="1:17" x14ac:dyDescent="0.3">
      <c r="A285" t="s">
        <v>25</v>
      </c>
      <c r="B285" t="s">
        <v>36</v>
      </c>
      <c r="C285" t="s">
        <v>24</v>
      </c>
      <c r="D285" t="s">
        <v>123</v>
      </c>
      <c r="E285" t="s">
        <v>33</v>
      </c>
      <c r="F285">
        <v>495</v>
      </c>
      <c r="G285">
        <v>17</v>
      </c>
      <c r="H285">
        <v>31</v>
      </c>
      <c r="I285">
        <v>15345</v>
      </c>
      <c r="J285">
        <v>767.25</v>
      </c>
      <c r="K285">
        <v>14577.75</v>
      </c>
      <c r="L285">
        <v>8415</v>
      </c>
      <c r="M285">
        <v>6162.75</v>
      </c>
      <c r="N285">
        <v>45194</v>
      </c>
      <c r="O285">
        <v>9</v>
      </c>
      <c r="P285" t="s">
        <v>40</v>
      </c>
      <c r="Q285">
        <v>2023</v>
      </c>
    </row>
    <row r="286" spans="1:17" x14ac:dyDescent="0.3">
      <c r="A286" t="s">
        <v>16</v>
      </c>
      <c r="B286" t="s">
        <v>22</v>
      </c>
      <c r="C286" t="s">
        <v>28</v>
      </c>
      <c r="D286" t="s">
        <v>93</v>
      </c>
      <c r="E286" t="s">
        <v>33</v>
      </c>
      <c r="F286">
        <v>842</v>
      </c>
      <c r="G286">
        <v>12</v>
      </c>
      <c r="H286">
        <v>27</v>
      </c>
      <c r="I286">
        <v>22734</v>
      </c>
      <c r="J286">
        <v>1136.7</v>
      </c>
      <c r="K286">
        <v>21597.3</v>
      </c>
      <c r="L286">
        <v>10104</v>
      </c>
      <c r="M286">
        <v>11493.3</v>
      </c>
      <c r="N286">
        <v>45092</v>
      </c>
      <c r="O286">
        <v>6</v>
      </c>
      <c r="P286" t="s">
        <v>45</v>
      </c>
      <c r="Q286">
        <v>2023</v>
      </c>
    </row>
    <row r="287" spans="1:17" x14ac:dyDescent="0.3">
      <c r="A287" t="s">
        <v>25</v>
      </c>
      <c r="B287" t="s">
        <v>17</v>
      </c>
      <c r="C287" t="s">
        <v>28</v>
      </c>
      <c r="D287" t="s">
        <v>63</v>
      </c>
      <c r="E287" t="s">
        <v>33</v>
      </c>
      <c r="F287">
        <v>718</v>
      </c>
      <c r="G287">
        <v>11</v>
      </c>
      <c r="H287">
        <v>21</v>
      </c>
      <c r="I287">
        <v>15078</v>
      </c>
      <c r="J287">
        <v>753.90000000000009</v>
      </c>
      <c r="K287">
        <v>14324.1</v>
      </c>
      <c r="L287">
        <v>7898</v>
      </c>
      <c r="M287">
        <v>6426.1</v>
      </c>
      <c r="N287">
        <v>45109</v>
      </c>
      <c r="O287">
        <v>7</v>
      </c>
      <c r="P287" t="s">
        <v>48</v>
      </c>
      <c r="Q287">
        <v>2023</v>
      </c>
    </row>
    <row r="288" spans="1:17" x14ac:dyDescent="0.3">
      <c r="A288" t="s">
        <v>16</v>
      </c>
      <c r="B288" t="s">
        <v>36</v>
      </c>
      <c r="C288" t="s">
        <v>28</v>
      </c>
      <c r="D288" t="s">
        <v>69</v>
      </c>
      <c r="E288" t="s">
        <v>33</v>
      </c>
      <c r="F288">
        <v>635</v>
      </c>
      <c r="G288">
        <v>20</v>
      </c>
      <c r="H288">
        <v>25</v>
      </c>
      <c r="I288">
        <v>15875</v>
      </c>
      <c r="J288">
        <v>793.75</v>
      </c>
      <c r="K288">
        <v>15081.25</v>
      </c>
      <c r="L288">
        <v>12700</v>
      </c>
      <c r="M288">
        <v>2381.25</v>
      </c>
      <c r="N288">
        <v>45660</v>
      </c>
      <c r="O288">
        <v>1</v>
      </c>
      <c r="P288" t="s">
        <v>58</v>
      </c>
      <c r="Q288">
        <v>2025</v>
      </c>
    </row>
    <row r="289" spans="1:17" x14ac:dyDescent="0.3">
      <c r="A289" t="s">
        <v>26</v>
      </c>
      <c r="B289" t="s">
        <v>17</v>
      </c>
      <c r="C289" t="s">
        <v>29</v>
      </c>
      <c r="D289" t="s">
        <v>79</v>
      </c>
      <c r="E289" t="s">
        <v>33</v>
      </c>
      <c r="F289">
        <v>194</v>
      </c>
      <c r="G289">
        <v>16</v>
      </c>
      <c r="H289">
        <v>28</v>
      </c>
      <c r="I289">
        <v>5432</v>
      </c>
      <c r="J289">
        <v>271.60000000000002</v>
      </c>
      <c r="K289">
        <v>5160.3999999999996</v>
      </c>
      <c r="L289">
        <v>3104</v>
      </c>
      <c r="M289">
        <v>2056.3999999999996</v>
      </c>
      <c r="N289">
        <v>45715</v>
      </c>
      <c r="O289">
        <v>2</v>
      </c>
      <c r="P289" t="s">
        <v>52</v>
      </c>
      <c r="Q289">
        <v>2025</v>
      </c>
    </row>
    <row r="290" spans="1:17" x14ac:dyDescent="0.3">
      <c r="A290" t="s">
        <v>26</v>
      </c>
      <c r="B290" t="s">
        <v>36</v>
      </c>
      <c r="C290" t="s">
        <v>29</v>
      </c>
      <c r="D290" t="s">
        <v>78</v>
      </c>
      <c r="E290" t="s">
        <v>33</v>
      </c>
      <c r="F290">
        <v>272</v>
      </c>
      <c r="G290">
        <v>12</v>
      </c>
      <c r="H290">
        <v>36</v>
      </c>
      <c r="I290">
        <v>9792</v>
      </c>
      <c r="J290">
        <v>489.6</v>
      </c>
      <c r="K290">
        <v>9302.4</v>
      </c>
      <c r="L290">
        <v>3264</v>
      </c>
      <c r="M290">
        <v>6038.4</v>
      </c>
      <c r="N290">
        <v>45199</v>
      </c>
      <c r="O290">
        <v>9</v>
      </c>
      <c r="P290" t="s">
        <v>40</v>
      </c>
      <c r="Q290">
        <v>2023</v>
      </c>
    </row>
    <row r="291" spans="1:17" x14ac:dyDescent="0.3">
      <c r="A291" t="s">
        <v>21</v>
      </c>
      <c r="B291" t="s">
        <v>20</v>
      </c>
      <c r="C291" t="s">
        <v>29</v>
      </c>
      <c r="D291" t="s">
        <v>171</v>
      </c>
      <c r="E291" t="s">
        <v>33</v>
      </c>
      <c r="F291">
        <v>349</v>
      </c>
      <c r="G291">
        <v>20</v>
      </c>
      <c r="H291">
        <v>38</v>
      </c>
      <c r="I291">
        <v>13262</v>
      </c>
      <c r="J291">
        <v>663.1</v>
      </c>
      <c r="K291">
        <v>12598.9</v>
      </c>
      <c r="L291">
        <v>6980</v>
      </c>
      <c r="M291">
        <v>5618.9</v>
      </c>
      <c r="N291">
        <v>45368</v>
      </c>
      <c r="O291">
        <v>3</v>
      </c>
      <c r="P291" t="s">
        <v>38</v>
      </c>
      <c r="Q291">
        <v>2024</v>
      </c>
    </row>
    <row r="292" spans="1:17" x14ac:dyDescent="0.3">
      <c r="A292" t="s">
        <v>16</v>
      </c>
      <c r="B292" t="s">
        <v>22</v>
      </c>
      <c r="C292" t="s">
        <v>29</v>
      </c>
      <c r="D292" t="s">
        <v>94</v>
      </c>
      <c r="E292" t="s">
        <v>33</v>
      </c>
      <c r="F292">
        <v>155</v>
      </c>
      <c r="G292">
        <v>19</v>
      </c>
      <c r="H292">
        <v>22</v>
      </c>
      <c r="I292">
        <v>3410</v>
      </c>
      <c r="J292">
        <v>170.5</v>
      </c>
      <c r="K292">
        <v>3239.5</v>
      </c>
      <c r="L292">
        <v>2945</v>
      </c>
      <c r="M292">
        <v>294.5</v>
      </c>
      <c r="N292">
        <v>45713</v>
      </c>
      <c r="O292">
        <v>2</v>
      </c>
      <c r="P292" t="s">
        <v>52</v>
      </c>
      <c r="Q292">
        <v>2025</v>
      </c>
    </row>
    <row r="293" spans="1:17" x14ac:dyDescent="0.3">
      <c r="A293" t="s">
        <v>16</v>
      </c>
      <c r="B293" t="s">
        <v>23</v>
      </c>
      <c r="C293" t="s">
        <v>29</v>
      </c>
      <c r="D293" t="s">
        <v>72</v>
      </c>
      <c r="E293" t="s">
        <v>33</v>
      </c>
      <c r="F293">
        <v>276</v>
      </c>
      <c r="G293">
        <v>18</v>
      </c>
      <c r="H293">
        <v>33</v>
      </c>
      <c r="I293">
        <v>9108</v>
      </c>
      <c r="J293">
        <v>455.40000000000003</v>
      </c>
      <c r="K293">
        <v>8652.6</v>
      </c>
      <c r="L293">
        <v>4968</v>
      </c>
      <c r="M293">
        <v>3684.6000000000004</v>
      </c>
      <c r="N293">
        <v>45340</v>
      </c>
      <c r="O293">
        <v>2</v>
      </c>
      <c r="P293" t="s">
        <v>52</v>
      </c>
      <c r="Q293">
        <v>2024</v>
      </c>
    </row>
    <row r="294" spans="1:17" x14ac:dyDescent="0.3">
      <c r="A294" t="s">
        <v>27</v>
      </c>
      <c r="B294" t="s">
        <v>22</v>
      </c>
      <c r="C294" t="s">
        <v>29</v>
      </c>
      <c r="D294" t="s">
        <v>172</v>
      </c>
      <c r="E294" t="s">
        <v>33</v>
      </c>
      <c r="F294">
        <v>530</v>
      </c>
      <c r="G294">
        <v>10</v>
      </c>
      <c r="H294">
        <v>34</v>
      </c>
      <c r="I294">
        <v>18020</v>
      </c>
      <c r="J294">
        <v>901</v>
      </c>
      <c r="K294">
        <v>17119</v>
      </c>
      <c r="L294">
        <v>5300</v>
      </c>
      <c r="M294">
        <v>11819</v>
      </c>
      <c r="N294">
        <v>45348</v>
      </c>
      <c r="O294">
        <v>2</v>
      </c>
      <c r="P294" t="s">
        <v>52</v>
      </c>
      <c r="Q294">
        <v>2024</v>
      </c>
    </row>
    <row r="295" spans="1:17" x14ac:dyDescent="0.3">
      <c r="A295" t="s">
        <v>16</v>
      </c>
      <c r="B295" t="s">
        <v>22</v>
      </c>
      <c r="C295" t="s">
        <v>29</v>
      </c>
      <c r="D295" t="s">
        <v>94</v>
      </c>
      <c r="E295" t="s">
        <v>33</v>
      </c>
      <c r="F295">
        <v>879</v>
      </c>
      <c r="G295">
        <v>19</v>
      </c>
      <c r="H295">
        <v>22</v>
      </c>
      <c r="I295">
        <v>19338</v>
      </c>
      <c r="J295">
        <v>966.90000000000009</v>
      </c>
      <c r="K295">
        <v>18371.099999999999</v>
      </c>
      <c r="L295">
        <v>16701</v>
      </c>
      <c r="M295">
        <v>1670.0999999999985</v>
      </c>
      <c r="N295">
        <v>45609</v>
      </c>
      <c r="O295">
        <v>11</v>
      </c>
      <c r="P295" t="s">
        <v>43</v>
      </c>
      <c r="Q295">
        <v>2024</v>
      </c>
    </row>
    <row r="296" spans="1:17" x14ac:dyDescent="0.3">
      <c r="A296" t="s">
        <v>21</v>
      </c>
      <c r="B296" t="s">
        <v>17</v>
      </c>
      <c r="C296" t="s">
        <v>30</v>
      </c>
      <c r="D296" t="s">
        <v>173</v>
      </c>
      <c r="E296" t="s">
        <v>33</v>
      </c>
      <c r="F296">
        <v>514</v>
      </c>
      <c r="G296">
        <v>16</v>
      </c>
      <c r="H296">
        <v>31</v>
      </c>
      <c r="I296">
        <v>15934</v>
      </c>
      <c r="J296">
        <v>796.7</v>
      </c>
      <c r="K296">
        <v>15137.3</v>
      </c>
      <c r="L296">
        <v>8224</v>
      </c>
      <c r="M296">
        <v>6913.2999999999993</v>
      </c>
      <c r="N296">
        <v>45533</v>
      </c>
      <c r="O296">
        <v>8</v>
      </c>
      <c r="P296" t="s">
        <v>62</v>
      </c>
      <c r="Q296">
        <v>2024</v>
      </c>
    </row>
    <row r="297" spans="1:17" x14ac:dyDescent="0.3">
      <c r="A297" t="s">
        <v>16</v>
      </c>
      <c r="B297" t="s">
        <v>23</v>
      </c>
      <c r="C297" t="s">
        <v>30</v>
      </c>
      <c r="D297" t="s">
        <v>119</v>
      </c>
      <c r="E297" t="s">
        <v>33</v>
      </c>
      <c r="F297">
        <v>295</v>
      </c>
      <c r="G297">
        <v>18</v>
      </c>
      <c r="H297">
        <v>19</v>
      </c>
      <c r="I297">
        <v>5605</v>
      </c>
      <c r="J297">
        <v>280.25</v>
      </c>
      <c r="K297">
        <v>5324.75</v>
      </c>
      <c r="L297">
        <v>5310</v>
      </c>
      <c r="M297">
        <v>14.75</v>
      </c>
      <c r="N297">
        <v>45703</v>
      </c>
      <c r="O297">
        <v>2</v>
      </c>
      <c r="P297" t="s">
        <v>52</v>
      </c>
      <c r="Q297">
        <v>2025</v>
      </c>
    </row>
    <row r="298" spans="1:17" x14ac:dyDescent="0.3">
      <c r="A298" t="s">
        <v>27</v>
      </c>
      <c r="B298" t="s">
        <v>22</v>
      </c>
      <c r="C298" t="s">
        <v>30</v>
      </c>
      <c r="D298" t="s">
        <v>85</v>
      </c>
      <c r="E298" t="s">
        <v>33</v>
      </c>
      <c r="F298">
        <v>970</v>
      </c>
      <c r="G298">
        <v>18</v>
      </c>
      <c r="H298">
        <v>30</v>
      </c>
      <c r="I298">
        <v>29100</v>
      </c>
      <c r="J298">
        <v>1455</v>
      </c>
      <c r="K298">
        <v>27645</v>
      </c>
      <c r="L298">
        <v>17460</v>
      </c>
      <c r="M298">
        <v>10185</v>
      </c>
      <c r="N298">
        <v>45674</v>
      </c>
      <c r="O298">
        <v>1</v>
      </c>
      <c r="P298" t="s">
        <v>58</v>
      </c>
      <c r="Q298">
        <v>2025</v>
      </c>
    </row>
    <row r="299" spans="1:17" x14ac:dyDescent="0.3">
      <c r="A299" t="s">
        <v>16</v>
      </c>
      <c r="B299" t="s">
        <v>23</v>
      </c>
      <c r="C299" t="s">
        <v>30</v>
      </c>
      <c r="D299" t="s">
        <v>119</v>
      </c>
      <c r="E299" t="s">
        <v>33</v>
      </c>
      <c r="F299">
        <v>73</v>
      </c>
      <c r="G299">
        <v>18</v>
      </c>
      <c r="H299">
        <v>19</v>
      </c>
      <c r="I299">
        <v>1387</v>
      </c>
      <c r="J299">
        <v>69.350000000000009</v>
      </c>
      <c r="K299">
        <v>1317.65</v>
      </c>
      <c r="L299">
        <v>1314</v>
      </c>
      <c r="M299">
        <v>3.6500000000000909</v>
      </c>
      <c r="N299">
        <v>45172</v>
      </c>
      <c r="O299">
        <v>9</v>
      </c>
      <c r="P299" t="s">
        <v>40</v>
      </c>
      <c r="Q299">
        <v>2023</v>
      </c>
    </row>
    <row r="300" spans="1:17" x14ac:dyDescent="0.3">
      <c r="A300" t="s">
        <v>27</v>
      </c>
      <c r="B300" t="s">
        <v>17</v>
      </c>
      <c r="C300" t="s">
        <v>30</v>
      </c>
      <c r="D300" t="s">
        <v>80</v>
      </c>
      <c r="E300" t="s">
        <v>33</v>
      </c>
      <c r="F300">
        <v>273</v>
      </c>
      <c r="G300">
        <v>16</v>
      </c>
      <c r="H300">
        <v>16</v>
      </c>
      <c r="I300">
        <v>4368</v>
      </c>
      <c r="J300">
        <v>218.4</v>
      </c>
      <c r="K300">
        <v>4149.6000000000004</v>
      </c>
      <c r="L300">
        <v>4368</v>
      </c>
      <c r="M300">
        <v>-218.39999999999964</v>
      </c>
      <c r="N300">
        <v>45325</v>
      </c>
      <c r="O300">
        <v>2</v>
      </c>
      <c r="P300" t="s">
        <v>52</v>
      </c>
      <c r="Q300">
        <v>2024</v>
      </c>
    </row>
    <row r="301" spans="1:17" x14ac:dyDescent="0.3">
      <c r="A301" t="s">
        <v>26</v>
      </c>
      <c r="B301" t="s">
        <v>22</v>
      </c>
      <c r="C301" t="s">
        <v>31</v>
      </c>
      <c r="D301" t="s">
        <v>174</v>
      </c>
      <c r="E301" t="s">
        <v>33</v>
      </c>
      <c r="F301">
        <v>930</v>
      </c>
      <c r="G301">
        <v>20</v>
      </c>
      <c r="H301">
        <v>29</v>
      </c>
      <c r="I301">
        <v>26970</v>
      </c>
      <c r="J301">
        <v>1348.5</v>
      </c>
      <c r="K301">
        <v>25621.5</v>
      </c>
      <c r="L301">
        <v>18600</v>
      </c>
      <c r="M301">
        <v>7021.5</v>
      </c>
      <c r="N301">
        <v>45130</v>
      </c>
      <c r="O301">
        <v>7</v>
      </c>
      <c r="P301" t="s">
        <v>48</v>
      </c>
      <c r="Q301">
        <v>2023</v>
      </c>
    </row>
    <row r="302" spans="1:17" x14ac:dyDescent="0.3">
      <c r="A302" t="s">
        <v>16</v>
      </c>
      <c r="B302" t="s">
        <v>23</v>
      </c>
      <c r="C302" t="s">
        <v>31</v>
      </c>
      <c r="D302" t="s">
        <v>157</v>
      </c>
      <c r="E302" t="s">
        <v>33</v>
      </c>
      <c r="F302">
        <v>794</v>
      </c>
      <c r="G302">
        <v>14</v>
      </c>
      <c r="H302">
        <v>32</v>
      </c>
      <c r="I302">
        <v>25408</v>
      </c>
      <c r="J302">
        <v>1270.4000000000001</v>
      </c>
      <c r="K302">
        <v>24137.599999999999</v>
      </c>
      <c r="L302">
        <v>11116</v>
      </c>
      <c r="M302">
        <v>13021.599999999999</v>
      </c>
      <c r="N302">
        <v>45385</v>
      </c>
      <c r="O302">
        <v>4</v>
      </c>
      <c r="P302" t="s">
        <v>75</v>
      </c>
      <c r="Q302">
        <v>2024</v>
      </c>
    </row>
    <row r="303" spans="1:17" x14ac:dyDescent="0.3">
      <c r="A303" t="s">
        <v>16</v>
      </c>
      <c r="B303" t="s">
        <v>36</v>
      </c>
      <c r="C303" t="s">
        <v>31</v>
      </c>
      <c r="D303" t="s">
        <v>91</v>
      </c>
      <c r="E303" t="s">
        <v>33</v>
      </c>
      <c r="F303">
        <v>487</v>
      </c>
      <c r="G303">
        <v>10</v>
      </c>
      <c r="H303">
        <v>19</v>
      </c>
      <c r="I303">
        <v>9253</v>
      </c>
      <c r="J303">
        <v>462.65000000000003</v>
      </c>
      <c r="K303">
        <v>8790.35</v>
      </c>
      <c r="L303">
        <v>4870</v>
      </c>
      <c r="M303">
        <v>3920.3500000000004</v>
      </c>
      <c r="N303">
        <v>45522</v>
      </c>
      <c r="O303">
        <v>8</v>
      </c>
      <c r="P303" t="s">
        <v>62</v>
      </c>
      <c r="Q303">
        <v>2024</v>
      </c>
    </row>
    <row r="304" spans="1:17" x14ac:dyDescent="0.3">
      <c r="A304" t="s">
        <v>16</v>
      </c>
      <c r="B304" t="s">
        <v>22</v>
      </c>
      <c r="C304" t="s">
        <v>31</v>
      </c>
      <c r="D304" t="s">
        <v>87</v>
      </c>
      <c r="E304" t="s">
        <v>33</v>
      </c>
      <c r="F304">
        <v>566</v>
      </c>
      <c r="G304">
        <v>19</v>
      </c>
      <c r="H304">
        <v>19</v>
      </c>
      <c r="I304">
        <v>10754</v>
      </c>
      <c r="J304">
        <v>537.70000000000005</v>
      </c>
      <c r="K304">
        <v>10216.299999999999</v>
      </c>
      <c r="L304">
        <v>10754</v>
      </c>
      <c r="M304">
        <v>-537.70000000000073</v>
      </c>
      <c r="N304">
        <v>45216</v>
      </c>
      <c r="O304">
        <v>10</v>
      </c>
      <c r="P304" t="s">
        <v>55</v>
      </c>
      <c r="Q304">
        <v>2023</v>
      </c>
    </row>
    <row r="305" spans="1:17" x14ac:dyDescent="0.3">
      <c r="A305" t="s">
        <v>16</v>
      </c>
      <c r="B305" t="s">
        <v>22</v>
      </c>
      <c r="C305" t="s">
        <v>31</v>
      </c>
      <c r="D305" t="s">
        <v>87</v>
      </c>
      <c r="E305" t="s">
        <v>33</v>
      </c>
      <c r="F305">
        <v>567</v>
      </c>
      <c r="G305">
        <v>19</v>
      </c>
      <c r="H305">
        <v>19</v>
      </c>
      <c r="I305">
        <v>10773</v>
      </c>
      <c r="J305">
        <v>538.65</v>
      </c>
      <c r="K305">
        <v>10234.35</v>
      </c>
      <c r="L305">
        <v>10773</v>
      </c>
      <c r="M305">
        <v>-538.64999999999964</v>
      </c>
      <c r="N305">
        <v>45411</v>
      </c>
      <c r="O305">
        <v>4</v>
      </c>
      <c r="P305" t="s">
        <v>75</v>
      </c>
      <c r="Q305">
        <v>2024</v>
      </c>
    </row>
    <row r="306" spans="1:17" x14ac:dyDescent="0.3">
      <c r="A306" t="s">
        <v>16</v>
      </c>
      <c r="B306" t="s">
        <v>22</v>
      </c>
      <c r="C306" t="s">
        <v>24</v>
      </c>
      <c r="D306" t="s">
        <v>50</v>
      </c>
      <c r="E306" t="s">
        <v>33</v>
      </c>
      <c r="F306">
        <v>19</v>
      </c>
      <c r="G306">
        <v>12</v>
      </c>
      <c r="H306">
        <v>35</v>
      </c>
      <c r="I306">
        <v>665</v>
      </c>
      <c r="J306">
        <v>6.65</v>
      </c>
      <c r="K306">
        <v>658.35</v>
      </c>
      <c r="L306">
        <v>228</v>
      </c>
      <c r="M306">
        <v>430.35</v>
      </c>
      <c r="N306">
        <v>45741</v>
      </c>
      <c r="O306">
        <v>3</v>
      </c>
      <c r="P306" t="s">
        <v>38</v>
      </c>
      <c r="Q306">
        <v>2025</v>
      </c>
    </row>
    <row r="307" spans="1:17" x14ac:dyDescent="0.3">
      <c r="A307" t="s">
        <v>21</v>
      </c>
      <c r="B307" t="s">
        <v>36</v>
      </c>
      <c r="C307" t="s">
        <v>28</v>
      </c>
      <c r="D307" t="s">
        <v>107</v>
      </c>
      <c r="E307" t="s">
        <v>33</v>
      </c>
      <c r="F307">
        <v>478</v>
      </c>
      <c r="G307">
        <v>13</v>
      </c>
      <c r="H307">
        <v>31</v>
      </c>
      <c r="I307">
        <v>14818</v>
      </c>
      <c r="J307">
        <v>740.90000000000009</v>
      </c>
      <c r="K307">
        <v>14077.1</v>
      </c>
      <c r="L307">
        <v>6214</v>
      </c>
      <c r="M307">
        <v>7863.1</v>
      </c>
      <c r="N307">
        <v>45167</v>
      </c>
      <c r="O307">
        <v>8</v>
      </c>
      <c r="P307" t="s">
        <v>62</v>
      </c>
      <c r="Q307">
        <v>2023</v>
      </c>
    </row>
    <row r="308" spans="1:17" x14ac:dyDescent="0.3">
      <c r="A308" t="s">
        <v>21</v>
      </c>
      <c r="B308" t="s">
        <v>20</v>
      </c>
      <c r="C308" t="s">
        <v>28</v>
      </c>
      <c r="D308" t="s">
        <v>111</v>
      </c>
      <c r="E308" t="s">
        <v>33</v>
      </c>
      <c r="F308">
        <v>146</v>
      </c>
      <c r="G308">
        <v>16</v>
      </c>
      <c r="H308">
        <v>27</v>
      </c>
      <c r="I308">
        <v>3942</v>
      </c>
      <c r="J308">
        <v>197.10000000000002</v>
      </c>
      <c r="K308">
        <v>3744.9</v>
      </c>
      <c r="L308">
        <v>2336</v>
      </c>
      <c r="M308">
        <v>1408.9</v>
      </c>
      <c r="N308">
        <v>45254</v>
      </c>
      <c r="O308">
        <v>11</v>
      </c>
      <c r="P308" t="s">
        <v>43</v>
      </c>
      <c r="Q308">
        <v>2023</v>
      </c>
    </row>
    <row r="309" spans="1:17" x14ac:dyDescent="0.3">
      <c r="A309" t="s">
        <v>21</v>
      </c>
      <c r="B309" t="s">
        <v>36</v>
      </c>
      <c r="C309" t="s">
        <v>28</v>
      </c>
      <c r="D309" t="s">
        <v>107</v>
      </c>
      <c r="E309" t="s">
        <v>33</v>
      </c>
      <c r="F309">
        <v>322</v>
      </c>
      <c r="G309">
        <v>13</v>
      </c>
      <c r="H309">
        <v>31</v>
      </c>
      <c r="I309">
        <v>9982</v>
      </c>
      <c r="J309">
        <v>499.1</v>
      </c>
      <c r="K309">
        <v>9482.9</v>
      </c>
      <c r="L309">
        <v>4186</v>
      </c>
      <c r="M309">
        <v>5296.9</v>
      </c>
      <c r="N309">
        <v>45417</v>
      </c>
      <c r="O309">
        <v>5</v>
      </c>
      <c r="P309" t="s">
        <v>46</v>
      </c>
      <c r="Q309">
        <v>2024</v>
      </c>
    </row>
    <row r="310" spans="1:17" x14ac:dyDescent="0.3">
      <c r="A310" t="s">
        <v>16</v>
      </c>
      <c r="B310" t="s">
        <v>22</v>
      </c>
      <c r="C310" t="s">
        <v>28</v>
      </c>
      <c r="D310" t="s">
        <v>93</v>
      </c>
      <c r="E310" t="s">
        <v>33</v>
      </c>
      <c r="F310">
        <v>660</v>
      </c>
      <c r="G310">
        <v>12</v>
      </c>
      <c r="H310">
        <v>27</v>
      </c>
      <c r="I310">
        <v>17820</v>
      </c>
      <c r="J310">
        <v>891</v>
      </c>
      <c r="K310">
        <v>16929</v>
      </c>
      <c r="L310">
        <v>7920</v>
      </c>
      <c r="M310">
        <v>9009</v>
      </c>
      <c r="N310">
        <v>45585</v>
      </c>
      <c r="O310">
        <v>10</v>
      </c>
      <c r="P310" t="s">
        <v>55</v>
      </c>
      <c r="Q310">
        <v>2024</v>
      </c>
    </row>
    <row r="311" spans="1:17" x14ac:dyDescent="0.3">
      <c r="A311" t="s">
        <v>16</v>
      </c>
      <c r="B311" t="s">
        <v>20</v>
      </c>
      <c r="C311" t="s">
        <v>29</v>
      </c>
      <c r="D311" t="s">
        <v>76</v>
      </c>
      <c r="E311" t="s">
        <v>33</v>
      </c>
      <c r="F311">
        <v>412</v>
      </c>
      <c r="G311">
        <v>11</v>
      </c>
      <c r="H311">
        <v>30</v>
      </c>
      <c r="I311">
        <v>12360</v>
      </c>
      <c r="J311">
        <v>618</v>
      </c>
      <c r="K311">
        <v>11742</v>
      </c>
      <c r="L311">
        <v>4532</v>
      </c>
      <c r="M311">
        <v>7210</v>
      </c>
      <c r="N311">
        <v>45042</v>
      </c>
      <c r="O311">
        <v>4</v>
      </c>
      <c r="P311" t="s">
        <v>75</v>
      </c>
      <c r="Q311">
        <v>2023</v>
      </c>
    </row>
    <row r="312" spans="1:17" x14ac:dyDescent="0.3">
      <c r="A312" t="s">
        <v>16</v>
      </c>
      <c r="B312" t="s">
        <v>23</v>
      </c>
      <c r="C312" t="s">
        <v>29</v>
      </c>
      <c r="D312" t="s">
        <v>72</v>
      </c>
      <c r="E312" t="s">
        <v>33</v>
      </c>
      <c r="F312">
        <v>515</v>
      </c>
      <c r="G312">
        <v>18</v>
      </c>
      <c r="H312">
        <v>33</v>
      </c>
      <c r="I312">
        <v>16995</v>
      </c>
      <c r="J312">
        <v>849.75</v>
      </c>
      <c r="K312">
        <v>16145.25</v>
      </c>
      <c r="L312">
        <v>9270</v>
      </c>
      <c r="M312">
        <v>6875.25</v>
      </c>
      <c r="N312">
        <v>45662</v>
      </c>
      <c r="O312">
        <v>1</v>
      </c>
      <c r="P312" t="s">
        <v>58</v>
      </c>
      <c r="Q312">
        <v>2025</v>
      </c>
    </row>
    <row r="313" spans="1:17" x14ac:dyDescent="0.3">
      <c r="A313" t="s">
        <v>21</v>
      </c>
      <c r="B313" t="s">
        <v>36</v>
      </c>
      <c r="C313" t="s">
        <v>30</v>
      </c>
      <c r="D313" t="s">
        <v>175</v>
      </c>
      <c r="E313" t="s">
        <v>33</v>
      </c>
      <c r="F313">
        <v>500</v>
      </c>
      <c r="G313">
        <v>11</v>
      </c>
      <c r="H313">
        <v>21</v>
      </c>
      <c r="I313">
        <v>10500</v>
      </c>
      <c r="J313">
        <v>525</v>
      </c>
      <c r="K313">
        <v>9975</v>
      </c>
      <c r="L313">
        <v>5500</v>
      </c>
      <c r="M313">
        <v>4475</v>
      </c>
      <c r="N313">
        <v>45637</v>
      </c>
      <c r="O313">
        <v>12</v>
      </c>
      <c r="P313" t="s">
        <v>77</v>
      </c>
      <c r="Q313">
        <v>2024</v>
      </c>
    </row>
    <row r="314" spans="1:17" x14ac:dyDescent="0.3">
      <c r="A314" t="s">
        <v>25</v>
      </c>
      <c r="B314" t="s">
        <v>23</v>
      </c>
      <c r="C314" t="s">
        <v>18</v>
      </c>
      <c r="D314" t="s">
        <v>168</v>
      </c>
      <c r="E314" t="s">
        <v>33</v>
      </c>
      <c r="F314">
        <v>802</v>
      </c>
      <c r="G314">
        <v>17</v>
      </c>
      <c r="H314">
        <v>26</v>
      </c>
      <c r="I314">
        <v>20852</v>
      </c>
      <c r="J314">
        <v>1042.6000000000001</v>
      </c>
      <c r="K314">
        <v>19809.400000000001</v>
      </c>
      <c r="L314">
        <v>13634</v>
      </c>
      <c r="M314">
        <v>6175.4000000000015</v>
      </c>
      <c r="N314">
        <v>45504</v>
      </c>
      <c r="O314">
        <v>7</v>
      </c>
      <c r="P314" t="s">
        <v>48</v>
      </c>
      <c r="Q314">
        <v>2024</v>
      </c>
    </row>
    <row r="315" spans="1:17" x14ac:dyDescent="0.3">
      <c r="A315" t="s">
        <v>25</v>
      </c>
      <c r="B315" t="s">
        <v>17</v>
      </c>
      <c r="C315" t="s">
        <v>18</v>
      </c>
      <c r="D315" t="s">
        <v>98</v>
      </c>
      <c r="E315" t="s">
        <v>33</v>
      </c>
      <c r="F315">
        <v>274</v>
      </c>
      <c r="G315">
        <v>20</v>
      </c>
      <c r="H315">
        <v>18</v>
      </c>
      <c r="I315">
        <v>4932</v>
      </c>
      <c r="J315">
        <v>246.60000000000002</v>
      </c>
      <c r="K315">
        <v>4685.3999999999996</v>
      </c>
      <c r="L315">
        <v>5480</v>
      </c>
      <c r="M315">
        <v>-794.60000000000036</v>
      </c>
      <c r="N315">
        <v>45711</v>
      </c>
      <c r="O315">
        <v>2</v>
      </c>
      <c r="P315" t="s">
        <v>52</v>
      </c>
      <c r="Q315">
        <v>2025</v>
      </c>
    </row>
    <row r="316" spans="1:17" x14ac:dyDescent="0.3">
      <c r="A316" t="s">
        <v>16</v>
      </c>
      <c r="B316" t="s">
        <v>23</v>
      </c>
      <c r="C316" t="s">
        <v>18</v>
      </c>
      <c r="D316" t="s">
        <v>96</v>
      </c>
      <c r="E316" t="s">
        <v>33</v>
      </c>
      <c r="F316">
        <v>288</v>
      </c>
      <c r="G316">
        <v>14</v>
      </c>
      <c r="H316">
        <v>35</v>
      </c>
      <c r="I316">
        <v>10080</v>
      </c>
      <c r="J316">
        <v>504</v>
      </c>
      <c r="K316">
        <v>9576</v>
      </c>
      <c r="L316">
        <v>4032</v>
      </c>
      <c r="M316">
        <v>5544</v>
      </c>
      <c r="N316">
        <v>45035</v>
      </c>
      <c r="O316">
        <v>4</v>
      </c>
      <c r="P316" t="s">
        <v>75</v>
      </c>
      <c r="Q316">
        <v>2023</v>
      </c>
    </row>
    <row r="317" spans="1:17" x14ac:dyDescent="0.3">
      <c r="A317" t="s">
        <v>25</v>
      </c>
      <c r="B317" t="s">
        <v>23</v>
      </c>
      <c r="C317" t="s">
        <v>24</v>
      </c>
      <c r="D317" t="s">
        <v>125</v>
      </c>
      <c r="E317" t="s">
        <v>33</v>
      </c>
      <c r="F317">
        <v>761</v>
      </c>
      <c r="G317">
        <v>10</v>
      </c>
      <c r="H317">
        <v>19</v>
      </c>
      <c r="I317">
        <v>14459</v>
      </c>
      <c r="J317">
        <v>722.95</v>
      </c>
      <c r="K317">
        <v>13736.05</v>
      </c>
      <c r="L317">
        <v>7610</v>
      </c>
      <c r="M317">
        <v>6126.0499999999993</v>
      </c>
      <c r="N317">
        <v>45103</v>
      </c>
      <c r="O317">
        <v>6</v>
      </c>
      <c r="P317" t="s">
        <v>45</v>
      </c>
      <c r="Q317">
        <v>2023</v>
      </c>
    </row>
    <row r="318" spans="1:17" x14ac:dyDescent="0.3">
      <c r="A318" t="s">
        <v>25</v>
      </c>
      <c r="B318" t="s">
        <v>22</v>
      </c>
      <c r="C318" t="s">
        <v>24</v>
      </c>
      <c r="D318" t="s">
        <v>146</v>
      </c>
      <c r="E318" t="s">
        <v>33</v>
      </c>
      <c r="F318">
        <v>989</v>
      </c>
      <c r="G318">
        <v>11</v>
      </c>
      <c r="H318">
        <v>32</v>
      </c>
      <c r="I318">
        <v>31648</v>
      </c>
      <c r="J318">
        <v>1582.4</v>
      </c>
      <c r="K318">
        <v>30065.599999999999</v>
      </c>
      <c r="L318">
        <v>10879</v>
      </c>
      <c r="M318">
        <v>19186.599999999999</v>
      </c>
      <c r="N318">
        <v>45131</v>
      </c>
      <c r="O318">
        <v>7</v>
      </c>
      <c r="P318" t="s">
        <v>48</v>
      </c>
      <c r="Q318">
        <v>2023</v>
      </c>
    </row>
    <row r="319" spans="1:17" x14ac:dyDescent="0.3">
      <c r="A319" t="s">
        <v>16</v>
      </c>
      <c r="B319" t="s">
        <v>22</v>
      </c>
      <c r="C319" t="s">
        <v>28</v>
      </c>
      <c r="D319" t="s">
        <v>93</v>
      </c>
      <c r="E319" t="s">
        <v>33</v>
      </c>
      <c r="F319">
        <v>412</v>
      </c>
      <c r="G319">
        <v>12</v>
      </c>
      <c r="H319">
        <v>27</v>
      </c>
      <c r="I319">
        <v>11124</v>
      </c>
      <c r="J319">
        <v>556.20000000000005</v>
      </c>
      <c r="K319">
        <v>10567.8</v>
      </c>
      <c r="L319">
        <v>4944</v>
      </c>
      <c r="M319">
        <v>5623.7999999999993</v>
      </c>
      <c r="N319">
        <v>45232</v>
      </c>
      <c r="O319">
        <v>11</v>
      </c>
      <c r="P319" t="s">
        <v>43</v>
      </c>
      <c r="Q319">
        <v>2023</v>
      </c>
    </row>
    <row r="320" spans="1:17" x14ac:dyDescent="0.3">
      <c r="A320" t="s">
        <v>21</v>
      </c>
      <c r="B320" t="s">
        <v>17</v>
      </c>
      <c r="C320" t="s">
        <v>29</v>
      </c>
      <c r="D320" t="s">
        <v>176</v>
      </c>
      <c r="E320" t="s">
        <v>33</v>
      </c>
      <c r="F320">
        <v>429</v>
      </c>
      <c r="G320">
        <v>14</v>
      </c>
      <c r="H320">
        <v>29</v>
      </c>
      <c r="I320">
        <v>12441</v>
      </c>
      <c r="J320">
        <v>622.05000000000007</v>
      </c>
      <c r="K320">
        <v>11818.95</v>
      </c>
      <c r="L320">
        <v>6006</v>
      </c>
      <c r="M320">
        <v>5812.9500000000007</v>
      </c>
      <c r="N320">
        <v>45732</v>
      </c>
      <c r="O320">
        <v>3</v>
      </c>
      <c r="P320" t="s">
        <v>38</v>
      </c>
      <c r="Q320">
        <v>2025</v>
      </c>
    </row>
    <row r="321" spans="1:17" x14ac:dyDescent="0.3">
      <c r="A321" t="s">
        <v>16</v>
      </c>
      <c r="B321" t="s">
        <v>17</v>
      </c>
      <c r="C321" t="s">
        <v>29</v>
      </c>
      <c r="D321" t="s">
        <v>113</v>
      </c>
      <c r="E321" t="s">
        <v>33</v>
      </c>
      <c r="F321">
        <v>210</v>
      </c>
      <c r="G321">
        <v>18</v>
      </c>
      <c r="H321">
        <v>23</v>
      </c>
      <c r="I321">
        <v>4830</v>
      </c>
      <c r="J321">
        <v>241.5</v>
      </c>
      <c r="K321">
        <v>4588.5</v>
      </c>
      <c r="L321">
        <v>3780</v>
      </c>
      <c r="M321">
        <v>808.5</v>
      </c>
      <c r="N321">
        <v>45496</v>
      </c>
      <c r="O321">
        <v>7</v>
      </c>
      <c r="P321" t="s">
        <v>48</v>
      </c>
      <c r="Q321">
        <v>2024</v>
      </c>
    </row>
    <row r="322" spans="1:17" x14ac:dyDescent="0.3">
      <c r="A322" t="s">
        <v>16</v>
      </c>
      <c r="B322" t="s">
        <v>36</v>
      </c>
      <c r="C322" t="s">
        <v>29</v>
      </c>
      <c r="D322" t="s">
        <v>134</v>
      </c>
      <c r="E322" t="s">
        <v>33</v>
      </c>
      <c r="F322">
        <v>69</v>
      </c>
      <c r="G322">
        <v>13</v>
      </c>
      <c r="H322">
        <v>38</v>
      </c>
      <c r="I322">
        <v>2622</v>
      </c>
      <c r="J322">
        <v>131.1</v>
      </c>
      <c r="K322">
        <v>2490.9</v>
      </c>
      <c r="L322">
        <v>897</v>
      </c>
      <c r="M322">
        <v>1593.9</v>
      </c>
      <c r="N322">
        <v>45732</v>
      </c>
      <c r="O322">
        <v>3</v>
      </c>
      <c r="P322" t="s">
        <v>38</v>
      </c>
      <c r="Q322">
        <v>2025</v>
      </c>
    </row>
    <row r="323" spans="1:17" x14ac:dyDescent="0.3">
      <c r="A323" t="s">
        <v>16</v>
      </c>
      <c r="B323" t="s">
        <v>17</v>
      </c>
      <c r="C323" t="s">
        <v>29</v>
      </c>
      <c r="D323" t="s">
        <v>113</v>
      </c>
      <c r="E323" t="s">
        <v>33</v>
      </c>
      <c r="F323">
        <v>729</v>
      </c>
      <c r="G323">
        <v>18</v>
      </c>
      <c r="H323">
        <v>23</v>
      </c>
      <c r="I323">
        <v>16767</v>
      </c>
      <c r="J323">
        <v>838.35</v>
      </c>
      <c r="K323">
        <v>15928.65</v>
      </c>
      <c r="L323">
        <v>13122</v>
      </c>
      <c r="M323">
        <v>2806.6499999999996</v>
      </c>
      <c r="N323">
        <v>45074</v>
      </c>
      <c r="O323">
        <v>5</v>
      </c>
      <c r="P323" t="s">
        <v>46</v>
      </c>
      <c r="Q323">
        <v>2023</v>
      </c>
    </row>
    <row r="324" spans="1:17" x14ac:dyDescent="0.3">
      <c r="A324" t="s">
        <v>25</v>
      </c>
      <c r="B324" t="s">
        <v>22</v>
      </c>
      <c r="C324" t="s">
        <v>30</v>
      </c>
      <c r="D324" t="s">
        <v>155</v>
      </c>
      <c r="E324" t="s">
        <v>33</v>
      </c>
      <c r="F324">
        <v>790</v>
      </c>
      <c r="G324">
        <v>15</v>
      </c>
      <c r="H324">
        <v>36</v>
      </c>
      <c r="I324">
        <v>28440</v>
      </c>
      <c r="J324">
        <v>1422</v>
      </c>
      <c r="K324">
        <v>27018</v>
      </c>
      <c r="L324">
        <v>11850</v>
      </c>
      <c r="M324">
        <v>15168</v>
      </c>
      <c r="N324">
        <v>45533</v>
      </c>
      <c r="O324">
        <v>8</v>
      </c>
      <c r="P324" t="s">
        <v>62</v>
      </c>
      <c r="Q324">
        <v>2024</v>
      </c>
    </row>
    <row r="325" spans="1:17" x14ac:dyDescent="0.3">
      <c r="A325" t="s">
        <v>25</v>
      </c>
      <c r="B325" t="s">
        <v>20</v>
      </c>
      <c r="C325" t="s">
        <v>30</v>
      </c>
      <c r="D325" t="s">
        <v>81</v>
      </c>
      <c r="E325" t="s">
        <v>33</v>
      </c>
      <c r="F325">
        <v>797</v>
      </c>
      <c r="G325">
        <v>15</v>
      </c>
      <c r="H325">
        <v>25</v>
      </c>
      <c r="I325">
        <v>19925</v>
      </c>
      <c r="J325">
        <v>996.25</v>
      </c>
      <c r="K325">
        <v>18928.75</v>
      </c>
      <c r="L325">
        <v>11955</v>
      </c>
      <c r="M325">
        <v>6973.75</v>
      </c>
      <c r="N325">
        <v>45045</v>
      </c>
      <c r="O325">
        <v>4</v>
      </c>
      <c r="P325" t="s">
        <v>75</v>
      </c>
      <c r="Q325">
        <v>2023</v>
      </c>
    </row>
    <row r="326" spans="1:17" x14ac:dyDescent="0.3">
      <c r="A326" t="s">
        <v>16</v>
      </c>
      <c r="B326" t="s">
        <v>17</v>
      </c>
      <c r="C326" t="s">
        <v>30</v>
      </c>
      <c r="D326" t="s">
        <v>86</v>
      </c>
      <c r="E326" t="s">
        <v>33</v>
      </c>
      <c r="F326">
        <v>324</v>
      </c>
      <c r="G326">
        <v>15</v>
      </c>
      <c r="H326">
        <v>36</v>
      </c>
      <c r="I326">
        <v>11664</v>
      </c>
      <c r="J326">
        <v>583.20000000000005</v>
      </c>
      <c r="K326">
        <v>11080.8</v>
      </c>
      <c r="L326">
        <v>4860</v>
      </c>
      <c r="M326">
        <v>6220.7999999999993</v>
      </c>
      <c r="N326">
        <v>45724</v>
      </c>
      <c r="O326">
        <v>3</v>
      </c>
      <c r="P326" t="s">
        <v>38</v>
      </c>
      <c r="Q326">
        <v>2025</v>
      </c>
    </row>
    <row r="327" spans="1:17" x14ac:dyDescent="0.3">
      <c r="A327" t="s">
        <v>16</v>
      </c>
      <c r="B327" t="s">
        <v>17</v>
      </c>
      <c r="C327" t="s">
        <v>31</v>
      </c>
      <c r="D327" t="s">
        <v>159</v>
      </c>
      <c r="E327" t="s">
        <v>33</v>
      </c>
      <c r="F327">
        <v>879</v>
      </c>
      <c r="G327">
        <v>19</v>
      </c>
      <c r="H327">
        <v>38</v>
      </c>
      <c r="I327">
        <v>33402</v>
      </c>
      <c r="J327">
        <v>1670.1000000000001</v>
      </c>
      <c r="K327">
        <v>31731.9</v>
      </c>
      <c r="L327">
        <v>16701</v>
      </c>
      <c r="M327">
        <v>15030.900000000001</v>
      </c>
      <c r="N327">
        <v>45290</v>
      </c>
      <c r="O327">
        <v>12</v>
      </c>
      <c r="P327" t="s">
        <v>77</v>
      </c>
      <c r="Q327">
        <v>2023</v>
      </c>
    </row>
    <row r="328" spans="1:17" x14ac:dyDescent="0.3">
      <c r="A328" t="s">
        <v>16</v>
      </c>
      <c r="B328" t="s">
        <v>36</v>
      </c>
      <c r="C328" t="s">
        <v>18</v>
      </c>
      <c r="D328" t="s">
        <v>97</v>
      </c>
      <c r="E328" t="s">
        <v>33</v>
      </c>
      <c r="F328">
        <v>404</v>
      </c>
      <c r="G328">
        <v>11</v>
      </c>
      <c r="H328">
        <v>19</v>
      </c>
      <c r="I328">
        <v>7676</v>
      </c>
      <c r="J328">
        <v>383.8</v>
      </c>
      <c r="K328">
        <v>7292.2</v>
      </c>
      <c r="L328">
        <v>4444</v>
      </c>
      <c r="M328">
        <v>2848.2</v>
      </c>
      <c r="N328">
        <v>45231</v>
      </c>
      <c r="O328">
        <v>11</v>
      </c>
      <c r="P328" t="s">
        <v>43</v>
      </c>
      <c r="Q328">
        <v>2023</v>
      </c>
    </row>
    <row r="329" spans="1:17" x14ac:dyDescent="0.3">
      <c r="A329" t="s">
        <v>27</v>
      </c>
      <c r="B329" t="s">
        <v>22</v>
      </c>
      <c r="C329" t="s">
        <v>18</v>
      </c>
      <c r="D329" t="s">
        <v>177</v>
      </c>
      <c r="E329" t="s">
        <v>33</v>
      </c>
      <c r="F329">
        <v>824</v>
      </c>
      <c r="G329">
        <v>18</v>
      </c>
      <c r="H329">
        <v>21</v>
      </c>
      <c r="I329">
        <v>17304</v>
      </c>
      <c r="J329">
        <v>865.2</v>
      </c>
      <c r="K329">
        <v>16438.8</v>
      </c>
      <c r="L329">
        <v>14832</v>
      </c>
      <c r="M329">
        <v>1606.7999999999993</v>
      </c>
      <c r="N329">
        <v>45215</v>
      </c>
      <c r="O329">
        <v>10</v>
      </c>
      <c r="P329" t="s">
        <v>55</v>
      </c>
      <c r="Q329">
        <v>2023</v>
      </c>
    </row>
    <row r="330" spans="1:17" x14ac:dyDescent="0.3">
      <c r="A330" t="s">
        <v>27</v>
      </c>
      <c r="B330" t="s">
        <v>22</v>
      </c>
      <c r="C330" t="s">
        <v>18</v>
      </c>
      <c r="D330" t="s">
        <v>177</v>
      </c>
      <c r="E330" t="s">
        <v>33</v>
      </c>
      <c r="F330">
        <v>801</v>
      </c>
      <c r="G330">
        <v>18</v>
      </c>
      <c r="H330">
        <v>21</v>
      </c>
      <c r="I330">
        <v>16821</v>
      </c>
      <c r="J330">
        <v>841.05000000000007</v>
      </c>
      <c r="K330">
        <v>15979.95</v>
      </c>
      <c r="L330">
        <v>14418</v>
      </c>
      <c r="M330">
        <v>1561.9500000000007</v>
      </c>
      <c r="N330">
        <v>45323</v>
      </c>
      <c r="O330">
        <v>2</v>
      </c>
      <c r="P330" t="s">
        <v>52</v>
      </c>
      <c r="Q330">
        <v>2024</v>
      </c>
    </row>
    <row r="331" spans="1:17" x14ac:dyDescent="0.3">
      <c r="A331" t="s">
        <v>16</v>
      </c>
      <c r="B331" t="s">
        <v>22</v>
      </c>
      <c r="C331" t="s">
        <v>24</v>
      </c>
      <c r="D331" t="s">
        <v>50</v>
      </c>
      <c r="E331" t="s">
        <v>33</v>
      </c>
      <c r="F331">
        <v>80</v>
      </c>
      <c r="G331">
        <v>12</v>
      </c>
      <c r="H331">
        <v>35</v>
      </c>
      <c r="I331">
        <v>2800</v>
      </c>
      <c r="J331">
        <v>140</v>
      </c>
      <c r="K331">
        <v>2660</v>
      </c>
      <c r="L331">
        <v>960</v>
      </c>
      <c r="M331">
        <v>1700</v>
      </c>
      <c r="N331">
        <v>45119</v>
      </c>
      <c r="O331">
        <v>7</v>
      </c>
      <c r="P331" t="s">
        <v>48</v>
      </c>
      <c r="Q331">
        <v>2023</v>
      </c>
    </row>
    <row r="332" spans="1:17" x14ac:dyDescent="0.3">
      <c r="A332" t="s">
        <v>27</v>
      </c>
      <c r="B332" t="s">
        <v>22</v>
      </c>
      <c r="C332" t="s">
        <v>24</v>
      </c>
      <c r="D332" t="s">
        <v>178</v>
      </c>
      <c r="E332" t="s">
        <v>33</v>
      </c>
      <c r="F332">
        <v>909</v>
      </c>
      <c r="G332">
        <v>15</v>
      </c>
      <c r="H332">
        <v>36</v>
      </c>
      <c r="I332">
        <v>32724</v>
      </c>
      <c r="J332">
        <v>1636.2</v>
      </c>
      <c r="K332">
        <v>31087.8</v>
      </c>
      <c r="L332">
        <v>13635</v>
      </c>
      <c r="M332">
        <v>17452.8</v>
      </c>
      <c r="N332">
        <v>45530</v>
      </c>
      <c r="O332">
        <v>8</v>
      </c>
      <c r="P332" t="s">
        <v>62</v>
      </c>
      <c r="Q332">
        <v>2024</v>
      </c>
    </row>
    <row r="333" spans="1:17" x14ac:dyDescent="0.3">
      <c r="A333" t="s">
        <v>26</v>
      </c>
      <c r="B333" t="s">
        <v>20</v>
      </c>
      <c r="C333" t="s">
        <v>24</v>
      </c>
      <c r="D333" t="s">
        <v>148</v>
      </c>
      <c r="E333" t="s">
        <v>33</v>
      </c>
      <c r="F333">
        <v>940</v>
      </c>
      <c r="G333">
        <v>17</v>
      </c>
      <c r="H333">
        <v>37</v>
      </c>
      <c r="I333">
        <v>34780</v>
      </c>
      <c r="J333">
        <v>1739</v>
      </c>
      <c r="K333">
        <v>33041</v>
      </c>
      <c r="L333">
        <v>15980</v>
      </c>
      <c r="M333">
        <v>17061</v>
      </c>
      <c r="N333">
        <v>45539</v>
      </c>
      <c r="O333">
        <v>9</v>
      </c>
      <c r="P333" t="s">
        <v>40</v>
      </c>
      <c r="Q333">
        <v>2024</v>
      </c>
    </row>
    <row r="334" spans="1:17" x14ac:dyDescent="0.3">
      <c r="A334" t="s">
        <v>27</v>
      </c>
      <c r="B334" t="s">
        <v>17</v>
      </c>
      <c r="C334" t="s">
        <v>28</v>
      </c>
      <c r="D334" t="s">
        <v>131</v>
      </c>
      <c r="E334" t="s">
        <v>33</v>
      </c>
      <c r="F334">
        <v>355</v>
      </c>
      <c r="G334">
        <v>10</v>
      </c>
      <c r="H334">
        <v>23</v>
      </c>
      <c r="I334">
        <v>8165</v>
      </c>
      <c r="J334">
        <v>408.25</v>
      </c>
      <c r="K334">
        <v>7756.75</v>
      </c>
      <c r="L334">
        <v>3550</v>
      </c>
      <c r="M334">
        <v>4206.75</v>
      </c>
      <c r="N334">
        <v>45303</v>
      </c>
      <c r="O334">
        <v>1</v>
      </c>
      <c r="P334" t="s">
        <v>58</v>
      </c>
      <c r="Q334">
        <v>2024</v>
      </c>
    </row>
    <row r="335" spans="1:17" x14ac:dyDescent="0.3">
      <c r="A335" t="s">
        <v>27</v>
      </c>
      <c r="B335" t="s">
        <v>22</v>
      </c>
      <c r="C335" t="s">
        <v>28</v>
      </c>
      <c r="D335" t="s">
        <v>127</v>
      </c>
      <c r="E335" t="s">
        <v>33</v>
      </c>
      <c r="F335">
        <v>271</v>
      </c>
      <c r="G335">
        <v>19</v>
      </c>
      <c r="H335">
        <v>28</v>
      </c>
      <c r="I335">
        <v>7588</v>
      </c>
      <c r="J335">
        <v>379.40000000000003</v>
      </c>
      <c r="K335">
        <v>7208.6</v>
      </c>
      <c r="L335">
        <v>5149</v>
      </c>
      <c r="M335">
        <v>2059.6000000000004</v>
      </c>
      <c r="N335">
        <v>45402</v>
      </c>
      <c r="O335">
        <v>4</v>
      </c>
      <c r="P335" t="s">
        <v>75</v>
      </c>
      <c r="Q335">
        <v>2024</v>
      </c>
    </row>
    <row r="336" spans="1:17" x14ac:dyDescent="0.3">
      <c r="A336" t="s">
        <v>26</v>
      </c>
      <c r="B336" t="s">
        <v>20</v>
      </c>
      <c r="C336" t="s">
        <v>28</v>
      </c>
      <c r="D336" t="s">
        <v>129</v>
      </c>
      <c r="E336" t="s">
        <v>33</v>
      </c>
      <c r="F336">
        <v>393</v>
      </c>
      <c r="G336">
        <v>12</v>
      </c>
      <c r="H336">
        <v>31</v>
      </c>
      <c r="I336">
        <v>12183</v>
      </c>
      <c r="J336">
        <v>609.15</v>
      </c>
      <c r="K336">
        <v>11573.85</v>
      </c>
      <c r="L336">
        <v>4716</v>
      </c>
      <c r="M336">
        <v>6857.85</v>
      </c>
      <c r="N336">
        <v>45457</v>
      </c>
      <c r="O336">
        <v>6</v>
      </c>
      <c r="P336" t="s">
        <v>45</v>
      </c>
      <c r="Q336">
        <v>2024</v>
      </c>
    </row>
    <row r="337" spans="1:17" x14ac:dyDescent="0.3">
      <c r="A337" t="s">
        <v>21</v>
      </c>
      <c r="B337" t="s">
        <v>22</v>
      </c>
      <c r="C337" t="s">
        <v>28</v>
      </c>
      <c r="D337" t="s">
        <v>67</v>
      </c>
      <c r="E337" t="s">
        <v>33</v>
      </c>
      <c r="F337">
        <v>138</v>
      </c>
      <c r="G337">
        <v>16</v>
      </c>
      <c r="H337">
        <v>27</v>
      </c>
      <c r="I337">
        <v>3726</v>
      </c>
      <c r="J337">
        <v>186.3</v>
      </c>
      <c r="K337">
        <v>3539.7</v>
      </c>
      <c r="L337">
        <v>2208</v>
      </c>
      <c r="M337">
        <v>1331.6999999999998</v>
      </c>
      <c r="N337">
        <v>45109</v>
      </c>
      <c r="O337">
        <v>7</v>
      </c>
      <c r="P337" t="s">
        <v>48</v>
      </c>
      <c r="Q337">
        <v>2023</v>
      </c>
    </row>
    <row r="338" spans="1:17" x14ac:dyDescent="0.3">
      <c r="A338" t="s">
        <v>21</v>
      </c>
      <c r="B338" t="s">
        <v>36</v>
      </c>
      <c r="C338" t="s">
        <v>28</v>
      </c>
      <c r="D338" t="s">
        <v>107</v>
      </c>
      <c r="E338" t="s">
        <v>33</v>
      </c>
      <c r="F338">
        <v>687</v>
      </c>
      <c r="G338">
        <v>13</v>
      </c>
      <c r="H338">
        <v>31</v>
      </c>
      <c r="I338">
        <v>21297</v>
      </c>
      <c r="J338">
        <v>1064.8500000000001</v>
      </c>
      <c r="K338">
        <v>20232.150000000001</v>
      </c>
      <c r="L338">
        <v>8931</v>
      </c>
      <c r="M338">
        <v>11301.150000000001</v>
      </c>
      <c r="N338">
        <v>45295</v>
      </c>
      <c r="O338">
        <v>1</v>
      </c>
      <c r="P338" t="s">
        <v>58</v>
      </c>
      <c r="Q338">
        <v>2024</v>
      </c>
    </row>
    <row r="339" spans="1:17" x14ac:dyDescent="0.3">
      <c r="A339" t="s">
        <v>16</v>
      </c>
      <c r="B339" t="s">
        <v>22</v>
      </c>
      <c r="C339" t="s">
        <v>28</v>
      </c>
      <c r="D339" t="s">
        <v>93</v>
      </c>
      <c r="E339" t="s">
        <v>33</v>
      </c>
      <c r="F339">
        <v>988</v>
      </c>
      <c r="G339">
        <v>12</v>
      </c>
      <c r="H339">
        <v>27</v>
      </c>
      <c r="I339">
        <v>26676</v>
      </c>
      <c r="J339">
        <v>1333.8000000000002</v>
      </c>
      <c r="K339">
        <v>25342.2</v>
      </c>
      <c r="L339">
        <v>11856</v>
      </c>
      <c r="M339">
        <v>13486.2</v>
      </c>
      <c r="N339">
        <v>45558</v>
      </c>
      <c r="O339">
        <v>9</v>
      </c>
      <c r="P339" t="s">
        <v>40</v>
      </c>
      <c r="Q339">
        <v>2024</v>
      </c>
    </row>
    <row r="340" spans="1:17" x14ac:dyDescent="0.3">
      <c r="A340" t="s">
        <v>27</v>
      </c>
      <c r="B340" t="s">
        <v>20</v>
      </c>
      <c r="C340" t="s">
        <v>28</v>
      </c>
      <c r="D340" t="s">
        <v>128</v>
      </c>
      <c r="E340" t="s">
        <v>33</v>
      </c>
      <c r="F340">
        <v>578</v>
      </c>
      <c r="G340">
        <v>14</v>
      </c>
      <c r="H340">
        <v>16</v>
      </c>
      <c r="I340">
        <v>9248</v>
      </c>
      <c r="J340">
        <v>462.40000000000003</v>
      </c>
      <c r="K340">
        <v>8785.6</v>
      </c>
      <c r="L340">
        <v>8092</v>
      </c>
      <c r="M340">
        <v>693.60000000000036</v>
      </c>
      <c r="N340">
        <v>45625</v>
      </c>
      <c r="O340">
        <v>11</v>
      </c>
      <c r="P340" t="s">
        <v>43</v>
      </c>
      <c r="Q340">
        <v>2024</v>
      </c>
    </row>
    <row r="341" spans="1:17" x14ac:dyDescent="0.3">
      <c r="A341" t="s">
        <v>27</v>
      </c>
      <c r="B341" t="s">
        <v>17</v>
      </c>
      <c r="C341" t="s">
        <v>28</v>
      </c>
      <c r="D341" t="s">
        <v>131</v>
      </c>
      <c r="E341" t="s">
        <v>33</v>
      </c>
      <c r="F341">
        <v>965</v>
      </c>
      <c r="G341">
        <v>10</v>
      </c>
      <c r="H341">
        <v>23</v>
      </c>
      <c r="I341">
        <v>22195</v>
      </c>
      <c r="J341">
        <v>1109.75</v>
      </c>
      <c r="K341">
        <v>21085.25</v>
      </c>
      <c r="L341">
        <v>9650</v>
      </c>
      <c r="M341">
        <v>11435.25</v>
      </c>
      <c r="N341">
        <v>45182</v>
      </c>
      <c r="O341">
        <v>9</v>
      </c>
      <c r="P341" t="s">
        <v>40</v>
      </c>
      <c r="Q341">
        <v>2023</v>
      </c>
    </row>
    <row r="342" spans="1:17" x14ac:dyDescent="0.3">
      <c r="A342" t="s">
        <v>25</v>
      </c>
      <c r="B342" t="s">
        <v>23</v>
      </c>
      <c r="C342" t="s">
        <v>28</v>
      </c>
      <c r="D342" t="s">
        <v>133</v>
      </c>
      <c r="E342" t="s">
        <v>33</v>
      </c>
      <c r="F342">
        <v>941</v>
      </c>
      <c r="G342">
        <v>11</v>
      </c>
      <c r="H342">
        <v>24</v>
      </c>
      <c r="I342">
        <v>22584</v>
      </c>
      <c r="J342">
        <v>1129.2</v>
      </c>
      <c r="K342">
        <v>21454.799999999999</v>
      </c>
      <c r="L342">
        <v>10351</v>
      </c>
      <c r="M342">
        <v>11103.8</v>
      </c>
      <c r="N342">
        <v>45699</v>
      </c>
      <c r="O342">
        <v>2</v>
      </c>
      <c r="P342" t="s">
        <v>52</v>
      </c>
      <c r="Q342">
        <v>2025</v>
      </c>
    </row>
    <row r="343" spans="1:17" x14ac:dyDescent="0.3">
      <c r="A343" t="s">
        <v>16</v>
      </c>
      <c r="B343" t="s">
        <v>20</v>
      </c>
      <c r="C343" t="s">
        <v>28</v>
      </c>
      <c r="D343" t="s">
        <v>64</v>
      </c>
      <c r="E343" t="s">
        <v>33</v>
      </c>
      <c r="F343">
        <v>247</v>
      </c>
      <c r="G343">
        <v>14</v>
      </c>
      <c r="H343">
        <v>22</v>
      </c>
      <c r="I343">
        <v>5434</v>
      </c>
      <c r="J343">
        <v>271.7</v>
      </c>
      <c r="K343">
        <v>5162.3</v>
      </c>
      <c r="L343">
        <v>3458</v>
      </c>
      <c r="M343">
        <v>1704.3000000000002</v>
      </c>
      <c r="N343">
        <v>45747</v>
      </c>
      <c r="O343">
        <v>3</v>
      </c>
      <c r="P343" t="s">
        <v>38</v>
      </c>
      <c r="Q343">
        <v>2025</v>
      </c>
    </row>
    <row r="344" spans="1:17" x14ac:dyDescent="0.3">
      <c r="A344" t="s">
        <v>27</v>
      </c>
      <c r="B344" t="s">
        <v>22</v>
      </c>
      <c r="C344" t="s">
        <v>29</v>
      </c>
      <c r="D344" t="s">
        <v>172</v>
      </c>
      <c r="E344" t="s">
        <v>33</v>
      </c>
      <c r="F344">
        <v>586</v>
      </c>
      <c r="G344">
        <v>10</v>
      </c>
      <c r="H344">
        <v>34</v>
      </c>
      <c r="I344">
        <v>19924</v>
      </c>
      <c r="J344">
        <v>996.2</v>
      </c>
      <c r="K344">
        <v>18927.8</v>
      </c>
      <c r="L344">
        <v>5860</v>
      </c>
      <c r="M344">
        <v>13067.8</v>
      </c>
      <c r="N344">
        <v>45180</v>
      </c>
      <c r="O344">
        <v>9</v>
      </c>
      <c r="P344" t="s">
        <v>40</v>
      </c>
      <c r="Q344">
        <v>2023</v>
      </c>
    </row>
    <row r="345" spans="1:17" x14ac:dyDescent="0.3">
      <c r="A345" t="s">
        <v>16</v>
      </c>
      <c r="B345" t="s">
        <v>23</v>
      </c>
      <c r="C345" t="s">
        <v>29</v>
      </c>
      <c r="D345" t="s">
        <v>72</v>
      </c>
      <c r="E345" t="s">
        <v>33</v>
      </c>
      <c r="F345">
        <v>771</v>
      </c>
      <c r="G345">
        <v>18</v>
      </c>
      <c r="H345">
        <v>33</v>
      </c>
      <c r="I345">
        <v>25443</v>
      </c>
      <c r="J345">
        <v>1272.1500000000001</v>
      </c>
      <c r="K345">
        <v>24170.85</v>
      </c>
      <c r="L345">
        <v>13878</v>
      </c>
      <c r="M345">
        <v>10292.849999999999</v>
      </c>
      <c r="N345">
        <v>45224</v>
      </c>
      <c r="O345">
        <v>10</v>
      </c>
      <c r="P345" t="s">
        <v>55</v>
      </c>
      <c r="Q345">
        <v>2023</v>
      </c>
    </row>
    <row r="346" spans="1:17" x14ac:dyDescent="0.3">
      <c r="A346" t="s">
        <v>26</v>
      </c>
      <c r="B346" t="s">
        <v>20</v>
      </c>
      <c r="C346" t="s">
        <v>29</v>
      </c>
      <c r="D346" t="s">
        <v>135</v>
      </c>
      <c r="E346" t="s">
        <v>33</v>
      </c>
      <c r="F346">
        <v>49</v>
      </c>
      <c r="G346">
        <v>20</v>
      </c>
      <c r="H346">
        <v>38</v>
      </c>
      <c r="I346">
        <v>1862</v>
      </c>
      <c r="J346">
        <v>93.100000000000009</v>
      </c>
      <c r="K346">
        <v>1768.9</v>
      </c>
      <c r="L346">
        <v>980</v>
      </c>
      <c r="M346">
        <v>788.90000000000009</v>
      </c>
      <c r="N346">
        <v>45146</v>
      </c>
      <c r="O346">
        <v>8</v>
      </c>
      <c r="P346" t="s">
        <v>62</v>
      </c>
      <c r="Q346">
        <v>2023</v>
      </c>
    </row>
    <row r="347" spans="1:17" x14ac:dyDescent="0.3">
      <c r="A347" t="s">
        <v>16</v>
      </c>
      <c r="B347" t="s">
        <v>22</v>
      </c>
      <c r="C347" t="s">
        <v>29</v>
      </c>
      <c r="D347" t="s">
        <v>94</v>
      </c>
      <c r="E347" t="s">
        <v>33</v>
      </c>
      <c r="F347">
        <v>698</v>
      </c>
      <c r="G347">
        <v>19</v>
      </c>
      <c r="H347">
        <v>22</v>
      </c>
      <c r="I347">
        <v>15356</v>
      </c>
      <c r="J347">
        <v>767.80000000000007</v>
      </c>
      <c r="K347">
        <v>14588.2</v>
      </c>
      <c r="L347">
        <v>13262</v>
      </c>
      <c r="M347">
        <v>1326.2000000000007</v>
      </c>
      <c r="N347">
        <v>45362</v>
      </c>
      <c r="O347">
        <v>3</v>
      </c>
      <c r="P347" t="s">
        <v>38</v>
      </c>
      <c r="Q347">
        <v>2024</v>
      </c>
    </row>
    <row r="348" spans="1:17" x14ac:dyDescent="0.3">
      <c r="A348" t="s">
        <v>16</v>
      </c>
      <c r="B348" t="s">
        <v>36</v>
      </c>
      <c r="C348" t="s">
        <v>29</v>
      </c>
      <c r="D348" t="s">
        <v>134</v>
      </c>
      <c r="E348" t="s">
        <v>33</v>
      </c>
      <c r="F348">
        <v>936</v>
      </c>
      <c r="G348">
        <v>13</v>
      </c>
      <c r="H348">
        <v>38</v>
      </c>
      <c r="I348">
        <v>35568</v>
      </c>
      <c r="J348">
        <v>1778.4</v>
      </c>
      <c r="K348">
        <v>33789.599999999999</v>
      </c>
      <c r="L348">
        <v>12168</v>
      </c>
      <c r="M348">
        <v>21621.599999999999</v>
      </c>
      <c r="N348">
        <v>45474</v>
      </c>
      <c r="O348">
        <v>7</v>
      </c>
      <c r="P348" t="s">
        <v>48</v>
      </c>
      <c r="Q348">
        <v>2024</v>
      </c>
    </row>
    <row r="349" spans="1:17" x14ac:dyDescent="0.3">
      <c r="A349" t="s">
        <v>27</v>
      </c>
      <c r="B349" t="s">
        <v>36</v>
      </c>
      <c r="C349" t="s">
        <v>29</v>
      </c>
      <c r="D349" t="s">
        <v>179</v>
      </c>
      <c r="E349" t="s">
        <v>33</v>
      </c>
      <c r="F349">
        <v>629</v>
      </c>
      <c r="G349">
        <v>20</v>
      </c>
      <c r="H349">
        <v>33</v>
      </c>
      <c r="I349">
        <v>20757</v>
      </c>
      <c r="J349">
        <v>1037.8500000000001</v>
      </c>
      <c r="K349">
        <v>19719.150000000001</v>
      </c>
      <c r="L349">
        <v>12580</v>
      </c>
      <c r="M349">
        <v>7139.1500000000015</v>
      </c>
      <c r="N349">
        <v>45568</v>
      </c>
      <c r="O349">
        <v>10</v>
      </c>
      <c r="P349" t="s">
        <v>55</v>
      </c>
      <c r="Q349">
        <v>2024</v>
      </c>
    </row>
    <row r="350" spans="1:17" x14ac:dyDescent="0.3">
      <c r="A350" t="s">
        <v>16</v>
      </c>
      <c r="B350" t="s">
        <v>20</v>
      </c>
      <c r="C350" t="s">
        <v>29</v>
      </c>
      <c r="D350" t="s">
        <v>76</v>
      </c>
      <c r="E350" t="s">
        <v>33</v>
      </c>
      <c r="F350">
        <v>110</v>
      </c>
      <c r="G350">
        <v>11</v>
      </c>
      <c r="H350">
        <v>30</v>
      </c>
      <c r="I350">
        <v>3300</v>
      </c>
      <c r="J350">
        <v>165</v>
      </c>
      <c r="K350">
        <v>3135</v>
      </c>
      <c r="L350">
        <v>1210</v>
      </c>
      <c r="M350">
        <v>1925</v>
      </c>
      <c r="N350">
        <v>45691</v>
      </c>
      <c r="O350">
        <v>2</v>
      </c>
      <c r="P350" t="s">
        <v>52</v>
      </c>
      <c r="Q350">
        <v>2025</v>
      </c>
    </row>
    <row r="351" spans="1:17" x14ac:dyDescent="0.3">
      <c r="A351" t="s">
        <v>25</v>
      </c>
      <c r="B351" t="s">
        <v>17</v>
      </c>
      <c r="C351" t="s">
        <v>30</v>
      </c>
      <c r="D351" t="s">
        <v>180</v>
      </c>
      <c r="E351" t="s">
        <v>33</v>
      </c>
      <c r="F351">
        <v>690</v>
      </c>
      <c r="G351">
        <v>19</v>
      </c>
      <c r="H351">
        <v>24</v>
      </c>
      <c r="I351">
        <v>16560</v>
      </c>
      <c r="J351">
        <v>828</v>
      </c>
      <c r="K351">
        <v>15732</v>
      </c>
      <c r="L351">
        <v>13110</v>
      </c>
      <c r="M351">
        <v>2622</v>
      </c>
      <c r="N351">
        <v>45268</v>
      </c>
      <c r="O351">
        <v>12</v>
      </c>
      <c r="P351" t="s">
        <v>77</v>
      </c>
      <c r="Q351">
        <v>2023</v>
      </c>
    </row>
    <row r="352" spans="1:17" x14ac:dyDescent="0.3">
      <c r="A352" t="s">
        <v>27</v>
      </c>
      <c r="B352" t="s">
        <v>22</v>
      </c>
      <c r="C352" t="s">
        <v>30</v>
      </c>
      <c r="D352" t="s">
        <v>85</v>
      </c>
      <c r="E352" t="s">
        <v>33</v>
      </c>
      <c r="F352">
        <v>826</v>
      </c>
      <c r="G352">
        <v>18</v>
      </c>
      <c r="H352">
        <v>30</v>
      </c>
      <c r="I352">
        <v>24780</v>
      </c>
      <c r="J352">
        <v>1239</v>
      </c>
      <c r="K352">
        <v>23541</v>
      </c>
      <c r="L352">
        <v>14868</v>
      </c>
      <c r="M352">
        <v>8673</v>
      </c>
      <c r="N352">
        <v>45457</v>
      </c>
      <c r="O352">
        <v>6</v>
      </c>
      <c r="P352" t="s">
        <v>45</v>
      </c>
      <c r="Q352">
        <v>2024</v>
      </c>
    </row>
    <row r="353" spans="1:17" x14ac:dyDescent="0.3">
      <c r="A353" t="s">
        <v>27</v>
      </c>
      <c r="B353" t="s">
        <v>23</v>
      </c>
      <c r="C353" t="s">
        <v>30</v>
      </c>
      <c r="D353" t="s">
        <v>118</v>
      </c>
      <c r="E353" t="s">
        <v>33</v>
      </c>
      <c r="F353">
        <v>948</v>
      </c>
      <c r="G353">
        <v>10</v>
      </c>
      <c r="H353">
        <v>19</v>
      </c>
      <c r="I353">
        <v>18012</v>
      </c>
      <c r="J353">
        <v>900.6</v>
      </c>
      <c r="K353">
        <v>17111.400000000001</v>
      </c>
      <c r="L353">
        <v>9480</v>
      </c>
      <c r="M353">
        <v>7631.4000000000015</v>
      </c>
      <c r="N353">
        <v>45144</v>
      </c>
      <c r="O353">
        <v>8</v>
      </c>
      <c r="P353" t="s">
        <v>62</v>
      </c>
      <c r="Q353">
        <v>2023</v>
      </c>
    </row>
    <row r="354" spans="1:17" x14ac:dyDescent="0.3">
      <c r="A354" t="s">
        <v>26</v>
      </c>
      <c r="B354" t="s">
        <v>17</v>
      </c>
      <c r="C354" t="s">
        <v>31</v>
      </c>
      <c r="D354" t="s">
        <v>181</v>
      </c>
      <c r="E354" t="s">
        <v>33</v>
      </c>
      <c r="F354">
        <v>214</v>
      </c>
      <c r="G354">
        <v>14</v>
      </c>
      <c r="H354">
        <v>20</v>
      </c>
      <c r="I354">
        <v>4280</v>
      </c>
      <c r="J354">
        <v>214</v>
      </c>
      <c r="K354">
        <v>4066</v>
      </c>
      <c r="L354">
        <v>2996</v>
      </c>
      <c r="M354">
        <v>1070</v>
      </c>
      <c r="N354">
        <v>45419</v>
      </c>
      <c r="O354">
        <v>5</v>
      </c>
      <c r="P354" t="s">
        <v>46</v>
      </c>
      <c r="Q354">
        <v>2024</v>
      </c>
    </row>
    <row r="355" spans="1:17" x14ac:dyDescent="0.3">
      <c r="A355" t="s">
        <v>16</v>
      </c>
      <c r="B355" t="s">
        <v>22</v>
      </c>
      <c r="C355" t="s">
        <v>31</v>
      </c>
      <c r="D355" t="s">
        <v>87</v>
      </c>
      <c r="E355" t="s">
        <v>33</v>
      </c>
      <c r="F355">
        <v>928</v>
      </c>
      <c r="G355">
        <v>19</v>
      </c>
      <c r="H355">
        <v>19</v>
      </c>
      <c r="I355">
        <v>17632</v>
      </c>
      <c r="J355">
        <v>881.6</v>
      </c>
      <c r="K355">
        <v>16750.400000000001</v>
      </c>
      <c r="L355">
        <v>17632</v>
      </c>
      <c r="M355">
        <v>-881.59999999999854</v>
      </c>
      <c r="N355">
        <v>45054</v>
      </c>
      <c r="O355">
        <v>5</v>
      </c>
      <c r="P355" t="s">
        <v>46</v>
      </c>
      <c r="Q355">
        <v>2023</v>
      </c>
    </row>
    <row r="356" spans="1:17" x14ac:dyDescent="0.3">
      <c r="A356" t="s">
        <v>26</v>
      </c>
      <c r="B356" t="s">
        <v>20</v>
      </c>
      <c r="C356" t="s">
        <v>31</v>
      </c>
      <c r="D356" t="s">
        <v>89</v>
      </c>
      <c r="E356" t="s">
        <v>33</v>
      </c>
      <c r="F356">
        <v>25</v>
      </c>
      <c r="G356">
        <v>10</v>
      </c>
      <c r="H356">
        <v>19</v>
      </c>
      <c r="I356">
        <v>475</v>
      </c>
      <c r="J356">
        <v>4.75</v>
      </c>
      <c r="K356">
        <v>470.25</v>
      </c>
      <c r="L356">
        <v>250</v>
      </c>
      <c r="M356">
        <v>220.25</v>
      </c>
      <c r="N356">
        <v>45520</v>
      </c>
      <c r="O356">
        <v>8</v>
      </c>
      <c r="P356" t="s">
        <v>62</v>
      </c>
      <c r="Q356">
        <v>2024</v>
      </c>
    </row>
    <row r="357" spans="1:17" x14ac:dyDescent="0.3">
      <c r="A357" t="s">
        <v>16</v>
      </c>
      <c r="B357" t="s">
        <v>17</v>
      </c>
      <c r="C357" t="s">
        <v>31</v>
      </c>
      <c r="D357" t="s">
        <v>159</v>
      </c>
      <c r="E357" t="s">
        <v>33</v>
      </c>
      <c r="F357">
        <v>829</v>
      </c>
      <c r="G357">
        <v>19</v>
      </c>
      <c r="H357">
        <v>38</v>
      </c>
      <c r="I357">
        <v>31502</v>
      </c>
      <c r="J357">
        <v>1575.1000000000001</v>
      </c>
      <c r="K357">
        <v>29926.9</v>
      </c>
      <c r="L357">
        <v>15751</v>
      </c>
      <c r="M357">
        <v>14175.900000000001</v>
      </c>
      <c r="N357">
        <v>45588</v>
      </c>
      <c r="O357">
        <v>10</v>
      </c>
      <c r="P357" t="s">
        <v>55</v>
      </c>
      <c r="Q357">
        <v>2024</v>
      </c>
    </row>
    <row r="358" spans="1:17" x14ac:dyDescent="0.3">
      <c r="A358" t="s">
        <v>27</v>
      </c>
      <c r="B358" t="s">
        <v>36</v>
      </c>
      <c r="C358" t="s">
        <v>31</v>
      </c>
      <c r="D358" t="s">
        <v>182</v>
      </c>
      <c r="E358" t="s">
        <v>33</v>
      </c>
      <c r="F358">
        <v>634</v>
      </c>
      <c r="G358">
        <v>11</v>
      </c>
      <c r="H358">
        <v>29</v>
      </c>
      <c r="I358">
        <v>18386</v>
      </c>
      <c r="J358">
        <v>919.30000000000007</v>
      </c>
      <c r="K358">
        <v>17466.7</v>
      </c>
      <c r="L358">
        <v>6974</v>
      </c>
      <c r="M358">
        <v>10492.7</v>
      </c>
      <c r="N358">
        <v>45283</v>
      </c>
      <c r="O358">
        <v>12</v>
      </c>
      <c r="P358" t="s">
        <v>77</v>
      </c>
      <c r="Q358">
        <v>2023</v>
      </c>
    </row>
    <row r="359" spans="1:17" x14ac:dyDescent="0.3">
      <c r="A359" t="s">
        <v>16</v>
      </c>
      <c r="B359" t="s">
        <v>17</v>
      </c>
      <c r="C359" t="s">
        <v>24</v>
      </c>
      <c r="D359" t="s">
        <v>105</v>
      </c>
      <c r="E359" t="s">
        <v>33</v>
      </c>
      <c r="F359">
        <v>622</v>
      </c>
      <c r="G359">
        <v>12</v>
      </c>
      <c r="H359">
        <v>26</v>
      </c>
      <c r="I359">
        <v>16172</v>
      </c>
      <c r="J359">
        <v>808.6</v>
      </c>
      <c r="K359">
        <v>15363.4</v>
      </c>
      <c r="L359">
        <v>7464</v>
      </c>
      <c r="M359">
        <v>7899.4</v>
      </c>
      <c r="N359">
        <v>45050</v>
      </c>
      <c r="O359">
        <v>5</v>
      </c>
      <c r="P359" t="s">
        <v>46</v>
      </c>
      <c r="Q359">
        <v>2023</v>
      </c>
    </row>
    <row r="360" spans="1:17" x14ac:dyDescent="0.3">
      <c r="A360" t="s">
        <v>16</v>
      </c>
      <c r="B360" t="s">
        <v>36</v>
      </c>
      <c r="C360" t="s">
        <v>24</v>
      </c>
      <c r="D360" t="s">
        <v>124</v>
      </c>
      <c r="E360" t="s">
        <v>33</v>
      </c>
      <c r="F360">
        <v>233</v>
      </c>
      <c r="G360">
        <v>15</v>
      </c>
      <c r="H360">
        <v>34</v>
      </c>
      <c r="I360">
        <v>7922</v>
      </c>
      <c r="J360">
        <v>396.1</v>
      </c>
      <c r="K360">
        <v>7525.9</v>
      </c>
      <c r="L360">
        <v>3495</v>
      </c>
      <c r="M360">
        <v>4030.8999999999996</v>
      </c>
      <c r="N360">
        <v>45414</v>
      </c>
      <c r="O360">
        <v>5</v>
      </c>
      <c r="P360" t="s">
        <v>46</v>
      </c>
      <c r="Q360">
        <v>2024</v>
      </c>
    </row>
    <row r="361" spans="1:17" x14ac:dyDescent="0.3">
      <c r="A361" t="s">
        <v>16</v>
      </c>
      <c r="B361" t="s">
        <v>17</v>
      </c>
      <c r="C361" t="s">
        <v>28</v>
      </c>
      <c r="D361" t="s">
        <v>60</v>
      </c>
      <c r="E361" t="s">
        <v>33</v>
      </c>
      <c r="F361">
        <v>801</v>
      </c>
      <c r="G361">
        <v>17</v>
      </c>
      <c r="H361">
        <v>38</v>
      </c>
      <c r="I361">
        <v>30438</v>
      </c>
      <c r="J361">
        <v>1521.9</v>
      </c>
      <c r="K361">
        <v>28916.1</v>
      </c>
      <c r="L361">
        <v>13617</v>
      </c>
      <c r="M361">
        <v>15299.099999999999</v>
      </c>
      <c r="N361">
        <v>45503</v>
      </c>
      <c r="O361">
        <v>7</v>
      </c>
      <c r="P361" t="s">
        <v>48</v>
      </c>
      <c r="Q361">
        <v>2024</v>
      </c>
    </row>
    <row r="362" spans="1:17" x14ac:dyDescent="0.3">
      <c r="A362" t="s">
        <v>16</v>
      </c>
      <c r="B362" t="s">
        <v>36</v>
      </c>
      <c r="C362" t="s">
        <v>31</v>
      </c>
      <c r="D362" t="s">
        <v>91</v>
      </c>
      <c r="E362" t="s">
        <v>33</v>
      </c>
      <c r="F362">
        <v>683</v>
      </c>
      <c r="G362">
        <v>10</v>
      </c>
      <c r="H362">
        <v>19</v>
      </c>
      <c r="I362">
        <v>12977</v>
      </c>
      <c r="J362">
        <v>648.85</v>
      </c>
      <c r="K362">
        <v>12328.15</v>
      </c>
      <c r="L362">
        <v>6830</v>
      </c>
      <c r="M362">
        <v>5498.15</v>
      </c>
      <c r="N362">
        <v>45080</v>
      </c>
      <c r="O362">
        <v>6</v>
      </c>
      <c r="P362" t="s">
        <v>45</v>
      </c>
      <c r="Q362">
        <v>2023</v>
      </c>
    </row>
    <row r="363" spans="1:17" x14ac:dyDescent="0.3">
      <c r="A363" t="s">
        <v>26</v>
      </c>
      <c r="B363" t="s">
        <v>23</v>
      </c>
      <c r="C363" t="s">
        <v>18</v>
      </c>
      <c r="D363" t="s">
        <v>183</v>
      </c>
      <c r="E363" t="s">
        <v>33</v>
      </c>
      <c r="F363">
        <v>70</v>
      </c>
      <c r="G363">
        <v>12</v>
      </c>
      <c r="H363">
        <v>26</v>
      </c>
      <c r="I363">
        <v>1820</v>
      </c>
      <c r="J363">
        <v>91</v>
      </c>
      <c r="K363">
        <v>1729</v>
      </c>
      <c r="L363">
        <v>840</v>
      </c>
      <c r="M363">
        <v>889</v>
      </c>
      <c r="N363">
        <v>45507</v>
      </c>
      <c r="O363">
        <v>8</v>
      </c>
      <c r="P363" t="s">
        <v>62</v>
      </c>
      <c r="Q363">
        <v>2024</v>
      </c>
    </row>
    <row r="364" spans="1:17" x14ac:dyDescent="0.3">
      <c r="A364" t="s">
        <v>21</v>
      </c>
      <c r="B364" t="s">
        <v>22</v>
      </c>
      <c r="C364" t="s">
        <v>18</v>
      </c>
      <c r="D364" t="s">
        <v>41</v>
      </c>
      <c r="E364" t="s">
        <v>33</v>
      </c>
      <c r="F364">
        <v>793</v>
      </c>
      <c r="G364">
        <v>16</v>
      </c>
      <c r="H364">
        <v>22</v>
      </c>
      <c r="I364">
        <v>17446</v>
      </c>
      <c r="J364">
        <v>872.30000000000007</v>
      </c>
      <c r="K364">
        <v>16573.7</v>
      </c>
      <c r="L364">
        <v>12688</v>
      </c>
      <c r="M364">
        <v>3885.7000000000007</v>
      </c>
      <c r="N364">
        <v>45249</v>
      </c>
      <c r="O364">
        <v>11</v>
      </c>
      <c r="P364" t="s">
        <v>43</v>
      </c>
      <c r="Q364">
        <v>2023</v>
      </c>
    </row>
    <row r="365" spans="1:17" x14ac:dyDescent="0.3">
      <c r="A365" t="s">
        <v>16</v>
      </c>
      <c r="B365" t="s">
        <v>23</v>
      </c>
      <c r="C365" t="s">
        <v>18</v>
      </c>
      <c r="D365" t="s">
        <v>96</v>
      </c>
      <c r="E365" t="s">
        <v>33</v>
      </c>
      <c r="F365">
        <v>792</v>
      </c>
      <c r="G365">
        <v>14</v>
      </c>
      <c r="H365">
        <v>35</v>
      </c>
      <c r="I365">
        <v>27720</v>
      </c>
      <c r="J365">
        <v>1386</v>
      </c>
      <c r="K365">
        <v>26334</v>
      </c>
      <c r="L365">
        <v>11088</v>
      </c>
      <c r="M365">
        <v>15246</v>
      </c>
      <c r="N365">
        <v>45677</v>
      </c>
      <c r="O365">
        <v>1</v>
      </c>
      <c r="P365" t="s">
        <v>58</v>
      </c>
      <c r="Q365">
        <v>2025</v>
      </c>
    </row>
    <row r="366" spans="1:17" x14ac:dyDescent="0.3">
      <c r="A366" t="s">
        <v>21</v>
      </c>
      <c r="B366" t="s">
        <v>22</v>
      </c>
      <c r="C366" t="s">
        <v>24</v>
      </c>
      <c r="D366" t="s">
        <v>184</v>
      </c>
      <c r="E366" t="s">
        <v>33</v>
      </c>
      <c r="F366">
        <v>859</v>
      </c>
      <c r="G366">
        <v>15</v>
      </c>
      <c r="H366">
        <v>17</v>
      </c>
      <c r="I366">
        <v>14603</v>
      </c>
      <c r="J366">
        <v>730.15000000000009</v>
      </c>
      <c r="K366">
        <v>13872.85</v>
      </c>
      <c r="L366">
        <v>12885</v>
      </c>
      <c r="M366">
        <v>987.85000000000036</v>
      </c>
      <c r="N366">
        <v>45615</v>
      </c>
      <c r="O366">
        <v>11</v>
      </c>
      <c r="P366" t="s">
        <v>43</v>
      </c>
      <c r="Q366">
        <v>2024</v>
      </c>
    </row>
    <row r="367" spans="1:17" x14ac:dyDescent="0.3">
      <c r="A367" t="s">
        <v>16</v>
      </c>
      <c r="B367" t="s">
        <v>17</v>
      </c>
      <c r="C367" t="s">
        <v>24</v>
      </c>
      <c r="D367" t="s">
        <v>105</v>
      </c>
      <c r="E367" t="s">
        <v>33</v>
      </c>
      <c r="F367">
        <v>852</v>
      </c>
      <c r="G367">
        <v>12</v>
      </c>
      <c r="H367">
        <v>26</v>
      </c>
      <c r="I367">
        <v>22152</v>
      </c>
      <c r="J367">
        <v>1107.6000000000001</v>
      </c>
      <c r="K367">
        <v>21044.400000000001</v>
      </c>
      <c r="L367">
        <v>10224</v>
      </c>
      <c r="M367">
        <v>10820.400000000001</v>
      </c>
      <c r="N367">
        <v>45511</v>
      </c>
      <c r="O367">
        <v>8</v>
      </c>
      <c r="P367" t="s">
        <v>62</v>
      </c>
      <c r="Q367">
        <v>2024</v>
      </c>
    </row>
    <row r="368" spans="1:17" x14ac:dyDescent="0.3">
      <c r="A368" t="s">
        <v>16</v>
      </c>
      <c r="B368" t="s">
        <v>20</v>
      </c>
      <c r="C368" t="s">
        <v>24</v>
      </c>
      <c r="D368" t="s">
        <v>57</v>
      </c>
      <c r="E368" t="s">
        <v>33</v>
      </c>
      <c r="F368">
        <v>125</v>
      </c>
      <c r="G368">
        <v>16</v>
      </c>
      <c r="H368">
        <v>31</v>
      </c>
      <c r="I368">
        <v>3875</v>
      </c>
      <c r="J368">
        <v>193.75</v>
      </c>
      <c r="K368">
        <v>3681.25</v>
      </c>
      <c r="L368">
        <v>2000</v>
      </c>
      <c r="M368">
        <v>1681.25</v>
      </c>
      <c r="N368">
        <v>45033</v>
      </c>
      <c r="O368">
        <v>4</v>
      </c>
      <c r="P368" t="s">
        <v>75</v>
      </c>
      <c r="Q368">
        <v>2023</v>
      </c>
    </row>
    <row r="369" spans="1:17" x14ac:dyDescent="0.3">
      <c r="A369" t="s">
        <v>27</v>
      </c>
      <c r="B369" t="s">
        <v>22</v>
      </c>
      <c r="C369" t="s">
        <v>24</v>
      </c>
      <c r="D369" t="s">
        <v>178</v>
      </c>
      <c r="E369" t="s">
        <v>33</v>
      </c>
      <c r="F369">
        <v>368</v>
      </c>
      <c r="G369">
        <v>15</v>
      </c>
      <c r="H369">
        <v>36</v>
      </c>
      <c r="I369">
        <v>13248</v>
      </c>
      <c r="J369">
        <v>662.40000000000009</v>
      </c>
      <c r="K369">
        <v>12585.6</v>
      </c>
      <c r="L369">
        <v>5520</v>
      </c>
      <c r="M369">
        <v>7065.6</v>
      </c>
      <c r="N369">
        <v>45709</v>
      </c>
      <c r="O369">
        <v>2</v>
      </c>
      <c r="P369" t="s">
        <v>52</v>
      </c>
      <c r="Q369">
        <v>2025</v>
      </c>
    </row>
    <row r="370" spans="1:17" x14ac:dyDescent="0.3">
      <c r="A370" t="s">
        <v>27</v>
      </c>
      <c r="B370" t="s">
        <v>17</v>
      </c>
      <c r="C370" t="s">
        <v>24</v>
      </c>
      <c r="D370" t="s">
        <v>185</v>
      </c>
      <c r="E370" t="s">
        <v>33</v>
      </c>
      <c r="F370">
        <v>681</v>
      </c>
      <c r="G370">
        <v>10</v>
      </c>
      <c r="H370">
        <v>37</v>
      </c>
      <c r="I370">
        <v>25197</v>
      </c>
      <c r="J370">
        <v>1259.8500000000001</v>
      </c>
      <c r="K370">
        <v>23937.15</v>
      </c>
      <c r="L370">
        <v>6810</v>
      </c>
      <c r="M370">
        <v>17127.150000000001</v>
      </c>
      <c r="N370">
        <v>45617</v>
      </c>
      <c r="O370">
        <v>11</v>
      </c>
      <c r="P370" t="s">
        <v>43</v>
      </c>
      <c r="Q370">
        <v>2024</v>
      </c>
    </row>
    <row r="371" spans="1:17" x14ac:dyDescent="0.3">
      <c r="A371" t="s">
        <v>21</v>
      </c>
      <c r="B371" t="s">
        <v>20</v>
      </c>
      <c r="C371" t="s">
        <v>24</v>
      </c>
      <c r="D371" t="s">
        <v>47</v>
      </c>
      <c r="E371" t="s">
        <v>33</v>
      </c>
      <c r="F371">
        <v>428</v>
      </c>
      <c r="G371">
        <v>17</v>
      </c>
      <c r="H371">
        <v>16</v>
      </c>
      <c r="I371">
        <v>6848</v>
      </c>
      <c r="J371">
        <v>342.40000000000003</v>
      </c>
      <c r="K371">
        <v>6505.6</v>
      </c>
      <c r="L371">
        <v>7276</v>
      </c>
      <c r="M371">
        <v>-770.39999999999964</v>
      </c>
      <c r="N371">
        <v>45646</v>
      </c>
      <c r="O371">
        <v>12</v>
      </c>
      <c r="P371" t="s">
        <v>77</v>
      </c>
      <c r="Q371">
        <v>2024</v>
      </c>
    </row>
    <row r="372" spans="1:17" x14ac:dyDescent="0.3">
      <c r="A372" t="s">
        <v>26</v>
      </c>
      <c r="B372" t="s">
        <v>23</v>
      </c>
      <c r="C372" t="s">
        <v>28</v>
      </c>
      <c r="D372" t="s">
        <v>110</v>
      </c>
      <c r="E372" t="s">
        <v>33</v>
      </c>
      <c r="F372">
        <v>497</v>
      </c>
      <c r="G372">
        <v>20</v>
      </c>
      <c r="H372">
        <v>25</v>
      </c>
      <c r="I372">
        <v>12425</v>
      </c>
      <c r="J372">
        <v>621.25</v>
      </c>
      <c r="K372">
        <v>11803.75</v>
      </c>
      <c r="L372">
        <v>9940</v>
      </c>
      <c r="M372">
        <v>1863.75</v>
      </c>
      <c r="N372">
        <v>45291</v>
      </c>
      <c r="O372">
        <v>12</v>
      </c>
      <c r="P372" t="s">
        <v>77</v>
      </c>
      <c r="Q372">
        <v>2023</v>
      </c>
    </row>
    <row r="373" spans="1:17" x14ac:dyDescent="0.3">
      <c r="A373" t="s">
        <v>16</v>
      </c>
      <c r="B373" t="s">
        <v>20</v>
      </c>
      <c r="C373" t="s">
        <v>28</v>
      </c>
      <c r="D373" t="s">
        <v>64</v>
      </c>
      <c r="E373" t="s">
        <v>33</v>
      </c>
      <c r="F373">
        <v>303</v>
      </c>
      <c r="G373">
        <v>14</v>
      </c>
      <c r="H373">
        <v>22</v>
      </c>
      <c r="I373">
        <v>6666</v>
      </c>
      <c r="J373">
        <v>333.3</v>
      </c>
      <c r="K373">
        <v>6332.7</v>
      </c>
      <c r="L373">
        <v>4242</v>
      </c>
      <c r="M373">
        <v>2090.6999999999998</v>
      </c>
      <c r="N373">
        <v>45539</v>
      </c>
      <c r="O373">
        <v>9</v>
      </c>
      <c r="P373" t="s">
        <v>40</v>
      </c>
      <c r="Q373">
        <v>2024</v>
      </c>
    </row>
    <row r="374" spans="1:17" x14ac:dyDescent="0.3">
      <c r="A374" t="s">
        <v>16</v>
      </c>
      <c r="B374" t="s">
        <v>20</v>
      </c>
      <c r="C374" t="s">
        <v>28</v>
      </c>
      <c r="D374" t="s">
        <v>64</v>
      </c>
      <c r="E374" t="s">
        <v>33</v>
      </c>
      <c r="F374">
        <v>717</v>
      </c>
      <c r="G374">
        <v>14</v>
      </c>
      <c r="H374">
        <v>22</v>
      </c>
      <c r="I374">
        <v>15774</v>
      </c>
      <c r="J374">
        <v>788.7</v>
      </c>
      <c r="K374">
        <v>14985.3</v>
      </c>
      <c r="L374">
        <v>10038</v>
      </c>
      <c r="M374">
        <v>4947.2999999999993</v>
      </c>
      <c r="N374">
        <v>45348</v>
      </c>
      <c r="O374">
        <v>2</v>
      </c>
      <c r="P374" t="s">
        <v>52</v>
      </c>
      <c r="Q374">
        <v>2024</v>
      </c>
    </row>
    <row r="375" spans="1:17" x14ac:dyDescent="0.3">
      <c r="A375" t="s">
        <v>16</v>
      </c>
      <c r="B375" t="s">
        <v>20</v>
      </c>
      <c r="C375" t="s">
        <v>28</v>
      </c>
      <c r="D375" t="s">
        <v>64</v>
      </c>
      <c r="E375" t="s">
        <v>33</v>
      </c>
      <c r="F375">
        <v>651</v>
      </c>
      <c r="G375">
        <v>14</v>
      </c>
      <c r="H375">
        <v>22</v>
      </c>
      <c r="I375">
        <v>14322</v>
      </c>
      <c r="J375">
        <v>716.1</v>
      </c>
      <c r="K375">
        <v>13605.9</v>
      </c>
      <c r="L375">
        <v>9114</v>
      </c>
      <c r="M375">
        <v>4491.8999999999996</v>
      </c>
      <c r="N375">
        <v>45527</v>
      </c>
      <c r="O375">
        <v>8</v>
      </c>
      <c r="P375" t="s">
        <v>62</v>
      </c>
      <c r="Q375">
        <v>2024</v>
      </c>
    </row>
    <row r="376" spans="1:17" x14ac:dyDescent="0.3">
      <c r="A376" t="s">
        <v>27</v>
      </c>
      <c r="B376" t="s">
        <v>23</v>
      </c>
      <c r="C376" t="s">
        <v>28</v>
      </c>
      <c r="D376" t="s">
        <v>68</v>
      </c>
      <c r="E376" t="s">
        <v>33</v>
      </c>
      <c r="F376">
        <v>220</v>
      </c>
      <c r="G376">
        <v>11</v>
      </c>
      <c r="H376">
        <v>33</v>
      </c>
      <c r="I376">
        <v>7260</v>
      </c>
      <c r="J376">
        <v>363</v>
      </c>
      <c r="K376">
        <v>6897</v>
      </c>
      <c r="L376">
        <v>2420</v>
      </c>
      <c r="M376">
        <v>4477</v>
      </c>
      <c r="N376">
        <v>45434</v>
      </c>
      <c r="O376">
        <v>5</v>
      </c>
      <c r="P376" t="s">
        <v>46</v>
      </c>
      <c r="Q376">
        <v>2024</v>
      </c>
    </row>
    <row r="377" spans="1:17" x14ac:dyDescent="0.3">
      <c r="A377" t="s">
        <v>16</v>
      </c>
      <c r="B377" t="s">
        <v>36</v>
      </c>
      <c r="C377" t="s">
        <v>28</v>
      </c>
      <c r="D377" t="s">
        <v>69</v>
      </c>
      <c r="E377" t="s">
        <v>33</v>
      </c>
      <c r="F377">
        <v>272</v>
      </c>
      <c r="G377">
        <v>20</v>
      </c>
      <c r="H377">
        <v>25</v>
      </c>
      <c r="I377">
        <v>6800</v>
      </c>
      <c r="J377">
        <v>340</v>
      </c>
      <c r="K377">
        <v>6460</v>
      </c>
      <c r="L377">
        <v>5440</v>
      </c>
      <c r="M377">
        <v>1020</v>
      </c>
      <c r="N377">
        <v>45424</v>
      </c>
      <c r="O377">
        <v>5</v>
      </c>
      <c r="P377" t="s">
        <v>46</v>
      </c>
      <c r="Q377">
        <v>2024</v>
      </c>
    </row>
    <row r="378" spans="1:17" x14ac:dyDescent="0.3">
      <c r="A378" t="s">
        <v>16</v>
      </c>
      <c r="B378" t="s">
        <v>20</v>
      </c>
      <c r="C378" t="s">
        <v>28</v>
      </c>
      <c r="D378" t="s">
        <v>64</v>
      </c>
      <c r="E378" t="s">
        <v>33</v>
      </c>
      <c r="F378">
        <v>47</v>
      </c>
      <c r="G378">
        <v>14</v>
      </c>
      <c r="H378">
        <v>22</v>
      </c>
      <c r="I378">
        <v>1034</v>
      </c>
      <c r="J378">
        <v>51.7</v>
      </c>
      <c r="K378">
        <v>982.3</v>
      </c>
      <c r="L378">
        <v>658</v>
      </c>
      <c r="M378">
        <v>324.29999999999995</v>
      </c>
      <c r="N378">
        <v>45690</v>
      </c>
      <c r="O378">
        <v>2</v>
      </c>
      <c r="P378" t="s">
        <v>52</v>
      </c>
      <c r="Q378">
        <v>2025</v>
      </c>
    </row>
    <row r="379" spans="1:17" x14ac:dyDescent="0.3">
      <c r="A379" t="s">
        <v>16</v>
      </c>
      <c r="B379" t="s">
        <v>20</v>
      </c>
      <c r="C379" t="s">
        <v>28</v>
      </c>
      <c r="D379" t="s">
        <v>64</v>
      </c>
      <c r="E379" t="s">
        <v>33</v>
      </c>
      <c r="F379">
        <v>80</v>
      </c>
      <c r="G379">
        <v>14</v>
      </c>
      <c r="H379">
        <v>22</v>
      </c>
      <c r="I379">
        <v>1760</v>
      </c>
      <c r="J379">
        <v>88</v>
      </c>
      <c r="K379">
        <v>1672</v>
      </c>
      <c r="L379">
        <v>1120</v>
      </c>
      <c r="M379">
        <v>552</v>
      </c>
      <c r="N379">
        <v>45286</v>
      </c>
      <c r="O379">
        <v>12</v>
      </c>
      <c r="P379" t="s">
        <v>77</v>
      </c>
      <c r="Q379">
        <v>2023</v>
      </c>
    </row>
    <row r="380" spans="1:17" x14ac:dyDescent="0.3">
      <c r="A380" t="s">
        <v>16</v>
      </c>
      <c r="B380" t="s">
        <v>20</v>
      </c>
      <c r="C380" t="s">
        <v>28</v>
      </c>
      <c r="D380" t="s">
        <v>64</v>
      </c>
      <c r="E380" t="s">
        <v>33</v>
      </c>
      <c r="F380">
        <v>537</v>
      </c>
      <c r="G380">
        <v>14</v>
      </c>
      <c r="H380">
        <v>22</v>
      </c>
      <c r="I380">
        <v>11814</v>
      </c>
      <c r="J380">
        <v>590.70000000000005</v>
      </c>
      <c r="K380">
        <v>11223.3</v>
      </c>
      <c r="L380">
        <v>7518</v>
      </c>
      <c r="M380">
        <v>3705.2999999999993</v>
      </c>
      <c r="N380">
        <v>45237</v>
      </c>
      <c r="O380">
        <v>11</v>
      </c>
      <c r="P380" t="s">
        <v>43</v>
      </c>
      <c r="Q380">
        <v>2023</v>
      </c>
    </row>
    <row r="381" spans="1:17" x14ac:dyDescent="0.3">
      <c r="A381" t="s">
        <v>16</v>
      </c>
      <c r="B381" t="s">
        <v>23</v>
      </c>
      <c r="C381" t="s">
        <v>28</v>
      </c>
      <c r="D381" t="s">
        <v>66</v>
      </c>
      <c r="E381" t="s">
        <v>33</v>
      </c>
      <c r="F381">
        <v>663</v>
      </c>
      <c r="G381">
        <v>11</v>
      </c>
      <c r="H381">
        <v>21</v>
      </c>
      <c r="I381">
        <v>13923</v>
      </c>
      <c r="J381">
        <v>696.15000000000009</v>
      </c>
      <c r="K381">
        <v>13226.85</v>
      </c>
      <c r="L381">
        <v>7293</v>
      </c>
      <c r="M381">
        <v>5933.85</v>
      </c>
      <c r="N381">
        <v>45289</v>
      </c>
      <c r="O381">
        <v>12</v>
      </c>
      <c r="P381" t="s">
        <v>77</v>
      </c>
      <c r="Q381">
        <v>2023</v>
      </c>
    </row>
    <row r="382" spans="1:17" x14ac:dyDescent="0.3">
      <c r="A382" t="s">
        <v>16</v>
      </c>
      <c r="B382" t="s">
        <v>20</v>
      </c>
      <c r="C382" t="s">
        <v>28</v>
      </c>
      <c r="D382" t="s">
        <v>64</v>
      </c>
      <c r="E382" t="s">
        <v>33</v>
      </c>
      <c r="F382">
        <v>834</v>
      </c>
      <c r="G382">
        <v>14</v>
      </c>
      <c r="H382">
        <v>22</v>
      </c>
      <c r="I382">
        <v>18348</v>
      </c>
      <c r="J382">
        <v>917.40000000000009</v>
      </c>
      <c r="K382">
        <v>17430.599999999999</v>
      </c>
      <c r="L382">
        <v>11676</v>
      </c>
      <c r="M382">
        <v>5754.5999999999985</v>
      </c>
      <c r="N382">
        <v>45185</v>
      </c>
      <c r="O382">
        <v>9</v>
      </c>
      <c r="P382" t="s">
        <v>40</v>
      </c>
      <c r="Q382">
        <v>2023</v>
      </c>
    </row>
    <row r="383" spans="1:17" x14ac:dyDescent="0.3">
      <c r="A383" t="s">
        <v>16</v>
      </c>
      <c r="B383" t="s">
        <v>23</v>
      </c>
      <c r="C383" t="s">
        <v>28</v>
      </c>
      <c r="D383" t="s">
        <v>66</v>
      </c>
      <c r="E383" t="s">
        <v>33</v>
      </c>
      <c r="F383">
        <v>528</v>
      </c>
      <c r="G383">
        <v>11</v>
      </c>
      <c r="H383">
        <v>21</v>
      </c>
      <c r="I383">
        <v>11088</v>
      </c>
      <c r="J383">
        <v>554.4</v>
      </c>
      <c r="K383">
        <v>10533.6</v>
      </c>
      <c r="L383">
        <v>5808</v>
      </c>
      <c r="M383">
        <v>4725.6000000000004</v>
      </c>
      <c r="N383">
        <v>45285</v>
      </c>
      <c r="O383">
        <v>12</v>
      </c>
      <c r="P383" t="s">
        <v>77</v>
      </c>
      <c r="Q383">
        <v>2023</v>
      </c>
    </row>
    <row r="384" spans="1:17" x14ac:dyDescent="0.3">
      <c r="A384" t="s">
        <v>16</v>
      </c>
      <c r="B384" t="s">
        <v>23</v>
      </c>
      <c r="C384" t="s">
        <v>28</v>
      </c>
      <c r="D384" t="s">
        <v>66</v>
      </c>
      <c r="E384" t="s">
        <v>33</v>
      </c>
      <c r="F384">
        <v>476</v>
      </c>
      <c r="G384">
        <v>11</v>
      </c>
      <c r="H384">
        <v>21</v>
      </c>
      <c r="I384">
        <v>9996</v>
      </c>
      <c r="J384">
        <v>499.8</v>
      </c>
      <c r="K384">
        <v>9496.2000000000007</v>
      </c>
      <c r="L384">
        <v>5236</v>
      </c>
      <c r="M384">
        <v>4260.2000000000007</v>
      </c>
      <c r="N384">
        <v>45211</v>
      </c>
      <c r="O384">
        <v>10</v>
      </c>
      <c r="P384" t="s">
        <v>55</v>
      </c>
      <c r="Q384">
        <v>2023</v>
      </c>
    </row>
    <row r="385" spans="1:17" x14ac:dyDescent="0.3">
      <c r="A385" t="s">
        <v>25</v>
      </c>
      <c r="B385" t="s">
        <v>17</v>
      </c>
      <c r="C385" t="s">
        <v>29</v>
      </c>
      <c r="D385" t="s">
        <v>160</v>
      </c>
      <c r="E385" t="s">
        <v>33</v>
      </c>
      <c r="F385">
        <v>623</v>
      </c>
      <c r="G385">
        <v>12</v>
      </c>
      <c r="H385">
        <v>21</v>
      </c>
      <c r="I385">
        <v>13083</v>
      </c>
      <c r="J385">
        <v>654.15000000000009</v>
      </c>
      <c r="K385">
        <v>12428.85</v>
      </c>
      <c r="L385">
        <v>7476</v>
      </c>
      <c r="M385">
        <v>4952.8500000000004</v>
      </c>
      <c r="N385">
        <v>45323</v>
      </c>
      <c r="O385">
        <v>2</v>
      </c>
      <c r="P385" t="s">
        <v>52</v>
      </c>
      <c r="Q385">
        <v>2024</v>
      </c>
    </row>
    <row r="386" spans="1:17" x14ac:dyDescent="0.3">
      <c r="A386" t="s">
        <v>16</v>
      </c>
      <c r="B386" t="s">
        <v>36</v>
      </c>
      <c r="C386" t="s">
        <v>29</v>
      </c>
      <c r="D386" t="s">
        <v>134</v>
      </c>
      <c r="E386" t="s">
        <v>33</v>
      </c>
      <c r="F386">
        <v>512</v>
      </c>
      <c r="G386">
        <v>13</v>
      </c>
      <c r="H386">
        <v>38</v>
      </c>
      <c r="I386">
        <v>19456</v>
      </c>
      <c r="J386">
        <v>972.80000000000007</v>
      </c>
      <c r="K386">
        <v>18483.2</v>
      </c>
      <c r="L386">
        <v>6656</v>
      </c>
      <c r="M386">
        <v>11827.2</v>
      </c>
      <c r="N386">
        <v>45073</v>
      </c>
      <c r="O386">
        <v>5</v>
      </c>
      <c r="P386" t="s">
        <v>46</v>
      </c>
      <c r="Q386">
        <v>2023</v>
      </c>
    </row>
    <row r="387" spans="1:17" x14ac:dyDescent="0.3">
      <c r="A387" t="s">
        <v>16</v>
      </c>
      <c r="B387" t="s">
        <v>20</v>
      </c>
      <c r="C387" t="s">
        <v>29</v>
      </c>
      <c r="D387" t="s">
        <v>76</v>
      </c>
      <c r="E387" t="s">
        <v>33</v>
      </c>
      <c r="F387">
        <v>330</v>
      </c>
      <c r="G387">
        <v>11</v>
      </c>
      <c r="H387">
        <v>30</v>
      </c>
      <c r="I387">
        <v>9900</v>
      </c>
      <c r="J387">
        <v>495</v>
      </c>
      <c r="K387">
        <v>9405</v>
      </c>
      <c r="L387">
        <v>3630</v>
      </c>
      <c r="M387">
        <v>5775</v>
      </c>
      <c r="N387">
        <v>45409</v>
      </c>
      <c r="O387">
        <v>4</v>
      </c>
      <c r="P387" t="s">
        <v>75</v>
      </c>
      <c r="Q387">
        <v>2024</v>
      </c>
    </row>
    <row r="388" spans="1:17" x14ac:dyDescent="0.3">
      <c r="A388" t="s">
        <v>27</v>
      </c>
      <c r="B388" t="s">
        <v>22</v>
      </c>
      <c r="C388" t="s">
        <v>29</v>
      </c>
      <c r="D388" t="s">
        <v>172</v>
      </c>
      <c r="E388" t="s">
        <v>33</v>
      </c>
      <c r="F388">
        <v>862</v>
      </c>
      <c r="G388">
        <v>10</v>
      </c>
      <c r="H388">
        <v>34</v>
      </c>
      <c r="I388">
        <v>29308</v>
      </c>
      <c r="J388">
        <v>1465.4</v>
      </c>
      <c r="K388">
        <v>27842.6</v>
      </c>
      <c r="L388">
        <v>8620</v>
      </c>
      <c r="M388">
        <v>19222.599999999999</v>
      </c>
      <c r="N388">
        <v>45155</v>
      </c>
      <c r="O388">
        <v>8</v>
      </c>
      <c r="P388" t="s">
        <v>62</v>
      </c>
      <c r="Q388">
        <v>2023</v>
      </c>
    </row>
    <row r="389" spans="1:17" x14ac:dyDescent="0.3">
      <c r="A389" t="s">
        <v>27</v>
      </c>
      <c r="B389" t="s">
        <v>23</v>
      </c>
      <c r="C389" t="s">
        <v>29</v>
      </c>
      <c r="D389" t="s">
        <v>186</v>
      </c>
      <c r="E389" t="s">
        <v>33</v>
      </c>
      <c r="F389">
        <v>591</v>
      </c>
      <c r="G389">
        <v>18</v>
      </c>
      <c r="H389">
        <v>35</v>
      </c>
      <c r="I389">
        <v>20685</v>
      </c>
      <c r="J389">
        <v>1034.25</v>
      </c>
      <c r="K389">
        <v>19650.75</v>
      </c>
      <c r="L389">
        <v>10638</v>
      </c>
      <c r="M389">
        <v>9012.75</v>
      </c>
      <c r="N389">
        <v>45598</v>
      </c>
      <c r="O389">
        <v>11</v>
      </c>
      <c r="P389" t="s">
        <v>43</v>
      </c>
      <c r="Q389">
        <v>2024</v>
      </c>
    </row>
    <row r="390" spans="1:17" x14ac:dyDescent="0.3">
      <c r="A390" t="s">
        <v>16</v>
      </c>
      <c r="B390" t="s">
        <v>22</v>
      </c>
      <c r="C390" t="s">
        <v>30</v>
      </c>
      <c r="D390" t="s">
        <v>84</v>
      </c>
      <c r="E390" t="s">
        <v>33</v>
      </c>
      <c r="F390">
        <v>272</v>
      </c>
      <c r="G390">
        <v>20</v>
      </c>
      <c r="H390">
        <v>23</v>
      </c>
      <c r="I390">
        <v>6256</v>
      </c>
      <c r="J390">
        <v>312.8</v>
      </c>
      <c r="K390">
        <v>5943.2</v>
      </c>
      <c r="L390">
        <v>5440</v>
      </c>
      <c r="M390">
        <v>503.19999999999982</v>
      </c>
      <c r="N390">
        <v>45146</v>
      </c>
      <c r="O390">
        <v>8</v>
      </c>
      <c r="P390" t="s">
        <v>62</v>
      </c>
      <c r="Q390">
        <v>2023</v>
      </c>
    </row>
    <row r="391" spans="1:17" x14ac:dyDescent="0.3">
      <c r="A391" t="s">
        <v>16</v>
      </c>
      <c r="B391" t="s">
        <v>20</v>
      </c>
      <c r="C391" t="s">
        <v>30</v>
      </c>
      <c r="D391" t="s">
        <v>114</v>
      </c>
      <c r="E391" t="s">
        <v>33</v>
      </c>
      <c r="F391">
        <v>676</v>
      </c>
      <c r="G391">
        <v>13</v>
      </c>
      <c r="H391">
        <v>38</v>
      </c>
      <c r="I391">
        <v>25688</v>
      </c>
      <c r="J391">
        <v>1284.4000000000001</v>
      </c>
      <c r="K391">
        <v>24403.599999999999</v>
      </c>
      <c r="L391">
        <v>8788</v>
      </c>
      <c r="M391">
        <v>15615.599999999999</v>
      </c>
      <c r="N391">
        <v>45637</v>
      </c>
      <c r="O391">
        <v>12</v>
      </c>
      <c r="P391" t="s">
        <v>77</v>
      </c>
      <c r="Q391">
        <v>2024</v>
      </c>
    </row>
    <row r="392" spans="1:17" x14ac:dyDescent="0.3">
      <c r="A392" t="s">
        <v>16</v>
      </c>
      <c r="B392" t="s">
        <v>22</v>
      </c>
      <c r="C392" t="s">
        <v>30</v>
      </c>
      <c r="D392" t="s">
        <v>84</v>
      </c>
      <c r="E392" t="s">
        <v>33</v>
      </c>
      <c r="F392">
        <v>352</v>
      </c>
      <c r="G392">
        <v>20</v>
      </c>
      <c r="H392">
        <v>23</v>
      </c>
      <c r="I392">
        <v>8096</v>
      </c>
      <c r="J392">
        <v>404.8</v>
      </c>
      <c r="K392">
        <v>7691.2</v>
      </c>
      <c r="L392">
        <v>7040</v>
      </c>
      <c r="M392">
        <v>651.19999999999982</v>
      </c>
      <c r="N392">
        <v>45398</v>
      </c>
      <c r="O392">
        <v>4</v>
      </c>
      <c r="P392" t="s">
        <v>75</v>
      </c>
      <c r="Q392">
        <v>2024</v>
      </c>
    </row>
    <row r="393" spans="1:17" x14ac:dyDescent="0.3">
      <c r="A393" t="s">
        <v>16</v>
      </c>
      <c r="B393" t="s">
        <v>20</v>
      </c>
      <c r="C393" t="s">
        <v>30</v>
      </c>
      <c r="D393" t="s">
        <v>114</v>
      </c>
      <c r="E393" t="s">
        <v>33</v>
      </c>
      <c r="F393">
        <v>327</v>
      </c>
      <c r="G393">
        <v>13</v>
      </c>
      <c r="H393">
        <v>38</v>
      </c>
      <c r="I393">
        <v>12426</v>
      </c>
      <c r="J393">
        <v>621.30000000000007</v>
      </c>
      <c r="K393">
        <v>11804.7</v>
      </c>
      <c r="L393">
        <v>4251</v>
      </c>
      <c r="M393">
        <v>7553.7000000000007</v>
      </c>
      <c r="N393">
        <v>45260</v>
      </c>
      <c r="O393">
        <v>11</v>
      </c>
      <c r="P393" t="s">
        <v>43</v>
      </c>
      <c r="Q393">
        <v>2023</v>
      </c>
    </row>
    <row r="394" spans="1:17" x14ac:dyDescent="0.3">
      <c r="A394" t="s">
        <v>27</v>
      </c>
      <c r="B394" t="s">
        <v>17</v>
      </c>
      <c r="C394" t="s">
        <v>30</v>
      </c>
      <c r="D394" t="s">
        <v>80</v>
      </c>
      <c r="E394" t="s">
        <v>33</v>
      </c>
      <c r="F394">
        <v>810</v>
      </c>
      <c r="G394">
        <v>16</v>
      </c>
      <c r="H394">
        <v>16</v>
      </c>
      <c r="I394">
        <v>12960</v>
      </c>
      <c r="J394">
        <v>648</v>
      </c>
      <c r="K394">
        <v>12312</v>
      </c>
      <c r="L394">
        <v>12960</v>
      </c>
      <c r="M394">
        <v>-648</v>
      </c>
      <c r="N394">
        <v>45438</v>
      </c>
      <c r="O394">
        <v>5</v>
      </c>
      <c r="P394" t="s">
        <v>46</v>
      </c>
      <c r="Q394">
        <v>2024</v>
      </c>
    </row>
    <row r="395" spans="1:17" x14ac:dyDescent="0.3">
      <c r="A395" t="s">
        <v>27</v>
      </c>
      <c r="B395" t="s">
        <v>36</v>
      </c>
      <c r="C395" t="s">
        <v>30</v>
      </c>
      <c r="D395" t="s">
        <v>149</v>
      </c>
      <c r="E395" t="s">
        <v>33</v>
      </c>
      <c r="F395">
        <v>444</v>
      </c>
      <c r="G395">
        <v>10</v>
      </c>
      <c r="H395">
        <v>38</v>
      </c>
      <c r="I395">
        <v>16872</v>
      </c>
      <c r="J395">
        <v>843.6</v>
      </c>
      <c r="K395">
        <v>16028.4</v>
      </c>
      <c r="L395">
        <v>4440</v>
      </c>
      <c r="M395">
        <v>11588.4</v>
      </c>
      <c r="N395">
        <v>45517</v>
      </c>
      <c r="O395">
        <v>8</v>
      </c>
      <c r="P395" t="s">
        <v>62</v>
      </c>
      <c r="Q395">
        <v>2024</v>
      </c>
    </row>
    <row r="396" spans="1:17" x14ac:dyDescent="0.3">
      <c r="A396" t="s">
        <v>16</v>
      </c>
      <c r="B396" t="s">
        <v>17</v>
      </c>
      <c r="C396" t="s">
        <v>31</v>
      </c>
      <c r="D396" t="s">
        <v>159</v>
      </c>
      <c r="E396" t="s">
        <v>33</v>
      </c>
      <c r="F396">
        <v>317</v>
      </c>
      <c r="G396">
        <v>19</v>
      </c>
      <c r="H396">
        <v>38</v>
      </c>
      <c r="I396">
        <v>12046</v>
      </c>
      <c r="J396">
        <v>602.30000000000007</v>
      </c>
      <c r="K396">
        <v>11443.7</v>
      </c>
      <c r="L396">
        <v>6023</v>
      </c>
      <c r="M396">
        <v>5420.7000000000007</v>
      </c>
      <c r="N396">
        <v>45160</v>
      </c>
      <c r="O396">
        <v>8</v>
      </c>
      <c r="P396" t="s">
        <v>62</v>
      </c>
      <c r="Q396">
        <v>2023</v>
      </c>
    </row>
    <row r="397" spans="1:17" x14ac:dyDescent="0.3">
      <c r="A397" t="s">
        <v>16</v>
      </c>
      <c r="B397" t="s">
        <v>36</v>
      </c>
      <c r="C397" t="s">
        <v>31</v>
      </c>
      <c r="D397" t="s">
        <v>91</v>
      </c>
      <c r="E397" t="s">
        <v>33</v>
      </c>
      <c r="F397">
        <v>546</v>
      </c>
      <c r="G397">
        <v>10</v>
      </c>
      <c r="H397">
        <v>19</v>
      </c>
      <c r="I397">
        <v>10374</v>
      </c>
      <c r="J397">
        <v>518.70000000000005</v>
      </c>
      <c r="K397">
        <v>9855.2999999999993</v>
      </c>
      <c r="L397">
        <v>5460</v>
      </c>
      <c r="M397">
        <v>4395.2999999999993</v>
      </c>
      <c r="N397">
        <v>45594</v>
      </c>
      <c r="O397">
        <v>10</v>
      </c>
      <c r="P397" t="s">
        <v>55</v>
      </c>
      <c r="Q397">
        <v>2024</v>
      </c>
    </row>
    <row r="398" spans="1:17" x14ac:dyDescent="0.3">
      <c r="A398" t="s">
        <v>16</v>
      </c>
      <c r="B398" t="s">
        <v>20</v>
      </c>
      <c r="C398" t="s">
        <v>31</v>
      </c>
      <c r="D398" t="s">
        <v>90</v>
      </c>
      <c r="E398" t="s">
        <v>33</v>
      </c>
      <c r="F398">
        <v>249</v>
      </c>
      <c r="G398">
        <v>19</v>
      </c>
      <c r="H398">
        <v>17</v>
      </c>
      <c r="I398">
        <v>4233</v>
      </c>
      <c r="J398">
        <v>211.65</v>
      </c>
      <c r="K398">
        <v>4021.35</v>
      </c>
      <c r="L398">
        <v>4731</v>
      </c>
      <c r="M398">
        <v>-709.65000000000009</v>
      </c>
      <c r="N398">
        <v>45730</v>
      </c>
      <c r="O398">
        <v>3</v>
      </c>
      <c r="P398" t="s">
        <v>38</v>
      </c>
      <c r="Q398">
        <v>2025</v>
      </c>
    </row>
    <row r="399" spans="1:17" x14ac:dyDescent="0.3">
      <c r="A399" t="s">
        <v>27</v>
      </c>
      <c r="B399" t="s">
        <v>23</v>
      </c>
      <c r="C399" t="s">
        <v>31</v>
      </c>
      <c r="D399" t="s">
        <v>143</v>
      </c>
      <c r="E399" t="s">
        <v>33</v>
      </c>
      <c r="F399">
        <v>946</v>
      </c>
      <c r="G399">
        <v>13</v>
      </c>
      <c r="H399">
        <v>16</v>
      </c>
      <c r="I399">
        <v>15136</v>
      </c>
      <c r="J399">
        <v>756.80000000000007</v>
      </c>
      <c r="K399">
        <v>14379.2</v>
      </c>
      <c r="L399">
        <v>12298</v>
      </c>
      <c r="M399">
        <v>2081.2000000000007</v>
      </c>
      <c r="N399">
        <v>45374</v>
      </c>
      <c r="O399">
        <v>3</v>
      </c>
      <c r="P399" t="s">
        <v>38</v>
      </c>
      <c r="Q399">
        <v>2024</v>
      </c>
    </row>
    <row r="400" spans="1:17" x14ac:dyDescent="0.3">
      <c r="A400" t="s">
        <v>16</v>
      </c>
      <c r="B400" t="s">
        <v>20</v>
      </c>
      <c r="C400" t="s">
        <v>31</v>
      </c>
      <c r="D400" t="s">
        <v>90</v>
      </c>
      <c r="E400" t="s">
        <v>33</v>
      </c>
      <c r="F400">
        <v>535</v>
      </c>
      <c r="G400">
        <v>19</v>
      </c>
      <c r="H400">
        <v>17</v>
      </c>
      <c r="I400">
        <v>9095</v>
      </c>
      <c r="J400">
        <v>454.75</v>
      </c>
      <c r="K400">
        <v>8640.25</v>
      </c>
      <c r="L400">
        <v>10165</v>
      </c>
      <c r="M400">
        <v>-1524.75</v>
      </c>
      <c r="N400">
        <v>45183</v>
      </c>
      <c r="O400">
        <v>9</v>
      </c>
      <c r="P400" t="s">
        <v>40</v>
      </c>
      <c r="Q400">
        <v>2023</v>
      </c>
    </row>
    <row r="401" spans="1:17" x14ac:dyDescent="0.3">
      <c r="A401" t="s">
        <v>21</v>
      </c>
      <c r="B401" t="s">
        <v>20</v>
      </c>
      <c r="C401" t="s">
        <v>31</v>
      </c>
      <c r="D401" t="s">
        <v>187</v>
      </c>
      <c r="E401" t="s">
        <v>33</v>
      </c>
      <c r="F401">
        <v>694</v>
      </c>
      <c r="G401">
        <v>19</v>
      </c>
      <c r="H401">
        <v>24</v>
      </c>
      <c r="I401">
        <v>16656</v>
      </c>
      <c r="J401">
        <v>832.80000000000007</v>
      </c>
      <c r="K401">
        <v>15823.2</v>
      </c>
      <c r="L401">
        <v>13186</v>
      </c>
      <c r="M401">
        <v>2637.2000000000007</v>
      </c>
      <c r="N401">
        <v>45422</v>
      </c>
      <c r="O401">
        <v>5</v>
      </c>
      <c r="P401" t="s">
        <v>46</v>
      </c>
      <c r="Q401">
        <v>2024</v>
      </c>
    </row>
    <row r="402" spans="1:17" x14ac:dyDescent="0.3">
      <c r="A402" t="s">
        <v>25</v>
      </c>
      <c r="B402" t="s">
        <v>23</v>
      </c>
      <c r="C402" t="s">
        <v>31</v>
      </c>
      <c r="D402" t="s">
        <v>161</v>
      </c>
      <c r="E402" t="s">
        <v>33</v>
      </c>
      <c r="F402">
        <v>813</v>
      </c>
      <c r="G402">
        <v>19</v>
      </c>
      <c r="H402">
        <v>32</v>
      </c>
      <c r="I402">
        <v>26016</v>
      </c>
      <c r="J402">
        <v>1300.8000000000002</v>
      </c>
      <c r="K402">
        <v>24715.200000000001</v>
      </c>
      <c r="L402">
        <v>15447</v>
      </c>
      <c r="M402">
        <v>9268.2000000000007</v>
      </c>
      <c r="N402">
        <v>45533</v>
      </c>
      <c r="O402">
        <v>8</v>
      </c>
      <c r="P402" t="s">
        <v>62</v>
      </c>
      <c r="Q402">
        <v>2024</v>
      </c>
    </row>
    <row r="403" spans="1:17" x14ac:dyDescent="0.3">
      <c r="A403" t="s">
        <v>27</v>
      </c>
      <c r="B403" t="s">
        <v>23</v>
      </c>
      <c r="C403" t="s">
        <v>31</v>
      </c>
      <c r="D403" t="s">
        <v>143</v>
      </c>
      <c r="E403" t="s">
        <v>33</v>
      </c>
      <c r="F403">
        <v>503</v>
      </c>
      <c r="G403">
        <v>13</v>
      </c>
      <c r="H403">
        <v>16</v>
      </c>
      <c r="I403">
        <v>8048</v>
      </c>
      <c r="J403">
        <v>402.40000000000003</v>
      </c>
      <c r="K403">
        <v>7645.6</v>
      </c>
      <c r="L403">
        <v>6539</v>
      </c>
      <c r="M403">
        <v>1106.6000000000004</v>
      </c>
      <c r="N403">
        <v>45289</v>
      </c>
      <c r="O403">
        <v>12</v>
      </c>
      <c r="P403" t="s">
        <v>77</v>
      </c>
      <c r="Q403">
        <v>2023</v>
      </c>
    </row>
    <row r="404" spans="1:17" x14ac:dyDescent="0.3">
      <c r="A404" t="s">
        <v>16</v>
      </c>
      <c r="B404" t="s">
        <v>36</v>
      </c>
      <c r="C404" t="s">
        <v>30</v>
      </c>
      <c r="D404" t="s">
        <v>141</v>
      </c>
      <c r="E404" t="s">
        <v>33</v>
      </c>
      <c r="F404">
        <v>987</v>
      </c>
      <c r="G404">
        <v>13</v>
      </c>
      <c r="H404">
        <v>25</v>
      </c>
      <c r="I404">
        <v>24675</v>
      </c>
      <c r="J404">
        <v>1233.75</v>
      </c>
      <c r="K404">
        <v>23441.25</v>
      </c>
      <c r="L404">
        <v>12831</v>
      </c>
      <c r="M404">
        <v>10610.25</v>
      </c>
      <c r="N404">
        <v>45344</v>
      </c>
      <c r="O404">
        <v>2</v>
      </c>
      <c r="P404" t="s">
        <v>52</v>
      </c>
      <c r="Q404">
        <v>2024</v>
      </c>
    </row>
    <row r="405" spans="1:17" x14ac:dyDescent="0.3">
      <c r="A405" t="s">
        <v>27</v>
      </c>
      <c r="B405" t="s">
        <v>17</v>
      </c>
      <c r="C405" t="s">
        <v>18</v>
      </c>
      <c r="D405" t="s">
        <v>188</v>
      </c>
      <c r="E405" t="s">
        <v>33</v>
      </c>
      <c r="F405">
        <v>867</v>
      </c>
      <c r="G405">
        <v>16</v>
      </c>
      <c r="H405">
        <v>27</v>
      </c>
      <c r="I405">
        <v>23409</v>
      </c>
      <c r="J405">
        <v>1170.45</v>
      </c>
      <c r="K405">
        <v>22238.55</v>
      </c>
      <c r="L405">
        <v>13872</v>
      </c>
      <c r="M405">
        <v>8366.5499999999993</v>
      </c>
      <c r="N405">
        <v>45241</v>
      </c>
      <c r="O405">
        <v>11</v>
      </c>
      <c r="P405" t="s">
        <v>43</v>
      </c>
      <c r="Q405">
        <v>2023</v>
      </c>
    </row>
    <row r="406" spans="1:17" x14ac:dyDescent="0.3">
      <c r="A406" t="s">
        <v>25</v>
      </c>
      <c r="B406" t="s">
        <v>23</v>
      </c>
      <c r="C406" t="s">
        <v>18</v>
      </c>
      <c r="D406" t="s">
        <v>168</v>
      </c>
      <c r="E406" t="s">
        <v>33</v>
      </c>
      <c r="F406">
        <v>361</v>
      </c>
      <c r="G406">
        <v>17</v>
      </c>
      <c r="H406">
        <v>26</v>
      </c>
      <c r="I406">
        <v>9386</v>
      </c>
      <c r="J406">
        <v>469.3</v>
      </c>
      <c r="K406">
        <v>8916.7000000000007</v>
      </c>
      <c r="L406">
        <v>6137</v>
      </c>
      <c r="M406">
        <v>2779.7000000000007</v>
      </c>
      <c r="N406">
        <v>45379</v>
      </c>
      <c r="O406">
        <v>3</v>
      </c>
      <c r="P406" t="s">
        <v>38</v>
      </c>
      <c r="Q406">
        <v>2024</v>
      </c>
    </row>
    <row r="407" spans="1:17" x14ac:dyDescent="0.3">
      <c r="A407" t="s">
        <v>27</v>
      </c>
      <c r="B407" t="s">
        <v>17</v>
      </c>
      <c r="C407" t="s">
        <v>24</v>
      </c>
      <c r="D407" t="s">
        <v>185</v>
      </c>
      <c r="E407" t="s">
        <v>33</v>
      </c>
      <c r="F407">
        <v>732</v>
      </c>
      <c r="G407">
        <v>10</v>
      </c>
      <c r="H407">
        <v>37</v>
      </c>
      <c r="I407">
        <v>27084</v>
      </c>
      <c r="J407">
        <v>1354.2</v>
      </c>
      <c r="K407">
        <v>25729.8</v>
      </c>
      <c r="L407">
        <v>7320</v>
      </c>
      <c r="M407">
        <v>18409.8</v>
      </c>
      <c r="N407">
        <v>45631</v>
      </c>
      <c r="O407">
        <v>12</v>
      </c>
      <c r="P407" t="s">
        <v>77</v>
      </c>
      <c r="Q407">
        <v>2024</v>
      </c>
    </row>
    <row r="408" spans="1:17" x14ac:dyDescent="0.3">
      <c r="A408" t="s">
        <v>16</v>
      </c>
      <c r="B408" t="s">
        <v>22</v>
      </c>
      <c r="C408" t="s">
        <v>24</v>
      </c>
      <c r="D408" t="s">
        <v>50</v>
      </c>
      <c r="E408" t="s">
        <v>33</v>
      </c>
      <c r="F408">
        <v>427</v>
      </c>
      <c r="G408">
        <v>12</v>
      </c>
      <c r="H408">
        <v>35</v>
      </c>
      <c r="I408">
        <v>14945</v>
      </c>
      <c r="J408">
        <v>747.25</v>
      </c>
      <c r="K408">
        <v>14197.75</v>
      </c>
      <c r="L408">
        <v>5124</v>
      </c>
      <c r="M408">
        <v>9073.75</v>
      </c>
      <c r="N408">
        <v>45230</v>
      </c>
      <c r="O408">
        <v>10</v>
      </c>
      <c r="P408" t="s">
        <v>55</v>
      </c>
      <c r="Q408">
        <v>2023</v>
      </c>
    </row>
    <row r="409" spans="1:17" x14ac:dyDescent="0.3">
      <c r="A409" t="s">
        <v>27</v>
      </c>
      <c r="B409" t="s">
        <v>22</v>
      </c>
      <c r="C409" t="s">
        <v>24</v>
      </c>
      <c r="D409" t="s">
        <v>178</v>
      </c>
      <c r="E409" t="s">
        <v>33</v>
      </c>
      <c r="F409">
        <v>361</v>
      </c>
      <c r="G409">
        <v>15</v>
      </c>
      <c r="H409">
        <v>36</v>
      </c>
      <c r="I409">
        <v>12996</v>
      </c>
      <c r="J409">
        <v>649.80000000000007</v>
      </c>
      <c r="K409">
        <v>12346.2</v>
      </c>
      <c r="L409">
        <v>5415</v>
      </c>
      <c r="M409">
        <v>6931.2000000000007</v>
      </c>
      <c r="N409">
        <v>45382</v>
      </c>
      <c r="O409">
        <v>3</v>
      </c>
      <c r="P409" t="s">
        <v>38</v>
      </c>
      <c r="Q409">
        <v>2024</v>
      </c>
    </row>
    <row r="410" spans="1:17" x14ac:dyDescent="0.3">
      <c r="A410" t="s">
        <v>25</v>
      </c>
      <c r="B410" t="s">
        <v>17</v>
      </c>
      <c r="C410" t="s">
        <v>24</v>
      </c>
      <c r="D410" t="s">
        <v>49</v>
      </c>
      <c r="E410" t="s">
        <v>33</v>
      </c>
      <c r="F410">
        <v>354</v>
      </c>
      <c r="G410">
        <v>13</v>
      </c>
      <c r="H410">
        <v>33</v>
      </c>
      <c r="I410">
        <v>11682</v>
      </c>
      <c r="J410">
        <v>584.1</v>
      </c>
      <c r="K410">
        <v>11097.9</v>
      </c>
      <c r="L410">
        <v>4602</v>
      </c>
      <c r="M410">
        <v>6495.9</v>
      </c>
      <c r="N410">
        <v>45316</v>
      </c>
      <c r="O410">
        <v>1</v>
      </c>
      <c r="P410" t="s">
        <v>58</v>
      </c>
      <c r="Q410">
        <v>2024</v>
      </c>
    </row>
    <row r="411" spans="1:17" x14ac:dyDescent="0.3">
      <c r="A411" t="s">
        <v>26</v>
      </c>
      <c r="B411" t="s">
        <v>22</v>
      </c>
      <c r="C411" t="s">
        <v>24</v>
      </c>
      <c r="D411" t="s">
        <v>147</v>
      </c>
      <c r="E411" t="s">
        <v>33</v>
      </c>
      <c r="F411">
        <v>634</v>
      </c>
      <c r="G411">
        <v>13</v>
      </c>
      <c r="H411">
        <v>33</v>
      </c>
      <c r="I411">
        <v>20922</v>
      </c>
      <c r="J411">
        <v>1046.1000000000001</v>
      </c>
      <c r="K411">
        <v>19875.900000000001</v>
      </c>
      <c r="L411">
        <v>8242</v>
      </c>
      <c r="M411">
        <v>11633.900000000001</v>
      </c>
      <c r="N411">
        <v>45306</v>
      </c>
      <c r="O411">
        <v>1</v>
      </c>
      <c r="P411" t="s">
        <v>58</v>
      </c>
      <c r="Q411">
        <v>2024</v>
      </c>
    </row>
    <row r="412" spans="1:17" x14ac:dyDescent="0.3">
      <c r="A412" t="s">
        <v>16</v>
      </c>
      <c r="B412" t="s">
        <v>17</v>
      </c>
      <c r="C412" t="s">
        <v>24</v>
      </c>
      <c r="D412" t="s">
        <v>105</v>
      </c>
      <c r="E412" t="s">
        <v>33</v>
      </c>
      <c r="F412">
        <v>403</v>
      </c>
      <c r="G412">
        <v>12</v>
      </c>
      <c r="H412">
        <v>26</v>
      </c>
      <c r="I412">
        <v>10478</v>
      </c>
      <c r="J412">
        <v>523.9</v>
      </c>
      <c r="K412">
        <v>9954.1</v>
      </c>
      <c r="L412">
        <v>4836</v>
      </c>
      <c r="M412">
        <v>5118.1000000000004</v>
      </c>
      <c r="N412">
        <v>45575</v>
      </c>
      <c r="O412">
        <v>10</v>
      </c>
      <c r="P412" t="s">
        <v>55</v>
      </c>
      <c r="Q412">
        <v>2024</v>
      </c>
    </row>
    <row r="413" spans="1:17" x14ac:dyDescent="0.3">
      <c r="A413" t="s">
        <v>26</v>
      </c>
      <c r="B413" t="s">
        <v>36</v>
      </c>
      <c r="C413" t="s">
        <v>24</v>
      </c>
      <c r="D413" t="s">
        <v>106</v>
      </c>
      <c r="E413" t="s">
        <v>33</v>
      </c>
      <c r="F413">
        <v>652</v>
      </c>
      <c r="G413">
        <v>17</v>
      </c>
      <c r="H413">
        <v>36</v>
      </c>
      <c r="I413">
        <v>23472</v>
      </c>
      <c r="J413">
        <v>1173.6000000000001</v>
      </c>
      <c r="K413">
        <v>22298.400000000001</v>
      </c>
      <c r="L413">
        <v>11084</v>
      </c>
      <c r="M413">
        <v>11214.400000000001</v>
      </c>
      <c r="N413">
        <v>45328</v>
      </c>
      <c r="O413">
        <v>2</v>
      </c>
      <c r="P413" t="s">
        <v>52</v>
      </c>
      <c r="Q413">
        <v>2024</v>
      </c>
    </row>
    <row r="414" spans="1:17" x14ac:dyDescent="0.3">
      <c r="A414" t="s">
        <v>27</v>
      </c>
      <c r="B414" t="s">
        <v>20</v>
      </c>
      <c r="C414" t="s">
        <v>24</v>
      </c>
      <c r="D414" t="s">
        <v>153</v>
      </c>
      <c r="E414" t="s">
        <v>33</v>
      </c>
      <c r="F414">
        <v>607</v>
      </c>
      <c r="G414">
        <v>14</v>
      </c>
      <c r="H414">
        <v>16</v>
      </c>
      <c r="I414">
        <v>9712</v>
      </c>
      <c r="J414">
        <v>485.6</v>
      </c>
      <c r="K414">
        <v>9226.4</v>
      </c>
      <c r="L414">
        <v>8498</v>
      </c>
      <c r="M414">
        <v>728.39999999999964</v>
      </c>
      <c r="N414">
        <v>45125</v>
      </c>
      <c r="O414">
        <v>7</v>
      </c>
      <c r="P414" t="s">
        <v>48</v>
      </c>
      <c r="Q414">
        <v>2023</v>
      </c>
    </row>
    <row r="415" spans="1:17" x14ac:dyDescent="0.3">
      <c r="A415" t="s">
        <v>27</v>
      </c>
      <c r="B415" t="s">
        <v>23</v>
      </c>
      <c r="C415" t="s">
        <v>28</v>
      </c>
      <c r="D415" t="s">
        <v>68</v>
      </c>
      <c r="E415" t="s">
        <v>33</v>
      </c>
      <c r="F415">
        <v>364</v>
      </c>
      <c r="G415">
        <v>11</v>
      </c>
      <c r="H415">
        <v>33</v>
      </c>
      <c r="I415">
        <v>12012</v>
      </c>
      <c r="J415">
        <v>600.6</v>
      </c>
      <c r="K415">
        <v>11411.4</v>
      </c>
      <c r="L415">
        <v>4004</v>
      </c>
      <c r="M415">
        <v>7407.4</v>
      </c>
      <c r="N415">
        <v>45108</v>
      </c>
      <c r="O415">
        <v>7</v>
      </c>
      <c r="P415" t="s">
        <v>48</v>
      </c>
      <c r="Q415">
        <v>2023</v>
      </c>
    </row>
    <row r="416" spans="1:17" x14ac:dyDescent="0.3">
      <c r="A416" t="s">
        <v>16</v>
      </c>
      <c r="B416" t="s">
        <v>23</v>
      </c>
      <c r="C416" t="s">
        <v>28</v>
      </c>
      <c r="D416" t="s">
        <v>66</v>
      </c>
      <c r="E416" t="s">
        <v>33</v>
      </c>
      <c r="F416">
        <v>298</v>
      </c>
      <c r="G416">
        <v>11</v>
      </c>
      <c r="H416">
        <v>21</v>
      </c>
      <c r="I416">
        <v>6258</v>
      </c>
      <c r="J416">
        <v>312.90000000000003</v>
      </c>
      <c r="K416">
        <v>5945.1</v>
      </c>
      <c r="L416">
        <v>3278</v>
      </c>
      <c r="M416">
        <v>2667.1000000000004</v>
      </c>
      <c r="N416">
        <v>45162</v>
      </c>
      <c r="O416">
        <v>8</v>
      </c>
      <c r="P416" t="s">
        <v>62</v>
      </c>
      <c r="Q416">
        <v>2023</v>
      </c>
    </row>
    <row r="417" spans="1:17" x14ac:dyDescent="0.3">
      <c r="A417" t="s">
        <v>21</v>
      </c>
      <c r="B417" t="s">
        <v>36</v>
      </c>
      <c r="C417" t="s">
        <v>28</v>
      </c>
      <c r="D417" t="s">
        <v>107</v>
      </c>
      <c r="E417" t="s">
        <v>33</v>
      </c>
      <c r="F417">
        <v>255</v>
      </c>
      <c r="G417">
        <v>13</v>
      </c>
      <c r="H417">
        <v>31</v>
      </c>
      <c r="I417">
        <v>7905</v>
      </c>
      <c r="J417">
        <v>395.25</v>
      </c>
      <c r="K417">
        <v>7509.75</v>
      </c>
      <c r="L417">
        <v>3315</v>
      </c>
      <c r="M417">
        <v>4194.75</v>
      </c>
      <c r="N417">
        <v>45683</v>
      </c>
      <c r="O417">
        <v>1</v>
      </c>
      <c r="P417" t="s">
        <v>58</v>
      </c>
      <c r="Q417">
        <v>2025</v>
      </c>
    </row>
    <row r="418" spans="1:17" x14ac:dyDescent="0.3">
      <c r="A418" t="s">
        <v>27</v>
      </c>
      <c r="B418" t="s">
        <v>17</v>
      </c>
      <c r="C418" t="s">
        <v>28</v>
      </c>
      <c r="D418" t="s">
        <v>131</v>
      </c>
      <c r="E418" t="s">
        <v>33</v>
      </c>
      <c r="F418">
        <v>613</v>
      </c>
      <c r="G418">
        <v>10</v>
      </c>
      <c r="H418">
        <v>23</v>
      </c>
      <c r="I418">
        <v>14099</v>
      </c>
      <c r="J418">
        <v>704.95</v>
      </c>
      <c r="K418">
        <v>13394.05</v>
      </c>
      <c r="L418">
        <v>6130</v>
      </c>
      <c r="M418">
        <v>7264.0499999999993</v>
      </c>
      <c r="N418">
        <v>45644</v>
      </c>
      <c r="O418">
        <v>12</v>
      </c>
      <c r="P418" t="s">
        <v>77</v>
      </c>
      <c r="Q418">
        <v>2024</v>
      </c>
    </row>
    <row r="419" spans="1:17" x14ac:dyDescent="0.3">
      <c r="A419" t="s">
        <v>21</v>
      </c>
      <c r="B419" t="s">
        <v>22</v>
      </c>
      <c r="C419" t="s">
        <v>28</v>
      </c>
      <c r="D419" t="s">
        <v>67</v>
      </c>
      <c r="E419" t="s">
        <v>33</v>
      </c>
      <c r="F419">
        <v>94</v>
      </c>
      <c r="G419">
        <v>16</v>
      </c>
      <c r="H419">
        <v>27</v>
      </c>
      <c r="I419">
        <v>2538</v>
      </c>
      <c r="J419">
        <v>126.9</v>
      </c>
      <c r="K419">
        <v>2411.1</v>
      </c>
      <c r="L419">
        <v>1504</v>
      </c>
      <c r="M419">
        <v>907.09999999999991</v>
      </c>
      <c r="N419">
        <v>45064</v>
      </c>
      <c r="O419">
        <v>5</v>
      </c>
      <c r="P419" t="s">
        <v>46</v>
      </c>
      <c r="Q419">
        <v>2023</v>
      </c>
    </row>
    <row r="420" spans="1:17" x14ac:dyDescent="0.3">
      <c r="A420" t="s">
        <v>25</v>
      </c>
      <c r="B420" t="s">
        <v>23</v>
      </c>
      <c r="C420" t="s">
        <v>28</v>
      </c>
      <c r="D420" t="s">
        <v>133</v>
      </c>
      <c r="E420" t="s">
        <v>33</v>
      </c>
      <c r="F420">
        <v>417</v>
      </c>
      <c r="G420">
        <v>11</v>
      </c>
      <c r="H420">
        <v>24</v>
      </c>
      <c r="I420">
        <v>10008</v>
      </c>
      <c r="J420">
        <v>500.40000000000003</v>
      </c>
      <c r="K420">
        <v>9507.6</v>
      </c>
      <c r="L420">
        <v>4587</v>
      </c>
      <c r="M420">
        <v>4920.6000000000004</v>
      </c>
      <c r="N420">
        <v>45624</v>
      </c>
      <c r="O420">
        <v>11</v>
      </c>
      <c r="P420" t="s">
        <v>43</v>
      </c>
      <c r="Q420">
        <v>2024</v>
      </c>
    </row>
    <row r="421" spans="1:17" x14ac:dyDescent="0.3">
      <c r="A421" t="s">
        <v>27</v>
      </c>
      <c r="B421" t="s">
        <v>22</v>
      </c>
      <c r="C421" t="s">
        <v>28</v>
      </c>
      <c r="D421" t="s">
        <v>127</v>
      </c>
      <c r="E421" t="s">
        <v>33</v>
      </c>
      <c r="F421">
        <v>15</v>
      </c>
      <c r="G421">
        <v>19</v>
      </c>
      <c r="H421">
        <v>28</v>
      </c>
      <c r="I421">
        <v>420</v>
      </c>
      <c r="J421">
        <v>4.2</v>
      </c>
      <c r="K421">
        <v>415.8</v>
      </c>
      <c r="L421">
        <v>285</v>
      </c>
      <c r="M421">
        <v>130.80000000000001</v>
      </c>
      <c r="N421">
        <v>45361</v>
      </c>
      <c r="O421">
        <v>3</v>
      </c>
      <c r="P421" t="s">
        <v>38</v>
      </c>
      <c r="Q421">
        <v>2024</v>
      </c>
    </row>
    <row r="422" spans="1:17" x14ac:dyDescent="0.3">
      <c r="A422" t="s">
        <v>25</v>
      </c>
      <c r="B422" t="s">
        <v>20</v>
      </c>
      <c r="C422" t="s">
        <v>28</v>
      </c>
      <c r="D422" t="s">
        <v>65</v>
      </c>
      <c r="E422" t="s">
        <v>33</v>
      </c>
      <c r="F422">
        <v>829</v>
      </c>
      <c r="G422">
        <v>16</v>
      </c>
      <c r="H422">
        <v>24</v>
      </c>
      <c r="I422">
        <v>19896</v>
      </c>
      <c r="J422">
        <v>994.80000000000007</v>
      </c>
      <c r="K422">
        <v>18901.2</v>
      </c>
      <c r="L422">
        <v>13264</v>
      </c>
      <c r="M422">
        <v>5637.2000000000007</v>
      </c>
      <c r="N422">
        <v>45730</v>
      </c>
      <c r="O422">
        <v>3</v>
      </c>
      <c r="P422" t="s">
        <v>38</v>
      </c>
      <c r="Q422">
        <v>2025</v>
      </c>
    </row>
    <row r="423" spans="1:17" x14ac:dyDescent="0.3">
      <c r="A423" t="s">
        <v>26</v>
      </c>
      <c r="B423" t="s">
        <v>36</v>
      </c>
      <c r="C423" t="s">
        <v>28</v>
      </c>
      <c r="D423" t="s">
        <v>108</v>
      </c>
      <c r="E423" t="s">
        <v>33</v>
      </c>
      <c r="F423">
        <v>313</v>
      </c>
      <c r="G423">
        <v>10</v>
      </c>
      <c r="H423">
        <v>31</v>
      </c>
      <c r="I423">
        <v>9703</v>
      </c>
      <c r="J423">
        <v>485.15000000000003</v>
      </c>
      <c r="K423">
        <v>9217.85</v>
      </c>
      <c r="L423">
        <v>3130</v>
      </c>
      <c r="M423">
        <v>6087.85</v>
      </c>
      <c r="N423">
        <v>45429</v>
      </c>
      <c r="O423">
        <v>5</v>
      </c>
      <c r="P423" t="s">
        <v>46</v>
      </c>
      <c r="Q423">
        <v>2024</v>
      </c>
    </row>
    <row r="424" spans="1:17" x14ac:dyDescent="0.3">
      <c r="A424" t="s">
        <v>21</v>
      </c>
      <c r="B424" t="s">
        <v>23</v>
      </c>
      <c r="C424" t="s">
        <v>29</v>
      </c>
      <c r="D424" t="s">
        <v>165</v>
      </c>
      <c r="E424" t="s">
        <v>33</v>
      </c>
      <c r="F424">
        <v>364</v>
      </c>
      <c r="G424">
        <v>12</v>
      </c>
      <c r="H424">
        <v>21</v>
      </c>
      <c r="I424">
        <v>7644</v>
      </c>
      <c r="J424">
        <v>382.20000000000005</v>
      </c>
      <c r="K424">
        <v>7261.8</v>
      </c>
      <c r="L424">
        <v>4368</v>
      </c>
      <c r="M424">
        <v>2893.8</v>
      </c>
      <c r="N424">
        <v>45458</v>
      </c>
      <c r="O424">
        <v>6</v>
      </c>
      <c r="P424" t="s">
        <v>45</v>
      </c>
      <c r="Q424">
        <v>2024</v>
      </c>
    </row>
    <row r="425" spans="1:17" x14ac:dyDescent="0.3">
      <c r="A425" t="s">
        <v>27</v>
      </c>
      <c r="B425" t="s">
        <v>17</v>
      </c>
      <c r="C425" t="s">
        <v>29</v>
      </c>
      <c r="D425" t="s">
        <v>189</v>
      </c>
      <c r="E425" t="s">
        <v>33</v>
      </c>
      <c r="F425">
        <v>500</v>
      </c>
      <c r="G425">
        <v>11</v>
      </c>
      <c r="H425">
        <v>20</v>
      </c>
      <c r="I425">
        <v>10000</v>
      </c>
      <c r="J425">
        <v>500</v>
      </c>
      <c r="K425">
        <v>9500</v>
      </c>
      <c r="L425">
        <v>5500</v>
      </c>
      <c r="M425">
        <v>4000</v>
      </c>
      <c r="N425">
        <v>45546</v>
      </c>
      <c r="O425">
        <v>9</v>
      </c>
      <c r="P425" t="s">
        <v>40</v>
      </c>
      <c r="Q425">
        <v>2024</v>
      </c>
    </row>
    <row r="426" spans="1:17" x14ac:dyDescent="0.3">
      <c r="A426" t="s">
        <v>16</v>
      </c>
      <c r="B426" t="s">
        <v>20</v>
      </c>
      <c r="C426" t="s">
        <v>29</v>
      </c>
      <c r="D426" t="s">
        <v>76</v>
      </c>
      <c r="E426" t="s">
        <v>33</v>
      </c>
      <c r="F426">
        <v>727</v>
      </c>
      <c r="G426">
        <v>11</v>
      </c>
      <c r="H426">
        <v>30</v>
      </c>
      <c r="I426">
        <v>21810</v>
      </c>
      <c r="J426">
        <v>1090.5</v>
      </c>
      <c r="K426">
        <v>20719.5</v>
      </c>
      <c r="L426">
        <v>7997</v>
      </c>
      <c r="M426">
        <v>12722.5</v>
      </c>
      <c r="N426">
        <v>45660</v>
      </c>
      <c r="O426">
        <v>1</v>
      </c>
      <c r="P426" t="s">
        <v>58</v>
      </c>
      <c r="Q426">
        <v>2025</v>
      </c>
    </row>
    <row r="427" spans="1:17" x14ac:dyDescent="0.3">
      <c r="A427" t="s">
        <v>26</v>
      </c>
      <c r="B427" t="s">
        <v>17</v>
      </c>
      <c r="C427" t="s">
        <v>29</v>
      </c>
      <c r="D427" t="s">
        <v>79</v>
      </c>
      <c r="E427" t="s">
        <v>33</v>
      </c>
      <c r="F427">
        <v>676</v>
      </c>
      <c r="G427">
        <v>16</v>
      </c>
      <c r="H427">
        <v>28</v>
      </c>
      <c r="I427">
        <v>18928</v>
      </c>
      <c r="J427">
        <v>946.40000000000009</v>
      </c>
      <c r="K427">
        <v>17981.599999999999</v>
      </c>
      <c r="L427">
        <v>10816</v>
      </c>
      <c r="M427">
        <v>7165.5999999999985</v>
      </c>
      <c r="N427">
        <v>45662</v>
      </c>
      <c r="O427">
        <v>1</v>
      </c>
      <c r="P427" t="s">
        <v>58</v>
      </c>
      <c r="Q427">
        <v>2025</v>
      </c>
    </row>
    <row r="428" spans="1:17" x14ac:dyDescent="0.3">
      <c r="A428" t="s">
        <v>26</v>
      </c>
      <c r="B428" t="s">
        <v>23</v>
      </c>
      <c r="C428" t="s">
        <v>29</v>
      </c>
      <c r="D428" t="s">
        <v>136</v>
      </c>
      <c r="E428" t="s">
        <v>33</v>
      </c>
      <c r="F428">
        <v>853</v>
      </c>
      <c r="G428">
        <v>12</v>
      </c>
      <c r="H428">
        <v>30</v>
      </c>
      <c r="I428">
        <v>25590</v>
      </c>
      <c r="J428">
        <v>1279.5</v>
      </c>
      <c r="K428">
        <v>24310.5</v>
      </c>
      <c r="L428">
        <v>10236</v>
      </c>
      <c r="M428">
        <v>14074.5</v>
      </c>
      <c r="N428">
        <v>45062</v>
      </c>
      <c r="O428">
        <v>5</v>
      </c>
      <c r="P428" t="s">
        <v>46</v>
      </c>
      <c r="Q428">
        <v>2023</v>
      </c>
    </row>
    <row r="429" spans="1:17" x14ac:dyDescent="0.3">
      <c r="A429" t="s">
        <v>16</v>
      </c>
      <c r="B429" t="s">
        <v>17</v>
      </c>
      <c r="C429" t="s">
        <v>29</v>
      </c>
      <c r="D429" t="s">
        <v>113</v>
      </c>
      <c r="E429" t="s">
        <v>33</v>
      </c>
      <c r="F429">
        <v>291</v>
      </c>
      <c r="G429">
        <v>18</v>
      </c>
      <c r="H429">
        <v>23</v>
      </c>
      <c r="I429">
        <v>6693</v>
      </c>
      <c r="J429">
        <v>334.65000000000003</v>
      </c>
      <c r="K429">
        <v>6358.35</v>
      </c>
      <c r="L429">
        <v>5238</v>
      </c>
      <c r="M429">
        <v>1120.3500000000004</v>
      </c>
      <c r="N429">
        <v>45651</v>
      </c>
      <c r="O429">
        <v>12</v>
      </c>
      <c r="P429" t="s">
        <v>77</v>
      </c>
      <c r="Q429">
        <v>2024</v>
      </c>
    </row>
    <row r="430" spans="1:17" x14ac:dyDescent="0.3">
      <c r="A430" t="s">
        <v>25</v>
      </c>
      <c r="B430" t="s">
        <v>36</v>
      </c>
      <c r="C430" t="s">
        <v>30</v>
      </c>
      <c r="D430" t="s">
        <v>190</v>
      </c>
      <c r="E430" t="s">
        <v>33</v>
      </c>
      <c r="F430">
        <v>96</v>
      </c>
      <c r="G430">
        <v>10</v>
      </c>
      <c r="H430">
        <v>16</v>
      </c>
      <c r="I430">
        <v>1536</v>
      </c>
      <c r="J430">
        <v>76.800000000000011</v>
      </c>
      <c r="K430">
        <v>1459.2</v>
      </c>
      <c r="L430">
        <v>960</v>
      </c>
      <c r="M430">
        <v>499.20000000000005</v>
      </c>
      <c r="N430">
        <v>45508</v>
      </c>
      <c r="O430">
        <v>8</v>
      </c>
      <c r="P430" t="s">
        <v>62</v>
      </c>
      <c r="Q430">
        <v>2024</v>
      </c>
    </row>
    <row r="431" spans="1:17" x14ac:dyDescent="0.3">
      <c r="A431" t="s">
        <v>27</v>
      </c>
      <c r="B431" t="s">
        <v>20</v>
      </c>
      <c r="C431" t="s">
        <v>30</v>
      </c>
      <c r="D431" t="s">
        <v>117</v>
      </c>
      <c r="E431" t="s">
        <v>33</v>
      </c>
      <c r="F431">
        <v>732</v>
      </c>
      <c r="G431">
        <v>13</v>
      </c>
      <c r="H431">
        <v>16</v>
      </c>
      <c r="I431">
        <v>11712</v>
      </c>
      <c r="J431">
        <v>585.6</v>
      </c>
      <c r="K431">
        <v>11126.4</v>
      </c>
      <c r="L431">
        <v>9516</v>
      </c>
      <c r="M431">
        <v>1610.3999999999996</v>
      </c>
      <c r="N431">
        <v>45510</v>
      </c>
      <c r="O431">
        <v>8</v>
      </c>
      <c r="P431" t="s">
        <v>62</v>
      </c>
      <c r="Q431">
        <v>2024</v>
      </c>
    </row>
    <row r="432" spans="1:17" x14ac:dyDescent="0.3">
      <c r="A432" t="s">
        <v>16</v>
      </c>
      <c r="B432" t="s">
        <v>36</v>
      </c>
      <c r="C432" t="s">
        <v>30</v>
      </c>
      <c r="D432" t="s">
        <v>141</v>
      </c>
      <c r="E432" t="s">
        <v>33</v>
      </c>
      <c r="F432">
        <v>904</v>
      </c>
      <c r="G432">
        <v>13</v>
      </c>
      <c r="H432">
        <v>25</v>
      </c>
      <c r="I432">
        <v>22600</v>
      </c>
      <c r="J432">
        <v>1130</v>
      </c>
      <c r="K432">
        <v>21470</v>
      </c>
      <c r="L432">
        <v>11752</v>
      </c>
      <c r="M432">
        <v>9718</v>
      </c>
      <c r="N432">
        <v>45570</v>
      </c>
      <c r="O432">
        <v>10</v>
      </c>
      <c r="P432" t="s">
        <v>55</v>
      </c>
      <c r="Q432">
        <v>2024</v>
      </c>
    </row>
    <row r="433" spans="1:17" x14ac:dyDescent="0.3">
      <c r="A433" t="s">
        <v>25</v>
      </c>
      <c r="B433" t="s">
        <v>20</v>
      </c>
      <c r="C433" t="s">
        <v>30</v>
      </c>
      <c r="D433" t="s">
        <v>81</v>
      </c>
      <c r="E433" t="s">
        <v>33</v>
      </c>
      <c r="F433">
        <v>775</v>
      </c>
      <c r="G433">
        <v>15</v>
      </c>
      <c r="H433">
        <v>25</v>
      </c>
      <c r="I433">
        <v>19375</v>
      </c>
      <c r="J433">
        <v>968.75</v>
      </c>
      <c r="K433">
        <v>18406.25</v>
      </c>
      <c r="L433">
        <v>11625</v>
      </c>
      <c r="M433">
        <v>6781.25</v>
      </c>
      <c r="N433">
        <v>45549</v>
      </c>
      <c r="O433">
        <v>9</v>
      </c>
      <c r="P433" t="s">
        <v>40</v>
      </c>
      <c r="Q433">
        <v>2024</v>
      </c>
    </row>
    <row r="434" spans="1:17" x14ac:dyDescent="0.3">
      <c r="A434" t="s">
        <v>27</v>
      </c>
      <c r="B434" t="s">
        <v>36</v>
      </c>
      <c r="C434" t="s">
        <v>30</v>
      </c>
      <c r="D434" t="s">
        <v>149</v>
      </c>
      <c r="E434" t="s">
        <v>33</v>
      </c>
      <c r="F434">
        <v>665</v>
      </c>
      <c r="G434">
        <v>10</v>
      </c>
      <c r="H434">
        <v>38</v>
      </c>
      <c r="I434">
        <v>25270</v>
      </c>
      <c r="J434">
        <v>1263.5</v>
      </c>
      <c r="K434">
        <v>24006.5</v>
      </c>
      <c r="L434">
        <v>6650</v>
      </c>
      <c r="M434">
        <v>17356.5</v>
      </c>
      <c r="N434">
        <v>45272</v>
      </c>
      <c r="O434">
        <v>12</v>
      </c>
      <c r="P434" t="s">
        <v>77</v>
      </c>
      <c r="Q434">
        <v>2023</v>
      </c>
    </row>
    <row r="435" spans="1:17" x14ac:dyDescent="0.3">
      <c r="A435" t="s">
        <v>25</v>
      </c>
      <c r="B435" t="s">
        <v>22</v>
      </c>
      <c r="C435" t="s">
        <v>30</v>
      </c>
      <c r="D435" t="s">
        <v>155</v>
      </c>
      <c r="E435" t="s">
        <v>33</v>
      </c>
      <c r="F435">
        <v>899</v>
      </c>
      <c r="G435">
        <v>15</v>
      </c>
      <c r="H435">
        <v>36</v>
      </c>
      <c r="I435">
        <v>32364</v>
      </c>
      <c r="J435">
        <v>1618.2</v>
      </c>
      <c r="K435">
        <v>30745.8</v>
      </c>
      <c r="L435">
        <v>13485</v>
      </c>
      <c r="M435">
        <v>17260.8</v>
      </c>
      <c r="N435">
        <v>45455</v>
      </c>
      <c r="O435">
        <v>6</v>
      </c>
      <c r="P435" t="s">
        <v>45</v>
      </c>
      <c r="Q435">
        <v>2024</v>
      </c>
    </row>
    <row r="436" spans="1:17" x14ac:dyDescent="0.3">
      <c r="A436" t="s">
        <v>21</v>
      </c>
      <c r="B436" t="s">
        <v>22</v>
      </c>
      <c r="C436" t="s">
        <v>30</v>
      </c>
      <c r="D436" t="s">
        <v>82</v>
      </c>
      <c r="E436" t="s">
        <v>33</v>
      </c>
      <c r="F436">
        <v>581</v>
      </c>
      <c r="G436">
        <v>14</v>
      </c>
      <c r="H436">
        <v>30</v>
      </c>
      <c r="I436">
        <v>17430</v>
      </c>
      <c r="J436">
        <v>871.5</v>
      </c>
      <c r="K436">
        <v>16558.5</v>
      </c>
      <c r="L436">
        <v>8134</v>
      </c>
      <c r="M436">
        <v>8424.5</v>
      </c>
      <c r="N436">
        <v>45178</v>
      </c>
      <c r="O436">
        <v>9</v>
      </c>
      <c r="P436" t="s">
        <v>40</v>
      </c>
      <c r="Q436">
        <v>2023</v>
      </c>
    </row>
    <row r="437" spans="1:17" x14ac:dyDescent="0.3">
      <c r="A437" t="s">
        <v>26</v>
      </c>
      <c r="B437" t="s">
        <v>23</v>
      </c>
      <c r="C437" t="s">
        <v>30</v>
      </c>
      <c r="D437" t="s">
        <v>139</v>
      </c>
      <c r="E437" t="s">
        <v>33</v>
      </c>
      <c r="F437">
        <v>599</v>
      </c>
      <c r="G437">
        <v>11</v>
      </c>
      <c r="H437">
        <v>22</v>
      </c>
      <c r="I437">
        <v>13178</v>
      </c>
      <c r="J437">
        <v>658.90000000000009</v>
      </c>
      <c r="K437">
        <v>12519.1</v>
      </c>
      <c r="L437">
        <v>6589</v>
      </c>
      <c r="M437">
        <v>5930.1</v>
      </c>
      <c r="N437">
        <v>45088</v>
      </c>
      <c r="O437">
        <v>6</v>
      </c>
      <c r="P437" t="s">
        <v>45</v>
      </c>
      <c r="Q437">
        <v>2023</v>
      </c>
    </row>
    <row r="438" spans="1:17" x14ac:dyDescent="0.3">
      <c r="A438" t="s">
        <v>16</v>
      </c>
      <c r="B438" t="s">
        <v>36</v>
      </c>
      <c r="C438" t="s">
        <v>31</v>
      </c>
      <c r="D438" t="s">
        <v>91</v>
      </c>
      <c r="E438" t="s">
        <v>33</v>
      </c>
      <c r="F438">
        <v>503</v>
      </c>
      <c r="G438">
        <v>10</v>
      </c>
      <c r="H438">
        <v>19</v>
      </c>
      <c r="I438">
        <v>9557</v>
      </c>
      <c r="J438">
        <v>477.85</v>
      </c>
      <c r="K438">
        <v>9079.15</v>
      </c>
      <c r="L438">
        <v>5030</v>
      </c>
      <c r="M438">
        <v>4049.1499999999996</v>
      </c>
      <c r="N438">
        <v>45362</v>
      </c>
      <c r="O438">
        <v>3</v>
      </c>
      <c r="P438" t="s">
        <v>38</v>
      </c>
      <c r="Q438">
        <v>2024</v>
      </c>
    </row>
    <row r="439" spans="1:17" x14ac:dyDescent="0.3">
      <c r="A439" t="s">
        <v>16</v>
      </c>
      <c r="B439" t="s">
        <v>17</v>
      </c>
      <c r="C439" t="s">
        <v>31</v>
      </c>
      <c r="D439" t="s">
        <v>159</v>
      </c>
      <c r="E439" t="s">
        <v>33</v>
      </c>
      <c r="F439">
        <v>850</v>
      </c>
      <c r="G439">
        <v>19</v>
      </c>
      <c r="H439">
        <v>38</v>
      </c>
      <c r="I439">
        <v>32300</v>
      </c>
      <c r="J439">
        <v>1615</v>
      </c>
      <c r="K439">
        <v>30685</v>
      </c>
      <c r="L439">
        <v>16150</v>
      </c>
      <c r="M439">
        <v>14535</v>
      </c>
      <c r="N439">
        <v>45681</v>
      </c>
      <c r="O439">
        <v>1</v>
      </c>
      <c r="P439" t="s">
        <v>58</v>
      </c>
      <c r="Q439">
        <v>2025</v>
      </c>
    </row>
    <row r="440" spans="1:17" x14ac:dyDescent="0.3">
      <c r="A440" t="s">
        <v>21</v>
      </c>
      <c r="B440" t="s">
        <v>20</v>
      </c>
      <c r="C440" t="s">
        <v>31</v>
      </c>
      <c r="D440" t="s">
        <v>187</v>
      </c>
      <c r="E440" t="s">
        <v>33</v>
      </c>
      <c r="F440">
        <v>759</v>
      </c>
      <c r="G440">
        <v>19</v>
      </c>
      <c r="H440">
        <v>24</v>
      </c>
      <c r="I440">
        <v>18216</v>
      </c>
      <c r="J440">
        <v>910.80000000000007</v>
      </c>
      <c r="K440">
        <v>17305.2</v>
      </c>
      <c r="L440">
        <v>14421</v>
      </c>
      <c r="M440">
        <v>2884.2000000000007</v>
      </c>
      <c r="N440">
        <v>45440</v>
      </c>
      <c r="O440">
        <v>5</v>
      </c>
      <c r="P440" t="s">
        <v>46</v>
      </c>
      <c r="Q440">
        <v>2024</v>
      </c>
    </row>
    <row r="441" spans="1:17" x14ac:dyDescent="0.3">
      <c r="A441" t="s">
        <v>16</v>
      </c>
      <c r="B441" t="s">
        <v>23</v>
      </c>
      <c r="C441" t="s">
        <v>31</v>
      </c>
      <c r="D441" t="s">
        <v>157</v>
      </c>
      <c r="E441" t="s">
        <v>33</v>
      </c>
      <c r="F441">
        <v>798</v>
      </c>
      <c r="G441">
        <v>14</v>
      </c>
      <c r="H441">
        <v>32</v>
      </c>
      <c r="I441">
        <v>25536</v>
      </c>
      <c r="J441">
        <v>1276.8000000000002</v>
      </c>
      <c r="K441">
        <v>24259.200000000001</v>
      </c>
      <c r="L441">
        <v>11172</v>
      </c>
      <c r="M441">
        <v>13087.2</v>
      </c>
      <c r="N441">
        <v>45043</v>
      </c>
      <c r="O441">
        <v>4</v>
      </c>
      <c r="P441" t="s">
        <v>75</v>
      </c>
      <c r="Q441">
        <v>2023</v>
      </c>
    </row>
    <row r="442" spans="1:17" x14ac:dyDescent="0.3">
      <c r="A442" t="s">
        <v>16</v>
      </c>
      <c r="B442" t="s">
        <v>20</v>
      </c>
      <c r="C442" t="s">
        <v>18</v>
      </c>
      <c r="D442" t="s">
        <v>39</v>
      </c>
      <c r="E442" t="s">
        <v>33</v>
      </c>
      <c r="F442">
        <v>482</v>
      </c>
      <c r="G442">
        <v>19</v>
      </c>
      <c r="H442">
        <v>19</v>
      </c>
      <c r="I442">
        <v>9158</v>
      </c>
      <c r="J442">
        <v>457.90000000000003</v>
      </c>
      <c r="K442">
        <v>8700.1</v>
      </c>
      <c r="L442">
        <v>9158</v>
      </c>
      <c r="M442">
        <v>-457.89999999999964</v>
      </c>
      <c r="N442">
        <v>45662</v>
      </c>
      <c r="O442">
        <v>1</v>
      </c>
      <c r="P442" t="s">
        <v>58</v>
      </c>
      <c r="Q442">
        <v>2025</v>
      </c>
    </row>
    <row r="443" spans="1:17" x14ac:dyDescent="0.3">
      <c r="A443" t="s">
        <v>16</v>
      </c>
      <c r="B443" t="s">
        <v>17</v>
      </c>
      <c r="C443" t="s">
        <v>18</v>
      </c>
      <c r="D443" t="s">
        <v>37</v>
      </c>
      <c r="E443" t="s">
        <v>33</v>
      </c>
      <c r="F443">
        <v>137</v>
      </c>
      <c r="G443">
        <v>12</v>
      </c>
      <c r="H443">
        <v>29</v>
      </c>
      <c r="I443">
        <v>3973</v>
      </c>
      <c r="J443">
        <v>198.65</v>
      </c>
      <c r="K443">
        <v>3774.35</v>
      </c>
      <c r="L443">
        <v>1644</v>
      </c>
      <c r="M443">
        <v>2130.35</v>
      </c>
      <c r="N443">
        <v>45395</v>
      </c>
      <c r="O443">
        <v>4</v>
      </c>
      <c r="P443" t="s">
        <v>75</v>
      </c>
      <c r="Q443">
        <v>2024</v>
      </c>
    </row>
    <row r="444" spans="1:17" x14ac:dyDescent="0.3">
      <c r="A444" t="s">
        <v>25</v>
      </c>
      <c r="B444" t="s">
        <v>20</v>
      </c>
      <c r="C444" t="s">
        <v>18</v>
      </c>
      <c r="D444" t="s">
        <v>101</v>
      </c>
      <c r="E444" t="s">
        <v>33</v>
      </c>
      <c r="F444">
        <v>547</v>
      </c>
      <c r="G444">
        <v>10</v>
      </c>
      <c r="H444">
        <v>34</v>
      </c>
      <c r="I444">
        <v>18598</v>
      </c>
      <c r="J444">
        <v>929.90000000000009</v>
      </c>
      <c r="K444">
        <v>17668.099999999999</v>
      </c>
      <c r="L444">
        <v>5470</v>
      </c>
      <c r="M444">
        <v>12198.099999999999</v>
      </c>
      <c r="N444">
        <v>45469</v>
      </c>
      <c r="O444">
        <v>6</v>
      </c>
      <c r="P444" t="s">
        <v>45</v>
      </c>
      <c r="Q444">
        <v>2024</v>
      </c>
    </row>
    <row r="445" spans="1:17" x14ac:dyDescent="0.3">
      <c r="A445" t="s">
        <v>16</v>
      </c>
      <c r="B445" t="s">
        <v>23</v>
      </c>
      <c r="C445" t="s">
        <v>18</v>
      </c>
      <c r="D445" t="s">
        <v>96</v>
      </c>
      <c r="E445" t="s">
        <v>33</v>
      </c>
      <c r="F445">
        <v>103</v>
      </c>
      <c r="G445">
        <v>14</v>
      </c>
      <c r="H445">
        <v>35</v>
      </c>
      <c r="I445">
        <v>3605</v>
      </c>
      <c r="J445">
        <v>180.25</v>
      </c>
      <c r="K445">
        <v>3424.75</v>
      </c>
      <c r="L445">
        <v>1442</v>
      </c>
      <c r="M445">
        <v>1982.75</v>
      </c>
      <c r="N445">
        <v>45737</v>
      </c>
      <c r="O445">
        <v>3</v>
      </c>
      <c r="P445" t="s">
        <v>38</v>
      </c>
      <c r="Q445">
        <v>2025</v>
      </c>
    </row>
    <row r="446" spans="1:17" x14ac:dyDescent="0.3">
      <c r="A446" t="s">
        <v>16</v>
      </c>
      <c r="B446" t="s">
        <v>36</v>
      </c>
      <c r="C446" t="s">
        <v>28</v>
      </c>
      <c r="D446" t="s">
        <v>69</v>
      </c>
      <c r="E446" t="s">
        <v>33</v>
      </c>
      <c r="F446">
        <v>587</v>
      </c>
      <c r="G446">
        <v>20</v>
      </c>
      <c r="H446">
        <v>25</v>
      </c>
      <c r="I446">
        <v>14675</v>
      </c>
      <c r="J446">
        <v>733.75</v>
      </c>
      <c r="K446">
        <v>13941.25</v>
      </c>
      <c r="L446">
        <v>11740</v>
      </c>
      <c r="M446">
        <v>2201.25</v>
      </c>
      <c r="N446">
        <v>45498</v>
      </c>
      <c r="O446">
        <v>7</v>
      </c>
      <c r="P446" t="s">
        <v>48</v>
      </c>
      <c r="Q446">
        <v>2024</v>
      </c>
    </row>
    <row r="447" spans="1:17" x14ac:dyDescent="0.3">
      <c r="A447" t="s">
        <v>16</v>
      </c>
      <c r="B447" t="s">
        <v>23</v>
      </c>
      <c r="C447" t="s">
        <v>28</v>
      </c>
      <c r="D447" t="s">
        <v>66</v>
      </c>
      <c r="E447" t="s">
        <v>33</v>
      </c>
      <c r="F447">
        <v>850</v>
      </c>
      <c r="G447">
        <v>11</v>
      </c>
      <c r="H447">
        <v>21</v>
      </c>
      <c r="I447">
        <v>17850</v>
      </c>
      <c r="J447">
        <v>892.5</v>
      </c>
      <c r="K447">
        <v>16957.5</v>
      </c>
      <c r="L447">
        <v>9350</v>
      </c>
      <c r="M447">
        <v>7607.5</v>
      </c>
      <c r="N447">
        <v>45367</v>
      </c>
      <c r="O447">
        <v>3</v>
      </c>
      <c r="P447" t="s">
        <v>38</v>
      </c>
      <c r="Q447">
        <v>2024</v>
      </c>
    </row>
    <row r="448" spans="1:17" x14ac:dyDescent="0.3">
      <c r="A448" t="s">
        <v>16</v>
      </c>
      <c r="B448" t="s">
        <v>20</v>
      </c>
      <c r="C448" t="s">
        <v>28</v>
      </c>
      <c r="D448" t="s">
        <v>64</v>
      </c>
      <c r="E448" t="s">
        <v>33</v>
      </c>
      <c r="F448">
        <v>687</v>
      </c>
      <c r="G448">
        <v>14</v>
      </c>
      <c r="H448">
        <v>22</v>
      </c>
      <c r="I448">
        <v>15114</v>
      </c>
      <c r="J448">
        <v>755.7</v>
      </c>
      <c r="K448">
        <v>14358.3</v>
      </c>
      <c r="L448">
        <v>9618</v>
      </c>
      <c r="M448">
        <v>4740.2999999999993</v>
      </c>
      <c r="N448">
        <v>45575</v>
      </c>
      <c r="O448">
        <v>10</v>
      </c>
      <c r="P448" t="s">
        <v>55</v>
      </c>
      <c r="Q448">
        <v>2024</v>
      </c>
    </row>
    <row r="449" spans="1:17" x14ac:dyDescent="0.3">
      <c r="A449" t="s">
        <v>25</v>
      </c>
      <c r="B449" t="s">
        <v>22</v>
      </c>
      <c r="C449" t="s">
        <v>29</v>
      </c>
      <c r="D449" t="s">
        <v>137</v>
      </c>
      <c r="E449" t="s">
        <v>33</v>
      </c>
      <c r="F449">
        <v>103</v>
      </c>
      <c r="G449">
        <v>18</v>
      </c>
      <c r="H449">
        <v>16</v>
      </c>
      <c r="I449">
        <v>1648</v>
      </c>
      <c r="J449">
        <v>82.4</v>
      </c>
      <c r="K449">
        <v>1565.6</v>
      </c>
      <c r="L449">
        <v>1854</v>
      </c>
      <c r="M449">
        <v>-288.40000000000009</v>
      </c>
      <c r="N449">
        <v>45633</v>
      </c>
      <c r="O449">
        <v>12</v>
      </c>
      <c r="P449" t="s">
        <v>77</v>
      </c>
      <c r="Q449">
        <v>2024</v>
      </c>
    </row>
    <row r="450" spans="1:17" x14ac:dyDescent="0.3">
      <c r="A450" t="s">
        <v>21</v>
      </c>
      <c r="B450" t="s">
        <v>23</v>
      </c>
      <c r="C450" t="s">
        <v>29</v>
      </c>
      <c r="D450" t="s">
        <v>165</v>
      </c>
      <c r="E450" t="s">
        <v>33</v>
      </c>
      <c r="F450">
        <v>615</v>
      </c>
      <c r="G450">
        <v>12</v>
      </c>
      <c r="H450">
        <v>21</v>
      </c>
      <c r="I450">
        <v>12915</v>
      </c>
      <c r="J450">
        <v>645.75</v>
      </c>
      <c r="K450">
        <v>12269.25</v>
      </c>
      <c r="L450">
        <v>7380</v>
      </c>
      <c r="M450">
        <v>4889.25</v>
      </c>
      <c r="N450">
        <v>45090</v>
      </c>
      <c r="O450">
        <v>6</v>
      </c>
      <c r="P450" t="s">
        <v>45</v>
      </c>
      <c r="Q450">
        <v>2023</v>
      </c>
    </row>
    <row r="451" spans="1:17" x14ac:dyDescent="0.3">
      <c r="A451" t="s">
        <v>16</v>
      </c>
      <c r="B451" t="s">
        <v>20</v>
      </c>
      <c r="C451" t="s">
        <v>30</v>
      </c>
      <c r="D451" t="s">
        <v>114</v>
      </c>
      <c r="E451" t="s">
        <v>33</v>
      </c>
      <c r="F451">
        <v>369</v>
      </c>
      <c r="G451">
        <v>13</v>
      </c>
      <c r="H451">
        <v>38</v>
      </c>
      <c r="I451">
        <v>14022</v>
      </c>
      <c r="J451">
        <v>701.1</v>
      </c>
      <c r="K451">
        <v>13320.9</v>
      </c>
      <c r="L451">
        <v>4797</v>
      </c>
      <c r="M451">
        <v>8523.9</v>
      </c>
      <c r="N451">
        <v>45480</v>
      </c>
      <c r="O451">
        <v>7</v>
      </c>
      <c r="P451" t="s">
        <v>48</v>
      </c>
      <c r="Q451">
        <v>2024</v>
      </c>
    </row>
    <row r="452" spans="1:17" x14ac:dyDescent="0.3">
      <c r="A452" t="s">
        <v>16</v>
      </c>
      <c r="B452" t="s">
        <v>22</v>
      </c>
      <c r="C452" t="s">
        <v>30</v>
      </c>
      <c r="D452" t="s">
        <v>84</v>
      </c>
      <c r="E452" t="s">
        <v>33</v>
      </c>
      <c r="F452">
        <v>428</v>
      </c>
      <c r="G452">
        <v>20</v>
      </c>
      <c r="H452">
        <v>23</v>
      </c>
      <c r="I452">
        <v>9844</v>
      </c>
      <c r="J452">
        <v>492.20000000000005</v>
      </c>
      <c r="K452">
        <v>9351.7999999999993</v>
      </c>
      <c r="L452">
        <v>8560</v>
      </c>
      <c r="M452">
        <v>791.79999999999927</v>
      </c>
      <c r="N452">
        <v>45694</v>
      </c>
      <c r="O452">
        <v>2</v>
      </c>
      <c r="P452" t="s">
        <v>52</v>
      </c>
      <c r="Q452">
        <v>2025</v>
      </c>
    </row>
    <row r="453" spans="1:17" x14ac:dyDescent="0.3">
      <c r="A453" t="s">
        <v>16</v>
      </c>
      <c r="B453" t="s">
        <v>23</v>
      </c>
      <c r="C453" t="s">
        <v>30</v>
      </c>
      <c r="D453" t="s">
        <v>119</v>
      </c>
      <c r="E453" t="s">
        <v>33</v>
      </c>
      <c r="F453">
        <v>322</v>
      </c>
      <c r="G453">
        <v>18</v>
      </c>
      <c r="H453">
        <v>19</v>
      </c>
      <c r="I453">
        <v>6118</v>
      </c>
      <c r="J453">
        <v>305.90000000000003</v>
      </c>
      <c r="K453">
        <v>5812.1</v>
      </c>
      <c r="L453">
        <v>5796</v>
      </c>
      <c r="M453">
        <v>16.100000000000364</v>
      </c>
      <c r="N453">
        <v>45201</v>
      </c>
      <c r="O453">
        <v>10</v>
      </c>
      <c r="P453" t="s">
        <v>55</v>
      </c>
      <c r="Q453">
        <v>2023</v>
      </c>
    </row>
    <row r="454" spans="1:17" x14ac:dyDescent="0.3">
      <c r="A454" t="s">
        <v>16</v>
      </c>
      <c r="B454" t="s">
        <v>23</v>
      </c>
      <c r="C454" t="s">
        <v>31</v>
      </c>
      <c r="D454" t="s">
        <v>157</v>
      </c>
      <c r="E454" t="s">
        <v>33</v>
      </c>
      <c r="F454">
        <v>948</v>
      </c>
      <c r="G454">
        <v>14</v>
      </c>
      <c r="H454">
        <v>32</v>
      </c>
      <c r="I454">
        <v>30336</v>
      </c>
      <c r="J454">
        <v>1516.8000000000002</v>
      </c>
      <c r="K454">
        <v>28819.200000000001</v>
      </c>
      <c r="L454">
        <v>13272</v>
      </c>
      <c r="M454">
        <v>15547.2</v>
      </c>
      <c r="N454">
        <v>45450</v>
      </c>
      <c r="O454">
        <v>6</v>
      </c>
      <c r="P454" t="s">
        <v>45</v>
      </c>
      <c r="Q454">
        <v>2024</v>
      </c>
    </row>
    <row r="455" spans="1:17" x14ac:dyDescent="0.3">
      <c r="A455" t="s">
        <v>21</v>
      </c>
      <c r="B455" t="s">
        <v>17</v>
      </c>
      <c r="C455" t="s">
        <v>31</v>
      </c>
      <c r="D455" t="s">
        <v>191</v>
      </c>
      <c r="E455" t="s">
        <v>33</v>
      </c>
      <c r="F455">
        <v>163</v>
      </c>
      <c r="G455">
        <v>11</v>
      </c>
      <c r="H455">
        <v>17</v>
      </c>
      <c r="I455">
        <v>2771</v>
      </c>
      <c r="J455">
        <v>138.55000000000001</v>
      </c>
      <c r="K455">
        <v>2632.45</v>
      </c>
      <c r="L455">
        <v>1793</v>
      </c>
      <c r="M455">
        <v>839.44999999999982</v>
      </c>
      <c r="N455">
        <v>45241</v>
      </c>
      <c r="O455">
        <v>11</v>
      </c>
      <c r="P455" t="s">
        <v>43</v>
      </c>
      <c r="Q455">
        <v>2023</v>
      </c>
    </row>
    <row r="456" spans="1:17" x14ac:dyDescent="0.3">
      <c r="A456" t="s">
        <v>25</v>
      </c>
      <c r="B456" t="s">
        <v>22</v>
      </c>
      <c r="C456" t="s">
        <v>31</v>
      </c>
      <c r="D456" t="s">
        <v>192</v>
      </c>
      <c r="E456" t="s">
        <v>33</v>
      </c>
      <c r="F456">
        <v>213</v>
      </c>
      <c r="G456">
        <v>10</v>
      </c>
      <c r="H456">
        <v>38</v>
      </c>
      <c r="I456">
        <v>8094</v>
      </c>
      <c r="J456">
        <v>404.70000000000005</v>
      </c>
      <c r="K456">
        <v>7689.3</v>
      </c>
      <c r="L456">
        <v>2130</v>
      </c>
      <c r="M456">
        <v>5559.3</v>
      </c>
      <c r="N456">
        <v>45202</v>
      </c>
      <c r="O456">
        <v>10</v>
      </c>
      <c r="P456" t="s">
        <v>55</v>
      </c>
      <c r="Q456">
        <v>2023</v>
      </c>
    </row>
    <row r="457" spans="1:17" x14ac:dyDescent="0.3">
      <c r="A457" t="s">
        <v>25</v>
      </c>
      <c r="B457" t="s">
        <v>36</v>
      </c>
      <c r="C457" t="s">
        <v>18</v>
      </c>
      <c r="D457" t="s">
        <v>95</v>
      </c>
      <c r="E457" t="s">
        <v>34</v>
      </c>
      <c r="F457">
        <v>407</v>
      </c>
      <c r="G457">
        <v>13</v>
      </c>
      <c r="H457">
        <v>23</v>
      </c>
      <c r="I457">
        <v>9361</v>
      </c>
      <c r="J457">
        <v>468.05</v>
      </c>
      <c r="K457">
        <v>8892.9500000000007</v>
      </c>
      <c r="L457">
        <v>5291</v>
      </c>
      <c r="M457">
        <v>3601.9500000000007</v>
      </c>
      <c r="N457">
        <v>45079</v>
      </c>
      <c r="O457">
        <v>6</v>
      </c>
      <c r="P457" t="s">
        <v>45</v>
      </c>
      <c r="Q457">
        <v>2023</v>
      </c>
    </row>
    <row r="458" spans="1:17" x14ac:dyDescent="0.3">
      <c r="A458" t="s">
        <v>16</v>
      </c>
      <c r="B458" t="s">
        <v>36</v>
      </c>
      <c r="C458" t="s">
        <v>24</v>
      </c>
      <c r="D458" t="s">
        <v>124</v>
      </c>
      <c r="E458" t="s">
        <v>34</v>
      </c>
      <c r="F458">
        <v>623</v>
      </c>
      <c r="G458">
        <v>15</v>
      </c>
      <c r="H458">
        <v>34</v>
      </c>
      <c r="I458">
        <v>21182</v>
      </c>
      <c r="J458">
        <v>1059.1000000000001</v>
      </c>
      <c r="K458">
        <v>20122.900000000001</v>
      </c>
      <c r="L458">
        <v>9345</v>
      </c>
      <c r="M458">
        <v>10777.900000000001</v>
      </c>
      <c r="N458">
        <v>45486</v>
      </c>
      <c r="O458">
        <v>7</v>
      </c>
      <c r="P458" t="s">
        <v>48</v>
      </c>
      <c r="Q458">
        <v>2024</v>
      </c>
    </row>
    <row r="459" spans="1:17" x14ac:dyDescent="0.3">
      <c r="A459" t="s">
        <v>25</v>
      </c>
      <c r="B459" t="s">
        <v>36</v>
      </c>
      <c r="C459" t="s">
        <v>28</v>
      </c>
      <c r="D459" t="s">
        <v>70</v>
      </c>
      <c r="E459" t="s">
        <v>34</v>
      </c>
      <c r="F459">
        <v>601</v>
      </c>
      <c r="G459">
        <v>15</v>
      </c>
      <c r="H459">
        <v>16</v>
      </c>
      <c r="I459">
        <v>9616</v>
      </c>
      <c r="J459">
        <v>480.8</v>
      </c>
      <c r="K459">
        <v>9135.2000000000007</v>
      </c>
      <c r="L459">
        <v>9015</v>
      </c>
      <c r="M459">
        <v>120.20000000000073</v>
      </c>
      <c r="N459">
        <v>45033</v>
      </c>
      <c r="O459">
        <v>4</v>
      </c>
      <c r="P459" t="s">
        <v>75</v>
      </c>
      <c r="Q459">
        <v>2023</v>
      </c>
    </row>
    <row r="460" spans="1:17" x14ac:dyDescent="0.3">
      <c r="A460" t="s">
        <v>26</v>
      </c>
      <c r="B460" t="s">
        <v>36</v>
      </c>
      <c r="C460" t="s">
        <v>18</v>
      </c>
      <c r="D460" t="s">
        <v>99</v>
      </c>
      <c r="E460" t="s">
        <v>34</v>
      </c>
      <c r="F460">
        <v>546</v>
      </c>
      <c r="G460">
        <v>17</v>
      </c>
      <c r="H460">
        <v>37</v>
      </c>
      <c r="I460">
        <v>20202</v>
      </c>
      <c r="J460">
        <v>1010.1</v>
      </c>
      <c r="K460">
        <v>19191.900000000001</v>
      </c>
      <c r="L460">
        <v>9282</v>
      </c>
      <c r="M460">
        <v>9909.9000000000015</v>
      </c>
      <c r="N460">
        <v>45561</v>
      </c>
      <c r="O460">
        <v>9</v>
      </c>
      <c r="P460" t="s">
        <v>40</v>
      </c>
      <c r="Q460">
        <v>2024</v>
      </c>
    </row>
    <row r="461" spans="1:17" x14ac:dyDescent="0.3">
      <c r="A461" t="s">
        <v>26</v>
      </c>
      <c r="B461" t="s">
        <v>22</v>
      </c>
      <c r="C461" t="s">
        <v>18</v>
      </c>
      <c r="D461" t="s">
        <v>145</v>
      </c>
      <c r="E461" t="s">
        <v>34</v>
      </c>
      <c r="F461">
        <v>453</v>
      </c>
      <c r="G461">
        <v>10</v>
      </c>
      <c r="H461">
        <v>23</v>
      </c>
      <c r="I461">
        <v>10419</v>
      </c>
      <c r="J461">
        <v>520.95000000000005</v>
      </c>
      <c r="K461">
        <v>9898.0499999999993</v>
      </c>
      <c r="L461">
        <v>4530</v>
      </c>
      <c r="M461">
        <v>5368.0499999999993</v>
      </c>
      <c r="N461">
        <v>45253</v>
      </c>
      <c r="O461">
        <v>11</v>
      </c>
      <c r="P461" t="s">
        <v>43</v>
      </c>
      <c r="Q461">
        <v>2023</v>
      </c>
    </row>
    <row r="462" spans="1:17" x14ac:dyDescent="0.3">
      <c r="A462" t="s">
        <v>16</v>
      </c>
      <c r="B462" t="s">
        <v>36</v>
      </c>
      <c r="C462" t="s">
        <v>24</v>
      </c>
      <c r="D462" t="s">
        <v>124</v>
      </c>
      <c r="E462" t="s">
        <v>34</v>
      </c>
      <c r="F462">
        <v>952</v>
      </c>
      <c r="G462">
        <v>15</v>
      </c>
      <c r="H462">
        <v>34</v>
      </c>
      <c r="I462">
        <v>32368</v>
      </c>
      <c r="J462">
        <v>1618.4</v>
      </c>
      <c r="K462">
        <v>30749.599999999999</v>
      </c>
      <c r="L462">
        <v>14280</v>
      </c>
      <c r="M462">
        <v>16469.599999999999</v>
      </c>
      <c r="N462">
        <v>45179</v>
      </c>
      <c r="O462">
        <v>9</v>
      </c>
      <c r="P462" t="s">
        <v>40</v>
      </c>
      <c r="Q462">
        <v>2023</v>
      </c>
    </row>
    <row r="463" spans="1:17" x14ac:dyDescent="0.3">
      <c r="A463" t="s">
        <v>26</v>
      </c>
      <c r="B463" t="s">
        <v>36</v>
      </c>
      <c r="C463" t="s">
        <v>24</v>
      </c>
      <c r="D463" t="s">
        <v>106</v>
      </c>
      <c r="E463" t="s">
        <v>34</v>
      </c>
      <c r="F463">
        <v>131</v>
      </c>
      <c r="G463">
        <v>17</v>
      </c>
      <c r="H463">
        <v>36</v>
      </c>
      <c r="I463">
        <v>4716</v>
      </c>
      <c r="J463">
        <v>235.8</v>
      </c>
      <c r="K463">
        <v>4480.2</v>
      </c>
      <c r="L463">
        <v>2227</v>
      </c>
      <c r="M463">
        <v>2253.1999999999998</v>
      </c>
      <c r="N463">
        <v>45216</v>
      </c>
      <c r="O463">
        <v>10</v>
      </c>
      <c r="P463" t="s">
        <v>55</v>
      </c>
      <c r="Q463">
        <v>2023</v>
      </c>
    </row>
    <row r="464" spans="1:17" x14ac:dyDescent="0.3">
      <c r="A464" t="s">
        <v>21</v>
      </c>
      <c r="B464" t="s">
        <v>22</v>
      </c>
      <c r="C464" t="s">
        <v>24</v>
      </c>
      <c r="D464" t="s">
        <v>184</v>
      </c>
      <c r="E464" t="s">
        <v>34</v>
      </c>
      <c r="F464">
        <v>526</v>
      </c>
      <c r="G464">
        <v>15</v>
      </c>
      <c r="H464">
        <v>17</v>
      </c>
      <c r="I464">
        <v>8942</v>
      </c>
      <c r="J464">
        <v>447.1</v>
      </c>
      <c r="K464">
        <v>8494.9</v>
      </c>
      <c r="L464">
        <v>7890</v>
      </c>
      <c r="M464">
        <v>604.89999999999964</v>
      </c>
      <c r="N464">
        <v>45490</v>
      </c>
      <c r="O464">
        <v>7</v>
      </c>
      <c r="P464" t="s">
        <v>48</v>
      </c>
      <c r="Q464">
        <v>2024</v>
      </c>
    </row>
    <row r="465" spans="1:17" x14ac:dyDescent="0.3">
      <c r="A465" t="s">
        <v>16</v>
      </c>
      <c r="B465" t="s">
        <v>22</v>
      </c>
      <c r="C465" t="s">
        <v>28</v>
      </c>
      <c r="D465" t="s">
        <v>93</v>
      </c>
      <c r="E465" t="s">
        <v>34</v>
      </c>
      <c r="F465">
        <v>747</v>
      </c>
      <c r="G465">
        <v>12</v>
      </c>
      <c r="H465">
        <v>27</v>
      </c>
      <c r="I465">
        <v>20169</v>
      </c>
      <c r="J465">
        <v>1008.45</v>
      </c>
      <c r="K465">
        <v>19160.55</v>
      </c>
      <c r="L465">
        <v>8964</v>
      </c>
      <c r="M465">
        <v>10196.549999999999</v>
      </c>
      <c r="N465">
        <v>45038</v>
      </c>
      <c r="O465">
        <v>4</v>
      </c>
      <c r="P465" t="s">
        <v>75</v>
      </c>
      <c r="Q465">
        <v>2023</v>
      </c>
    </row>
    <row r="466" spans="1:17" x14ac:dyDescent="0.3">
      <c r="A466" t="s">
        <v>27</v>
      </c>
      <c r="B466" t="s">
        <v>23</v>
      </c>
      <c r="C466" t="s">
        <v>28</v>
      </c>
      <c r="D466" t="s">
        <v>68</v>
      </c>
      <c r="E466" t="s">
        <v>34</v>
      </c>
      <c r="F466">
        <v>383</v>
      </c>
      <c r="G466">
        <v>11</v>
      </c>
      <c r="H466">
        <v>33</v>
      </c>
      <c r="I466">
        <v>12639</v>
      </c>
      <c r="J466">
        <v>631.95000000000005</v>
      </c>
      <c r="K466">
        <v>12007.05</v>
      </c>
      <c r="L466">
        <v>4213</v>
      </c>
      <c r="M466">
        <v>7794.0499999999993</v>
      </c>
      <c r="N466">
        <v>45092</v>
      </c>
      <c r="O466">
        <v>6</v>
      </c>
      <c r="P466" t="s">
        <v>45</v>
      </c>
      <c r="Q466">
        <v>2023</v>
      </c>
    </row>
    <row r="467" spans="1:17" x14ac:dyDescent="0.3">
      <c r="A467" t="s">
        <v>21</v>
      </c>
      <c r="B467" t="s">
        <v>22</v>
      </c>
      <c r="C467" t="s">
        <v>28</v>
      </c>
      <c r="D467" t="s">
        <v>67</v>
      </c>
      <c r="E467" t="s">
        <v>34</v>
      </c>
      <c r="F467">
        <v>284</v>
      </c>
      <c r="G467">
        <v>16</v>
      </c>
      <c r="H467">
        <v>27</v>
      </c>
      <c r="I467">
        <v>7668</v>
      </c>
      <c r="J467">
        <v>383.40000000000003</v>
      </c>
      <c r="K467">
        <v>7284.6</v>
      </c>
      <c r="L467">
        <v>4544</v>
      </c>
      <c r="M467">
        <v>2740.6000000000004</v>
      </c>
      <c r="N467">
        <v>45553</v>
      </c>
      <c r="O467">
        <v>9</v>
      </c>
      <c r="P467" t="s">
        <v>40</v>
      </c>
      <c r="Q467">
        <v>2024</v>
      </c>
    </row>
    <row r="468" spans="1:17" x14ac:dyDescent="0.3">
      <c r="A468" t="s">
        <v>16</v>
      </c>
      <c r="B468" t="s">
        <v>20</v>
      </c>
      <c r="C468" t="s">
        <v>28</v>
      </c>
      <c r="D468" t="s">
        <v>64</v>
      </c>
      <c r="E468" t="s">
        <v>34</v>
      </c>
      <c r="F468">
        <v>994</v>
      </c>
      <c r="G468">
        <v>14</v>
      </c>
      <c r="H468">
        <v>22</v>
      </c>
      <c r="I468">
        <v>21868</v>
      </c>
      <c r="J468">
        <v>1093.4000000000001</v>
      </c>
      <c r="K468">
        <v>20774.599999999999</v>
      </c>
      <c r="L468">
        <v>13916</v>
      </c>
      <c r="M468">
        <v>6858.5999999999985</v>
      </c>
      <c r="N468">
        <v>45524</v>
      </c>
      <c r="O468">
        <v>8</v>
      </c>
      <c r="P468" t="s">
        <v>62</v>
      </c>
      <c r="Q468">
        <v>2024</v>
      </c>
    </row>
    <row r="469" spans="1:17" x14ac:dyDescent="0.3">
      <c r="A469" t="s">
        <v>21</v>
      </c>
      <c r="B469" t="s">
        <v>20</v>
      </c>
      <c r="C469" t="s">
        <v>29</v>
      </c>
      <c r="D469" t="s">
        <v>171</v>
      </c>
      <c r="E469" t="s">
        <v>34</v>
      </c>
      <c r="F469">
        <v>179</v>
      </c>
      <c r="G469">
        <v>20</v>
      </c>
      <c r="H469">
        <v>38</v>
      </c>
      <c r="I469">
        <v>6802</v>
      </c>
      <c r="J469">
        <v>340.1</v>
      </c>
      <c r="K469">
        <v>6461.9</v>
      </c>
      <c r="L469">
        <v>3580</v>
      </c>
      <c r="M469">
        <v>2881.8999999999996</v>
      </c>
      <c r="N469">
        <v>45673</v>
      </c>
      <c r="O469">
        <v>1</v>
      </c>
      <c r="P469" t="s">
        <v>58</v>
      </c>
      <c r="Q469">
        <v>2025</v>
      </c>
    </row>
    <row r="470" spans="1:17" x14ac:dyDescent="0.3">
      <c r="A470" t="s">
        <v>21</v>
      </c>
      <c r="B470" t="s">
        <v>20</v>
      </c>
      <c r="C470" t="s">
        <v>29</v>
      </c>
      <c r="D470" t="s">
        <v>171</v>
      </c>
      <c r="E470" t="s">
        <v>34</v>
      </c>
      <c r="F470">
        <v>770</v>
      </c>
      <c r="G470">
        <v>20</v>
      </c>
      <c r="H470">
        <v>38</v>
      </c>
      <c r="I470">
        <v>29260</v>
      </c>
      <c r="J470">
        <v>1463</v>
      </c>
      <c r="K470">
        <v>27797</v>
      </c>
      <c r="L470">
        <v>15400</v>
      </c>
      <c r="M470">
        <v>12397</v>
      </c>
      <c r="N470">
        <v>45628</v>
      </c>
      <c r="O470">
        <v>12</v>
      </c>
      <c r="P470" t="s">
        <v>77</v>
      </c>
      <c r="Q470">
        <v>2024</v>
      </c>
    </row>
    <row r="471" spans="1:17" x14ac:dyDescent="0.3">
      <c r="A471" t="s">
        <v>21</v>
      </c>
      <c r="B471" t="s">
        <v>36</v>
      </c>
      <c r="C471" t="s">
        <v>29</v>
      </c>
      <c r="D471" t="s">
        <v>164</v>
      </c>
      <c r="E471" t="s">
        <v>34</v>
      </c>
      <c r="F471">
        <v>143</v>
      </c>
      <c r="G471">
        <v>13</v>
      </c>
      <c r="H471">
        <v>19</v>
      </c>
      <c r="I471">
        <v>2717</v>
      </c>
      <c r="J471">
        <v>135.85</v>
      </c>
      <c r="K471">
        <v>2581.15</v>
      </c>
      <c r="L471">
        <v>1859</v>
      </c>
      <c r="M471">
        <v>722.15000000000009</v>
      </c>
      <c r="N471">
        <v>45476</v>
      </c>
      <c r="O471">
        <v>7</v>
      </c>
      <c r="P471" t="s">
        <v>48</v>
      </c>
      <c r="Q471">
        <v>2024</v>
      </c>
    </row>
    <row r="472" spans="1:17" x14ac:dyDescent="0.3">
      <c r="A472" t="s">
        <v>16</v>
      </c>
      <c r="B472" t="s">
        <v>22</v>
      </c>
      <c r="C472" t="s">
        <v>29</v>
      </c>
      <c r="D472" t="s">
        <v>94</v>
      </c>
      <c r="E472" t="s">
        <v>34</v>
      </c>
      <c r="F472">
        <v>265</v>
      </c>
      <c r="G472">
        <v>19</v>
      </c>
      <c r="H472">
        <v>22</v>
      </c>
      <c r="I472">
        <v>5830</v>
      </c>
      <c r="J472">
        <v>291.5</v>
      </c>
      <c r="K472">
        <v>5538.5</v>
      </c>
      <c r="L472">
        <v>5035</v>
      </c>
      <c r="M472">
        <v>503.5</v>
      </c>
      <c r="N472">
        <v>45092</v>
      </c>
      <c r="O472">
        <v>6</v>
      </c>
      <c r="P472" t="s">
        <v>45</v>
      </c>
      <c r="Q472">
        <v>2023</v>
      </c>
    </row>
    <row r="473" spans="1:17" x14ac:dyDescent="0.3">
      <c r="A473" t="s">
        <v>26</v>
      </c>
      <c r="B473" t="s">
        <v>36</v>
      </c>
      <c r="C473" t="s">
        <v>29</v>
      </c>
      <c r="D473" t="s">
        <v>78</v>
      </c>
      <c r="E473" t="s">
        <v>34</v>
      </c>
      <c r="F473">
        <v>421</v>
      </c>
      <c r="G473">
        <v>12</v>
      </c>
      <c r="H473">
        <v>36</v>
      </c>
      <c r="I473">
        <v>15156</v>
      </c>
      <c r="J473">
        <v>757.80000000000007</v>
      </c>
      <c r="K473">
        <v>14398.2</v>
      </c>
      <c r="L473">
        <v>5052</v>
      </c>
      <c r="M473">
        <v>9346.2000000000007</v>
      </c>
      <c r="N473">
        <v>45725</v>
      </c>
      <c r="O473">
        <v>3</v>
      </c>
      <c r="P473" t="s">
        <v>38</v>
      </c>
      <c r="Q473">
        <v>2025</v>
      </c>
    </row>
    <row r="474" spans="1:17" x14ac:dyDescent="0.3">
      <c r="A474" t="s">
        <v>27</v>
      </c>
      <c r="B474" t="s">
        <v>36</v>
      </c>
      <c r="C474" t="s">
        <v>29</v>
      </c>
      <c r="D474" t="s">
        <v>179</v>
      </c>
      <c r="E474" t="s">
        <v>34</v>
      </c>
      <c r="F474">
        <v>251</v>
      </c>
      <c r="G474">
        <v>20</v>
      </c>
      <c r="H474">
        <v>33</v>
      </c>
      <c r="I474">
        <v>8283</v>
      </c>
      <c r="J474">
        <v>414.15000000000003</v>
      </c>
      <c r="K474">
        <v>7868.85</v>
      </c>
      <c r="L474">
        <v>5020</v>
      </c>
      <c r="M474">
        <v>2848.8500000000004</v>
      </c>
      <c r="N474">
        <v>45464</v>
      </c>
      <c r="O474">
        <v>6</v>
      </c>
      <c r="P474" t="s">
        <v>45</v>
      </c>
      <c r="Q474">
        <v>2024</v>
      </c>
    </row>
    <row r="475" spans="1:17" x14ac:dyDescent="0.3">
      <c r="A475" t="s">
        <v>16</v>
      </c>
      <c r="B475" t="s">
        <v>20</v>
      </c>
      <c r="C475" t="s">
        <v>29</v>
      </c>
      <c r="D475" t="s">
        <v>76</v>
      </c>
      <c r="E475" t="s">
        <v>34</v>
      </c>
      <c r="F475">
        <v>396</v>
      </c>
      <c r="G475">
        <v>11</v>
      </c>
      <c r="H475">
        <v>30</v>
      </c>
      <c r="I475">
        <v>11880</v>
      </c>
      <c r="J475">
        <v>594</v>
      </c>
      <c r="K475">
        <v>11286</v>
      </c>
      <c r="L475">
        <v>4356</v>
      </c>
      <c r="M475">
        <v>6930</v>
      </c>
      <c r="N475">
        <v>45334</v>
      </c>
      <c r="O475">
        <v>2</v>
      </c>
      <c r="P475" t="s">
        <v>52</v>
      </c>
      <c r="Q475">
        <v>2024</v>
      </c>
    </row>
    <row r="476" spans="1:17" x14ac:dyDescent="0.3">
      <c r="A476" t="s">
        <v>16</v>
      </c>
      <c r="B476" t="s">
        <v>20</v>
      </c>
      <c r="C476" t="s">
        <v>29</v>
      </c>
      <c r="D476" t="s">
        <v>76</v>
      </c>
      <c r="E476" t="s">
        <v>34</v>
      </c>
      <c r="F476">
        <v>533</v>
      </c>
      <c r="G476">
        <v>11</v>
      </c>
      <c r="H476">
        <v>30</v>
      </c>
      <c r="I476">
        <v>15990</v>
      </c>
      <c r="J476">
        <v>799.5</v>
      </c>
      <c r="K476">
        <v>15190.5</v>
      </c>
      <c r="L476">
        <v>5863</v>
      </c>
      <c r="M476">
        <v>9327.5</v>
      </c>
      <c r="N476">
        <v>45716</v>
      </c>
      <c r="O476">
        <v>2</v>
      </c>
      <c r="P476" t="s">
        <v>52</v>
      </c>
      <c r="Q476">
        <v>2025</v>
      </c>
    </row>
    <row r="477" spans="1:17" x14ac:dyDescent="0.3">
      <c r="A477" t="s">
        <v>26</v>
      </c>
      <c r="B477" t="s">
        <v>17</v>
      </c>
      <c r="C477" t="s">
        <v>29</v>
      </c>
      <c r="D477" t="s">
        <v>79</v>
      </c>
      <c r="E477" t="s">
        <v>34</v>
      </c>
      <c r="F477">
        <v>412</v>
      </c>
      <c r="G477">
        <v>16</v>
      </c>
      <c r="H477">
        <v>28</v>
      </c>
      <c r="I477">
        <v>11536</v>
      </c>
      <c r="J477">
        <v>576.80000000000007</v>
      </c>
      <c r="K477">
        <v>10959.2</v>
      </c>
      <c r="L477">
        <v>6592</v>
      </c>
      <c r="M477">
        <v>4367.2000000000007</v>
      </c>
      <c r="N477">
        <v>45428</v>
      </c>
      <c r="O477">
        <v>5</v>
      </c>
      <c r="P477" t="s">
        <v>46</v>
      </c>
      <c r="Q477">
        <v>2024</v>
      </c>
    </row>
    <row r="478" spans="1:17" x14ac:dyDescent="0.3">
      <c r="A478" t="s">
        <v>27</v>
      </c>
      <c r="B478" t="s">
        <v>22</v>
      </c>
      <c r="C478" t="s">
        <v>29</v>
      </c>
      <c r="D478" t="s">
        <v>172</v>
      </c>
      <c r="E478" t="s">
        <v>34</v>
      </c>
      <c r="F478">
        <v>300</v>
      </c>
      <c r="G478">
        <v>10</v>
      </c>
      <c r="H478">
        <v>34</v>
      </c>
      <c r="I478">
        <v>10200</v>
      </c>
      <c r="J478">
        <v>510</v>
      </c>
      <c r="K478">
        <v>9690</v>
      </c>
      <c r="L478">
        <v>3000</v>
      </c>
      <c r="M478">
        <v>6690</v>
      </c>
      <c r="N478">
        <v>45664</v>
      </c>
      <c r="O478">
        <v>1</v>
      </c>
      <c r="P478" t="s">
        <v>58</v>
      </c>
      <c r="Q478">
        <v>2025</v>
      </c>
    </row>
    <row r="479" spans="1:17" x14ac:dyDescent="0.3">
      <c r="A479" t="s">
        <v>26</v>
      </c>
      <c r="B479" t="s">
        <v>23</v>
      </c>
      <c r="C479" t="s">
        <v>30</v>
      </c>
      <c r="D479" t="s">
        <v>139</v>
      </c>
      <c r="E479" t="s">
        <v>34</v>
      </c>
      <c r="F479">
        <v>721</v>
      </c>
      <c r="G479">
        <v>11</v>
      </c>
      <c r="H479">
        <v>22</v>
      </c>
      <c r="I479">
        <v>15862</v>
      </c>
      <c r="J479">
        <v>793.1</v>
      </c>
      <c r="K479">
        <v>15068.9</v>
      </c>
      <c r="L479">
        <v>7931</v>
      </c>
      <c r="M479">
        <v>7137.9</v>
      </c>
      <c r="N479">
        <v>45317</v>
      </c>
      <c r="O479">
        <v>1</v>
      </c>
      <c r="P479" t="s">
        <v>58</v>
      </c>
      <c r="Q479">
        <v>2024</v>
      </c>
    </row>
    <row r="480" spans="1:17" x14ac:dyDescent="0.3">
      <c r="A480" t="s">
        <v>21</v>
      </c>
      <c r="B480" t="s">
        <v>23</v>
      </c>
      <c r="C480" t="s">
        <v>30</v>
      </c>
      <c r="D480" t="s">
        <v>156</v>
      </c>
      <c r="E480" t="s">
        <v>34</v>
      </c>
      <c r="F480">
        <v>29</v>
      </c>
      <c r="G480">
        <v>12</v>
      </c>
      <c r="H480">
        <v>28</v>
      </c>
      <c r="I480">
        <v>812</v>
      </c>
      <c r="J480">
        <v>8.120000000000001</v>
      </c>
      <c r="K480">
        <v>803.88</v>
      </c>
      <c r="L480">
        <v>348</v>
      </c>
      <c r="M480">
        <v>455.88</v>
      </c>
      <c r="N480">
        <v>45349</v>
      </c>
      <c r="O480">
        <v>2</v>
      </c>
      <c r="P480" t="s">
        <v>52</v>
      </c>
      <c r="Q480">
        <v>2024</v>
      </c>
    </row>
    <row r="481" spans="1:17" x14ac:dyDescent="0.3">
      <c r="A481" t="s">
        <v>16</v>
      </c>
      <c r="B481" t="s">
        <v>36</v>
      </c>
      <c r="C481" t="s">
        <v>30</v>
      </c>
      <c r="D481" t="s">
        <v>141</v>
      </c>
      <c r="E481" t="s">
        <v>34</v>
      </c>
      <c r="F481">
        <v>140</v>
      </c>
      <c r="G481">
        <v>13</v>
      </c>
      <c r="H481">
        <v>25</v>
      </c>
      <c r="I481">
        <v>3500</v>
      </c>
      <c r="J481">
        <v>175</v>
      </c>
      <c r="K481">
        <v>3325</v>
      </c>
      <c r="L481">
        <v>1820</v>
      </c>
      <c r="M481">
        <v>1505</v>
      </c>
      <c r="N481">
        <v>45187</v>
      </c>
      <c r="O481">
        <v>9</v>
      </c>
      <c r="P481" t="s">
        <v>40</v>
      </c>
      <c r="Q481">
        <v>2023</v>
      </c>
    </row>
    <row r="482" spans="1:17" x14ac:dyDescent="0.3">
      <c r="A482" t="s">
        <v>27</v>
      </c>
      <c r="B482" t="s">
        <v>23</v>
      </c>
      <c r="C482" t="s">
        <v>30</v>
      </c>
      <c r="D482" t="s">
        <v>118</v>
      </c>
      <c r="E482" t="s">
        <v>34</v>
      </c>
      <c r="F482">
        <v>462</v>
      </c>
      <c r="G482">
        <v>10</v>
      </c>
      <c r="H482">
        <v>19</v>
      </c>
      <c r="I482">
        <v>8778</v>
      </c>
      <c r="J482">
        <v>438.90000000000003</v>
      </c>
      <c r="K482">
        <v>8339.1</v>
      </c>
      <c r="L482">
        <v>4620</v>
      </c>
      <c r="M482">
        <v>3719.1000000000004</v>
      </c>
      <c r="N482">
        <v>45752</v>
      </c>
      <c r="O482">
        <v>4</v>
      </c>
      <c r="P482" t="s">
        <v>75</v>
      </c>
      <c r="Q482">
        <v>2025</v>
      </c>
    </row>
    <row r="483" spans="1:17" x14ac:dyDescent="0.3">
      <c r="A483" t="s">
        <v>27</v>
      </c>
      <c r="B483" t="s">
        <v>36</v>
      </c>
      <c r="C483" t="s">
        <v>30</v>
      </c>
      <c r="D483" t="s">
        <v>149</v>
      </c>
      <c r="E483" t="s">
        <v>34</v>
      </c>
      <c r="F483">
        <v>467</v>
      </c>
      <c r="G483">
        <v>10</v>
      </c>
      <c r="H483">
        <v>38</v>
      </c>
      <c r="I483">
        <v>17746</v>
      </c>
      <c r="J483">
        <v>887.30000000000007</v>
      </c>
      <c r="K483">
        <v>16858.7</v>
      </c>
      <c r="L483">
        <v>4670</v>
      </c>
      <c r="M483">
        <v>12188.7</v>
      </c>
      <c r="N483">
        <v>45188</v>
      </c>
      <c r="O483">
        <v>9</v>
      </c>
      <c r="P483" t="s">
        <v>40</v>
      </c>
      <c r="Q483">
        <v>2023</v>
      </c>
    </row>
    <row r="484" spans="1:17" x14ac:dyDescent="0.3">
      <c r="A484" t="s">
        <v>21</v>
      </c>
      <c r="B484" t="s">
        <v>22</v>
      </c>
      <c r="C484" t="s">
        <v>30</v>
      </c>
      <c r="D484" t="s">
        <v>82</v>
      </c>
      <c r="E484" t="s">
        <v>34</v>
      </c>
      <c r="F484">
        <v>539</v>
      </c>
      <c r="G484">
        <v>14</v>
      </c>
      <c r="H484">
        <v>30</v>
      </c>
      <c r="I484">
        <v>16170</v>
      </c>
      <c r="J484">
        <v>808.5</v>
      </c>
      <c r="K484">
        <v>15361.5</v>
      </c>
      <c r="L484">
        <v>7546</v>
      </c>
      <c r="M484">
        <v>7815.5</v>
      </c>
      <c r="N484">
        <v>45579</v>
      </c>
      <c r="O484">
        <v>10</v>
      </c>
      <c r="P484" t="s">
        <v>55</v>
      </c>
      <c r="Q484">
        <v>2024</v>
      </c>
    </row>
    <row r="485" spans="1:17" x14ac:dyDescent="0.3">
      <c r="A485" t="s">
        <v>26</v>
      </c>
      <c r="B485" t="s">
        <v>17</v>
      </c>
      <c r="C485" t="s">
        <v>30</v>
      </c>
      <c r="D485" t="s">
        <v>140</v>
      </c>
      <c r="E485" t="s">
        <v>34</v>
      </c>
      <c r="F485">
        <v>921</v>
      </c>
      <c r="G485">
        <v>16</v>
      </c>
      <c r="H485">
        <v>36</v>
      </c>
      <c r="I485">
        <v>33156</v>
      </c>
      <c r="J485">
        <v>1657.8000000000002</v>
      </c>
      <c r="K485">
        <v>31498.2</v>
      </c>
      <c r="L485">
        <v>14736</v>
      </c>
      <c r="M485">
        <v>16762.2</v>
      </c>
      <c r="N485">
        <v>45290</v>
      </c>
      <c r="O485">
        <v>12</v>
      </c>
      <c r="P485" t="s">
        <v>77</v>
      </c>
      <c r="Q485">
        <v>2023</v>
      </c>
    </row>
    <row r="486" spans="1:17" x14ac:dyDescent="0.3">
      <c r="A486" t="s">
        <v>16</v>
      </c>
      <c r="B486" t="s">
        <v>20</v>
      </c>
      <c r="C486" t="s">
        <v>30</v>
      </c>
      <c r="D486" t="s">
        <v>114</v>
      </c>
      <c r="E486" t="s">
        <v>34</v>
      </c>
      <c r="F486">
        <v>197</v>
      </c>
      <c r="G486">
        <v>13</v>
      </c>
      <c r="H486">
        <v>38</v>
      </c>
      <c r="I486">
        <v>7486</v>
      </c>
      <c r="J486">
        <v>374.3</v>
      </c>
      <c r="K486">
        <v>7111.7</v>
      </c>
      <c r="L486">
        <v>2561</v>
      </c>
      <c r="M486">
        <v>4550.7</v>
      </c>
      <c r="N486">
        <v>45226</v>
      </c>
      <c r="O486">
        <v>10</v>
      </c>
      <c r="P486" t="s">
        <v>55</v>
      </c>
      <c r="Q486">
        <v>2023</v>
      </c>
    </row>
    <row r="487" spans="1:17" x14ac:dyDescent="0.3">
      <c r="A487" t="s">
        <v>26</v>
      </c>
      <c r="B487" t="s">
        <v>36</v>
      </c>
      <c r="C487" t="s">
        <v>31</v>
      </c>
      <c r="D487" t="s">
        <v>193</v>
      </c>
      <c r="E487" t="s">
        <v>34</v>
      </c>
      <c r="F487">
        <v>589</v>
      </c>
      <c r="G487">
        <v>16</v>
      </c>
      <c r="H487">
        <v>29</v>
      </c>
      <c r="I487">
        <v>17081</v>
      </c>
      <c r="J487">
        <v>854.05000000000007</v>
      </c>
      <c r="K487">
        <v>16226.95</v>
      </c>
      <c r="L487">
        <v>9424</v>
      </c>
      <c r="M487">
        <v>6802.9500000000007</v>
      </c>
      <c r="N487">
        <v>45045</v>
      </c>
      <c r="O487">
        <v>4</v>
      </c>
      <c r="P487" t="s">
        <v>75</v>
      </c>
      <c r="Q487">
        <v>2023</v>
      </c>
    </row>
    <row r="488" spans="1:17" x14ac:dyDescent="0.3">
      <c r="A488" t="s">
        <v>16</v>
      </c>
      <c r="B488" t="s">
        <v>17</v>
      </c>
      <c r="C488" t="s">
        <v>31</v>
      </c>
      <c r="D488" t="s">
        <v>159</v>
      </c>
      <c r="E488" t="s">
        <v>34</v>
      </c>
      <c r="F488">
        <v>907</v>
      </c>
      <c r="G488">
        <v>19</v>
      </c>
      <c r="H488">
        <v>38</v>
      </c>
      <c r="I488">
        <v>34466</v>
      </c>
      <c r="J488">
        <v>1723.3000000000002</v>
      </c>
      <c r="K488">
        <v>32742.7</v>
      </c>
      <c r="L488">
        <v>17233</v>
      </c>
      <c r="M488">
        <v>15509.7</v>
      </c>
      <c r="N488">
        <v>45053</v>
      </c>
      <c r="O488">
        <v>5</v>
      </c>
      <c r="P488" t="s">
        <v>46</v>
      </c>
      <c r="Q488">
        <v>2023</v>
      </c>
    </row>
    <row r="489" spans="1:17" x14ac:dyDescent="0.3">
      <c r="A489" t="s">
        <v>27</v>
      </c>
      <c r="B489" t="s">
        <v>36</v>
      </c>
      <c r="C489" t="s">
        <v>31</v>
      </c>
      <c r="D489" t="s">
        <v>182</v>
      </c>
      <c r="E489" t="s">
        <v>34</v>
      </c>
      <c r="F489">
        <v>187</v>
      </c>
      <c r="G489">
        <v>11</v>
      </c>
      <c r="H489">
        <v>29</v>
      </c>
      <c r="I489">
        <v>5423</v>
      </c>
      <c r="J489">
        <v>271.15000000000003</v>
      </c>
      <c r="K489">
        <v>5151.8500000000004</v>
      </c>
      <c r="L489">
        <v>2057</v>
      </c>
      <c r="M489">
        <v>3094.8500000000004</v>
      </c>
      <c r="N489">
        <v>45080</v>
      </c>
      <c r="O489">
        <v>6</v>
      </c>
      <c r="P489" t="s">
        <v>45</v>
      </c>
      <c r="Q489">
        <v>2023</v>
      </c>
    </row>
    <row r="490" spans="1:17" x14ac:dyDescent="0.3">
      <c r="A490" t="s">
        <v>25</v>
      </c>
      <c r="B490" t="s">
        <v>17</v>
      </c>
      <c r="C490" t="s">
        <v>31</v>
      </c>
      <c r="D490" t="s">
        <v>194</v>
      </c>
      <c r="E490" t="s">
        <v>34</v>
      </c>
      <c r="F490">
        <v>810</v>
      </c>
      <c r="G490">
        <v>14</v>
      </c>
      <c r="H490">
        <v>23</v>
      </c>
      <c r="I490">
        <v>18630</v>
      </c>
      <c r="J490">
        <v>931.5</v>
      </c>
      <c r="K490">
        <v>17698.5</v>
      </c>
      <c r="L490">
        <v>11340</v>
      </c>
      <c r="M490">
        <v>6358.5</v>
      </c>
      <c r="N490">
        <v>45517</v>
      </c>
      <c r="O490">
        <v>8</v>
      </c>
      <c r="P490" t="s">
        <v>62</v>
      </c>
      <c r="Q490">
        <v>2024</v>
      </c>
    </row>
    <row r="491" spans="1:17" x14ac:dyDescent="0.3">
      <c r="A491" t="s">
        <v>16</v>
      </c>
      <c r="B491" t="s">
        <v>23</v>
      </c>
      <c r="C491" t="s">
        <v>31</v>
      </c>
      <c r="D491" t="s">
        <v>157</v>
      </c>
      <c r="E491" t="s">
        <v>34</v>
      </c>
      <c r="F491">
        <v>649</v>
      </c>
      <c r="G491">
        <v>14</v>
      </c>
      <c r="H491">
        <v>32</v>
      </c>
      <c r="I491">
        <v>20768</v>
      </c>
      <c r="J491">
        <v>1038.4000000000001</v>
      </c>
      <c r="K491">
        <v>19729.599999999999</v>
      </c>
      <c r="L491">
        <v>9086</v>
      </c>
      <c r="M491">
        <v>10643.599999999999</v>
      </c>
      <c r="N491">
        <v>45711</v>
      </c>
      <c r="O491">
        <v>2</v>
      </c>
      <c r="P491" t="s">
        <v>52</v>
      </c>
      <c r="Q491">
        <v>2025</v>
      </c>
    </row>
    <row r="492" spans="1:17" x14ac:dyDescent="0.3">
      <c r="A492" t="s">
        <v>25</v>
      </c>
      <c r="B492" t="s">
        <v>20</v>
      </c>
      <c r="C492" t="s">
        <v>31</v>
      </c>
      <c r="D492" t="s">
        <v>195</v>
      </c>
      <c r="E492" t="s">
        <v>34</v>
      </c>
      <c r="F492">
        <v>198</v>
      </c>
      <c r="G492">
        <v>16</v>
      </c>
      <c r="H492">
        <v>34</v>
      </c>
      <c r="I492">
        <v>6732</v>
      </c>
      <c r="J492">
        <v>336.6</v>
      </c>
      <c r="K492">
        <v>6395.4</v>
      </c>
      <c r="L492">
        <v>3168</v>
      </c>
      <c r="M492">
        <v>3227.3999999999996</v>
      </c>
      <c r="N492">
        <v>45060</v>
      </c>
      <c r="O492">
        <v>5</v>
      </c>
      <c r="P492" t="s">
        <v>46</v>
      </c>
      <c r="Q492">
        <v>2023</v>
      </c>
    </row>
    <row r="493" spans="1:17" x14ac:dyDescent="0.3">
      <c r="A493" t="s">
        <v>16</v>
      </c>
      <c r="B493" t="s">
        <v>17</v>
      </c>
      <c r="C493" t="s">
        <v>31</v>
      </c>
      <c r="D493" t="s">
        <v>159</v>
      </c>
      <c r="E493" t="s">
        <v>34</v>
      </c>
      <c r="F493">
        <v>117</v>
      </c>
      <c r="G493">
        <v>19</v>
      </c>
      <c r="H493">
        <v>38</v>
      </c>
      <c r="I493">
        <v>4446</v>
      </c>
      <c r="J493">
        <v>222.3</v>
      </c>
      <c r="K493">
        <v>4223.7</v>
      </c>
      <c r="L493">
        <v>2223</v>
      </c>
      <c r="M493">
        <v>2000.6999999999998</v>
      </c>
      <c r="N493">
        <v>45325</v>
      </c>
      <c r="O493">
        <v>2</v>
      </c>
      <c r="P493" t="s">
        <v>52</v>
      </c>
      <c r="Q493">
        <v>2024</v>
      </c>
    </row>
    <row r="494" spans="1:17" x14ac:dyDescent="0.3">
      <c r="A494" t="s">
        <v>21</v>
      </c>
      <c r="B494" t="s">
        <v>22</v>
      </c>
      <c r="C494" t="s">
        <v>31</v>
      </c>
      <c r="D494" t="s">
        <v>120</v>
      </c>
      <c r="E494" t="s">
        <v>34</v>
      </c>
      <c r="F494">
        <v>286</v>
      </c>
      <c r="G494">
        <v>13</v>
      </c>
      <c r="H494">
        <v>37</v>
      </c>
      <c r="I494">
        <v>10582</v>
      </c>
      <c r="J494">
        <v>529.1</v>
      </c>
      <c r="K494">
        <v>10052.9</v>
      </c>
      <c r="L494">
        <v>3718</v>
      </c>
      <c r="M494">
        <v>6334.9</v>
      </c>
      <c r="N494">
        <v>45151</v>
      </c>
      <c r="O494">
        <v>8</v>
      </c>
      <c r="P494" t="s">
        <v>62</v>
      </c>
      <c r="Q494">
        <v>2023</v>
      </c>
    </row>
    <row r="495" spans="1:17" x14ac:dyDescent="0.3">
      <c r="A495" t="s">
        <v>27</v>
      </c>
      <c r="B495" t="s">
        <v>22</v>
      </c>
      <c r="C495" t="s">
        <v>31</v>
      </c>
      <c r="D495" t="s">
        <v>196</v>
      </c>
      <c r="E495" t="s">
        <v>34</v>
      </c>
      <c r="F495">
        <v>826</v>
      </c>
      <c r="G495">
        <v>20</v>
      </c>
      <c r="H495">
        <v>22</v>
      </c>
      <c r="I495">
        <v>18172</v>
      </c>
      <c r="J495">
        <v>908.6</v>
      </c>
      <c r="K495">
        <v>17263.400000000001</v>
      </c>
      <c r="L495">
        <v>16520</v>
      </c>
      <c r="M495">
        <v>743.40000000000146</v>
      </c>
      <c r="N495">
        <v>45108</v>
      </c>
      <c r="O495">
        <v>7</v>
      </c>
      <c r="P495" t="s">
        <v>48</v>
      </c>
      <c r="Q495">
        <v>2023</v>
      </c>
    </row>
    <row r="496" spans="1:17" x14ac:dyDescent="0.3">
      <c r="A496" t="s">
        <v>25</v>
      </c>
      <c r="B496" t="s">
        <v>22</v>
      </c>
      <c r="C496" t="s">
        <v>18</v>
      </c>
      <c r="D496" t="s">
        <v>100</v>
      </c>
      <c r="E496" t="s">
        <v>34</v>
      </c>
      <c r="F496">
        <v>570</v>
      </c>
      <c r="G496">
        <v>19</v>
      </c>
      <c r="H496">
        <v>20</v>
      </c>
      <c r="I496">
        <v>11400</v>
      </c>
      <c r="J496">
        <v>570</v>
      </c>
      <c r="K496">
        <v>10830</v>
      </c>
      <c r="L496">
        <v>10830</v>
      </c>
      <c r="M496">
        <v>0</v>
      </c>
      <c r="N496">
        <v>45613</v>
      </c>
      <c r="O496">
        <v>11</v>
      </c>
      <c r="P496" t="s">
        <v>43</v>
      </c>
      <c r="Q496">
        <v>2024</v>
      </c>
    </row>
    <row r="497" spans="1:17" x14ac:dyDescent="0.3">
      <c r="A497" t="s">
        <v>16</v>
      </c>
      <c r="B497" t="s">
        <v>22</v>
      </c>
      <c r="C497" t="s">
        <v>28</v>
      </c>
      <c r="D497" t="s">
        <v>93</v>
      </c>
      <c r="E497" t="s">
        <v>34</v>
      </c>
      <c r="F497">
        <v>645</v>
      </c>
      <c r="G497">
        <v>12</v>
      </c>
      <c r="H497">
        <v>27</v>
      </c>
      <c r="I497">
        <v>17415</v>
      </c>
      <c r="J497">
        <v>870.75</v>
      </c>
      <c r="K497">
        <v>16544.25</v>
      </c>
      <c r="L497">
        <v>7740</v>
      </c>
      <c r="M497">
        <v>8804.25</v>
      </c>
      <c r="N497">
        <v>45544</v>
      </c>
      <c r="O497">
        <v>9</v>
      </c>
      <c r="P497" t="s">
        <v>40</v>
      </c>
      <c r="Q497">
        <v>2024</v>
      </c>
    </row>
    <row r="498" spans="1:17" x14ac:dyDescent="0.3">
      <c r="A498" t="s">
        <v>25</v>
      </c>
      <c r="B498" t="s">
        <v>22</v>
      </c>
      <c r="C498" t="s">
        <v>28</v>
      </c>
      <c r="D498" t="s">
        <v>130</v>
      </c>
      <c r="E498" t="s">
        <v>34</v>
      </c>
      <c r="F498">
        <v>958</v>
      </c>
      <c r="G498">
        <v>18</v>
      </c>
      <c r="H498">
        <v>27</v>
      </c>
      <c r="I498">
        <v>25866</v>
      </c>
      <c r="J498">
        <v>1293.3000000000002</v>
      </c>
      <c r="K498">
        <v>24572.7</v>
      </c>
      <c r="L498">
        <v>17244</v>
      </c>
      <c r="M498">
        <v>7328.7000000000007</v>
      </c>
      <c r="N498">
        <v>45347</v>
      </c>
      <c r="O498">
        <v>2</v>
      </c>
      <c r="P498" t="s">
        <v>52</v>
      </c>
      <c r="Q498">
        <v>2024</v>
      </c>
    </row>
    <row r="499" spans="1:17" x14ac:dyDescent="0.3">
      <c r="A499" t="s">
        <v>21</v>
      </c>
      <c r="B499" t="s">
        <v>17</v>
      </c>
      <c r="C499" t="s">
        <v>29</v>
      </c>
      <c r="D499" t="s">
        <v>176</v>
      </c>
      <c r="E499" t="s">
        <v>34</v>
      </c>
      <c r="F499">
        <v>906</v>
      </c>
      <c r="G499">
        <v>14</v>
      </c>
      <c r="H499">
        <v>29</v>
      </c>
      <c r="I499">
        <v>26274</v>
      </c>
      <c r="J499">
        <v>1313.7</v>
      </c>
      <c r="K499">
        <v>24960.3</v>
      </c>
      <c r="L499">
        <v>12684</v>
      </c>
      <c r="M499">
        <v>12276.3</v>
      </c>
      <c r="N499">
        <v>45447</v>
      </c>
      <c r="O499">
        <v>6</v>
      </c>
      <c r="P499" t="s">
        <v>45</v>
      </c>
      <c r="Q499">
        <v>2024</v>
      </c>
    </row>
    <row r="500" spans="1:17" x14ac:dyDescent="0.3">
      <c r="A500" t="s">
        <v>25</v>
      </c>
      <c r="B500" t="s">
        <v>20</v>
      </c>
      <c r="C500" t="s">
        <v>29</v>
      </c>
      <c r="D500" t="s">
        <v>74</v>
      </c>
      <c r="E500" t="s">
        <v>34</v>
      </c>
      <c r="F500">
        <v>166</v>
      </c>
      <c r="G500">
        <v>13</v>
      </c>
      <c r="H500">
        <v>26</v>
      </c>
      <c r="I500">
        <v>4316</v>
      </c>
      <c r="J500">
        <v>215.8</v>
      </c>
      <c r="K500">
        <v>4100.2</v>
      </c>
      <c r="L500">
        <v>2158</v>
      </c>
      <c r="M500">
        <v>1942.1999999999998</v>
      </c>
      <c r="N500">
        <v>45533</v>
      </c>
      <c r="O500">
        <v>8</v>
      </c>
      <c r="P500" t="s">
        <v>62</v>
      </c>
      <c r="Q500">
        <v>2024</v>
      </c>
    </row>
    <row r="501" spans="1:17" x14ac:dyDescent="0.3">
      <c r="A501" t="s">
        <v>16</v>
      </c>
      <c r="B501" t="s">
        <v>36</v>
      </c>
      <c r="C501" t="s">
        <v>30</v>
      </c>
      <c r="D501" t="s">
        <v>141</v>
      </c>
      <c r="E501" t="s">
        <v>34</v>
      </c>
      <c r="F501">
        <v>983</v>
      </c>
      <c r="G501">
        <v>13</v>
      </c>
      <c r="H501">
        <v>25</v>
      </c>
      <c r="I501">
        <v>24575</v>
      </c>
      <c r="J501">
        <v>1228.75</v>
      </c>
      <c r="K501">
        <v>23346.25</v>
      </c>
      <c r="L501">
        <v>12779</v>
      </c>
      <c r="M501">
        <v>10567.25</v>
      </c>
      <c r="N501">
        <v>45136</v>
      </c>
      <c r="O501">
        <v>7</v>
      </c>
      <c r="P501" t="s">
        <v>48</v>
      </c>
      <c r="Q501">
        <v>2023</v>
      </c>
    </row>
    <row r="502" spans="1:17" x14ac:dyDescent="0.3">
      <c r="A502" t="s">
        <v>25</v>
      </c>
      <c r="B502" t="s">
        <v>23</v>
      </c>
      <c r="C502" t="s">
        <v>30</v>
      </c>
      <c r="D502" t="s">
        <v>150</v>
      </c>
      <c r="E502" t="s">
        <v>34</v>
      </c>
      <c r="F502">
        <v>195</v>
      </c>
      <c r="G502">
        <v>11</v>
      </c>
      <c r="H502">
        <v>30</v>
      </c>
      <c r="I502">
        <v>5850</v>
      </c>
      <c r="J502">
        <v>292.5</v>
      </c>
      <c r="K502">
        <v>5557.5</v>
      </c>
      <c r="L502">
        <v>2145</v>
      </c>
      <c r="M502">
        <v>3412.5</v>
      </c>
      <c r="N502">
        <v>45374</v>
      </c>
      <c r="O502">
        <v>3</v>
      </c>
      <c r="P502" t="s">
        <v>38</v>
      </c>
      <c r="Q502">
        <v>2024</v>
      </c>
    </row>
    <row r="503" spans="1:17" x14ac:dyDescent="0.3">
      <c r="A503" t="s">
        <v>21</v>
      </c>
      <c r="B503" t="s">
        <v>36</v>
      </c>
      <c r="C503" t="s">
        <v>31</v>
      </c>
      <c r="D503" t="s">
        <v>92</v>
      </c>
      <c r="E503" t="s">
        <v>34</v>
      </c>
      <c r="F503">
        <v>327</v>
      </c>
      <c r="G503">
        <v>10</v>
      </c>
      <c r="H503">
        <v>20</v>
      </c>
      <c r="I503">
        <v>6540</v>
      </c>
      <c r="J503">
        <v>327</v>
      </c>
      <c r="K503">
        <v>6213</v>
      </c>
      <c r="L503">
        <v>3270</v>
      </c>
      <c r="M503">
        <v>2943</v>
      </c>
      <c r="N503">
        <v>45363</v>
      </c>
      <c r="O503">
        <v>3</v>
      </c>
      <c r="P503" t="s">
        <v>38</v>
      </c>
      <c r="Q503">
        <v>2024</v>
      </c>
    </row>
    <row r="504" spans="1:17" x14ac:dyDescent="0.3">
      <c r="A504" t="s">
        <v>25</v>
      </c>
      <c r="B504" t="s">
        <v>20</v>
      </c>
      <c r="C504" t="s">
        <v>31</v>
      </c>
      <c r="D504" t="s">
        <v>195</v>
      </c>
      <c r="E504" t="s">
        <v>34</v>
      </c>
      <c r="F504">
        <v>464</v>
      </c>
      <c r="G504">
        <v>16</v>
      </c>
      <c r="H504">
        <v>34</v>
      </c>
      <c r="I504">
        <v>15776</v>
      </c>
      <c r="J504">
        <v>788.80000000000007</v>
      </c>
      <c r="K504">
        <v>14987.2</v>
      </c>
      <c r="L504">
        <v>7424</v>
      </c>
      <c r="M504">
        <v>7563.2000000000007</v>
      </c>
      <c r="N504">
        <v>45197</v>
      </c>
      <c r="O504">
        <v>9</v>
      </c>
      <c r="P504" t="s">
        <v>40</v>
      </c>
      <c r="Q504">
        <v>2023</v>
      </c>
    </row>
    <row r="505" spans="1:17" x14ac:dyDescent="0.3">
      <c r="A505" t="s">
        <v>25</v>
      </c>
      <c r="B505" t="s">
        <v>17</v>
      </c>
      <c r="C505" t="s">
        <v>18</v>
      </c>
      <c r="D505" t="s">
        <v>98</v>
      </c>
      <c r="E505" t="s">
        <v>34</v>
      </c>
      <c r="F505">
        <v>594</v>
      </c>
      <c r="G505">
        <v>20</v>
      </c>
      <c r="H505">
        <v>18</v>
      </c>
      <c r="I505">
        <v>10692</v>
      </c>
      <c r="J505">
        <v>534.6</v>
      </c>
      <c r="K505">
        <v>10157.4</v>
      </c>
      <c r="L505">
        <v>11880</v>
      </c>
      <c r="M505">
        <v>-1722.6000000000004</v>
      </c>
      <c r="N505">
        <v>45239</v>
      </c>
      <c r="O505">
        <v>11</v>
      </c>
      <c r="P505" t="s">
        <v>43</v>
      </c>
      <c r="Q505">
        <v>2023</v>
      </c>
    </row>
    <row r="506" spans="1:17" x14ac:dyDescent="0.3">
      <c r="A506" t="s">
        <v>16</v>
      </c>
      <c r="B506" t="s">
        <v>20</v>
      </c>
      <c r="C506" t="s">
        <v>18</v>
      </c>
      <c r="D506" t="s">
        <v>39</v>
      </c>
      <c r="E506" t="s">
        <v>34</v>
      </c>
      <c r="F506">
        <v>521</v>
      </c>
      <c r="G506">
        <v>19</v>
      </c>
      <c r="H506">
        <v>19</v>
      </c>
      <c r="I506">
        <v>9899</v>
      </c>
      <c r="J506">
        <v>494.95000000000005</v>
      </c>
      <c r="K506">
        <v>9404.0499999999993</v>
      </c>
      <c r="L506">
        <v>9899</v>
      </c>
      <c r="M506">
        <v>-494.95000000000073</v>
      </c>
      <c r="N506">
        <v>45715</v>
      </c>
      <c r="O506">
        <v>2</v>
      </c>
      <c r="P506" t="s">
        <v>52</v>
      </c>
      <c r="Q506">
        <v>2025</v>
      </c>
    </row>
    <row r="507" spans="1:17" x14ac:dyDescent="0.3">
      <c r="A507" t="s">
        <v>27</v>
      </c>
      <c r="B507" t="s">
        <v>20</v>
      </c>
      <c r="C507" t="s">
        <v>18</v>
      </c>
      <c r="D507" t="s">
        <v>122</v>
      </c>
      <c r="E507" t="s">
        <v>34</v>
      </c>
      <c r="F507">
        <v>158</v>
      </c>
      <c r="G507">
        <v>15</v>
      </c>
      <c r="H507">
        <v>33</v>
      </c>
      <c r="I507">
        <v>5214</v>
      </c>
      <c r="J507">
        <v>260.7</v>
      </c>
      <c r="K507">
        <v>4953.3</v>
      </c>
      <c r="L507">
        <v>2370</v>
      </c>
      <c r="M507">
        <v>2583.3000000000002</v>
      </c>
      <c r="N507">
        <v>45275</v>
      </c>
      <c r="O507">
        <v>12</v>
      </c>
      <c r="P507" t="s">
        <v>77</v>
      </c>
      <c r="Q507">
        <v>2023</v>
      </c>
    </row>
    <row r="508" spans="1:17" x14ac:dyDescent="0.3">
      <c r="A508" t="s">
        <v>26</v>
      </c>
      <c r="B508" t="s">
        <v>22</v>
      </c>
      <c r="C508" t="s">
        <v>18</v>
      </c>
      <c r="D508" t="s">
        <v>145</v>
      </c>
      <c r="E508" t="s">
        <v>34</v>
      </c>
      <c r="F508">
        <v>346</v>
      </c>
      <c r="G508">
        <v>10</v>
      </c>
      <c r="H508">
        <v>23</v>
      </c>
      <c r="I508">
        <v>7958</v>
      </c>
      <c r="J508">
        <v>397.90000000000003</v>
      </c>
      <c r="K508">
        <v>7560.1</v>
      </c>
      <c r="L508">
        <v>3460</v>
      </c>
      <c r="M508">
        <v>4100.1000000000004</v>
      </c>
      <c r="N508">
        <v>45180</v>
      </c>
      <c r="O508">
        <v>9</v>
      </c>
      <c r="P508" t="s">
        <v>40</v>
      </c>
      <c r="Q508">
        <v>2023</v>
      </c>
    </row>
    <row r="509" spans="1:17" x14ac:dyDescent="0.3">
      <c r="A509" t="s">
        <v>21</v>
      </c>
      <c r="B509" t="s">
        <v>17</v>
      </c>
      <c r="C509" t="s">
        <v>18</v>
      </c>
      <c r="D509" t="s">
        <v>167</v>
      </c>
      <c r="E509" t="s">
        <v>34</v>
      </c>
      <c r="F509">
        <v>407</v>
      </c>
      <c r="G509">
        <v>10</v>
      </c>
      <c r="H509">
        <v>23</v>
      </c>
      <c r="I509">
        <v>9361</v>
      </c>
      <c r="J509">
        <v>468.05</v>
      </c>
      <c r="K509">
        <v>8892.9500000000007</v>
      </c>
      <c r="L509">
        <v>4070</v>
      </c>
      <c r="M509">
        <v>4822.9500000000007</v>
      </c>
      <c r="N509">
        <v>45631</v>
      </c>
      <c r="O509">
        <v>12</v>
      </c>
      <c r="P509" t="s">
        <v>77</v>
      </c>
      <c r="Q509">
        <v>2024</v>
      </c>
    </row>
    <row r="510" spans="1:17" x14ac:dyDescent="0.3">
      <c r="A510" t="s">
        <v>16</v>
      </c>
      <c r="B510" t="s">
        <v>23</v>
      </c>
      <c r="C510" t="s">
        <v>18</v>
      </c>
      <c r="D510" t="s">
        <v>96</v>
      </c>
      <c r="E510" t="s">
        <v>34</v>
      </c>
      <c r="F510">
        <v>143</v>
      </c>
      <c r="G510">
        <v>14</v>
      </c>
      <c r="H510">
        <v>35</v>
      </c>
      <c r="I510">
        <v>5005</v>
      </c>
      <c r="J510">
        <v>250.25</v>
      </c>
      <c r="K510">
        <v>4754.75</v>
      </c>
      <c r="L510">
        <v>2002</v>
      </c>
      <c r="M510">
        <v>2752.75</v>
      </c>
      <c r="N510">
        <v>45757</v>
      </c>
      <c r="O510">
        <v>4</v>
      </c>
      <c r="P510" t="s">
        <v>75</v>
      </c>
      <c r="Q510">
        <v>2025</v>
      </c>
    </row>
    <row r="511" spans="1:17" x14ac:dyDescent="0.3">
      <c r="A511" t="s">
        <v>16</v>
      </c>
      <c r="B511" t="s">
        <v>20</v>
      </c>
      <c r="C511" t="s">
        <v>24</v>
      </c>
      <c r="D511" t="s">
        <v>57</v>
      </c>
      <c r="E511" t="s">
        <v>34</v>
      </c>
      <c r="F511">
        <v>15</v>
      </c>
      <c r="G511">
        <v>16</v>
      </c>
      <c r="H511">
        <v>31</v>
      </c>
      <c r="I511">
        <v>465</v>
      </c>
      <c r="J511">
        <v>4.6500000000000004</v>
      </c>
      <c r="K511">
        <v>460.35</v>
      </c>
      <c r="L511">
        <v>240</v>
      </c>
      <c r="M511">
        <v>220.35000000000002</v>
      </c>
      <c r="N511">
        <v>45748</v>
      </c>
      <c r="O511">
        <v>4</v>
      </c>
      <c r="P511" t="s">
        <v>75</v>
      </c>
      <c r="Q511">
        <v>2025</v>
      </c>
    </row>
    <row r="512" spans="1:17" x14ac:dyDescent="0.3">
      <c r="A512" t="s">
        <v>16</v>
      </c>
      <c r="B512" t="s">
        <v>20</v>
      </c>
      <c r="C512" t="s">
        <v>24</v>
      </c>
      <c r="D512" t="s">
        <v>57</v>
      </c>
      <c r="E512" t="s">
        <v>34</v>
      </c>
      <c r="F512">
        <v>789</v>
      </c>
      <c r="G512">
        <v>16</v>
      </c>
      <c r="H512">
        <v>31</v>
      </c>
      <c r="I512">
        <v>24459</v>
      </c>
      <c r="J512">
        <v>1222.95</v>
      </c>
      <c r="K512">
        <v>23236.05</v>
      </c>
      <c r="L512">
        <v>12624</v>
      </c>
      <c r="M512">
        <v>10612.05</v>
      </c>
      <c r="N512">
        <v>45615</v>
      </c>
      <c r="O512">
        <v>11</v>
      </c>
      <c r="P512" t="s">
        <v>43</v>
      </c>
      <c r="Q512">
        <v>2024</v>
      </c>
    </row>
    <row r="513" spans="1:17" x14ac:dyDescent="0.3">
      <c r="A513" t="s">
        <v>21</v>
      </c>
      <c r="B513" t="s">
        <v>23</v>
      </c>
      <c r="C513" t="s">
        <v>24</v>
      </c>
      <c r="D513" t="s">
        <v>53</v>
      </c>
      <c r="E513" t="s">
        <v>34</v>
      </c>
      <c r="F513">
        <v>879</v>
      </c>
      <c r="G513">
        <v>16</v>
      </c>
      <c r="H513">
        <v>18</v>
      </c>
      <c r="I513">
        <v>15822</v>
      </c>
      <c r="J513">
        <v>791.1</v>
      </c>
      <c r="K513">
        <v>15030.9</v>
      </c>
      <c r="L513">
        <v>14064</v>
      </c>
      <c r="M513">
        <v>966.89999999999964</v>
      </c>
      <c r="N513">
        <v>45310</v>
      </c>
      <c r="O513">
        <v>1</v>
      </c>
      <c r="P513" t="s">
        <v>58</v>
      </c>
      <c r="Q513">
        <v>2024</v>
      </c>
    </row>
    <row r="514" spans="1:17" x14ac:dyDescent="0.3">
      <c r="A514" t="s">
        <v>27</v>
      </c>
      <c r="B514" t="s">
        <v>17</v>
      </c>
      <c r="C514" t="s">
        <v>28</v>
      </c>
      <c r="D514" t="s">
        <v>131</v>
      </c>
      <c r="E514" t="s">
        <v>34</v>
      </c>
      <c r="F514">
        <v>874</v>
      </c>
      <c r="G514">
        <v>10</v>
      </c>
      <c r="H514">
        <v>23</v>
      </c>
      <c r="I514">
        <v>20102</v>
      </c>
      <c r="J514">
        <v>1005.1</v>
      </c>
      <c r="K514">
        <v>19096.900000000001</v>
      </c>
      <c r="L514">
        <v>8740</v>
      </c>
      <c r="M514">
        <v>10356.900000000001</v>
      </c>
      <c r="N514">
        <v>45422</v>
      </c>
      <c r="O514">
        <v>5</v>
      </c>
      <c r="P514" t="s">
        <v>46</v>
      </c>
      <c r="Q514">
        <v>2024</v>
      </c>
    </row>
    <row r="515" spans="1:17" x14ac:dyDescent="0.3">
      <c r="A515" t="s">
        <v>16</v>
      </c>
      <c r="B515" t="s">
        <v>23</v>
      </c>
      <c r="C515" t="s">
        <v>28</v>
      </c>
      <c r="D515" t="s">
        <v>66</v>
      </c>
      <c r="E515" t="s">
        <v>34</v>
      </c>
      <c r="F515">
        <v>16</v>
      </c>
      <c r="G515">
        <v>11</v>
      </c>
      <c r="H515">
        <v>21</v>
      </c>
      <c r="I515">
        <v>336</v>
      </c>
      <c r="J515">
        <v>3.36</v>
      </c>
      <c r="K515">
        <v>332.64</v>
      </c>
      <c r="L515">
        <v>176</v>
      </c>
      <c r="M515">
        <v>156.63999999999999</v>
      </c>
      <c r="N515">
        <v>45752</v>
      </c>
      <c r="O515">
        <v>4</v>
      </c>
      <c r="P515" t="s">
        <v>75</v>
      </c>
      <c r="Q515">
        <v>2025</v>
      </c>
    </row>
    <row r="516" spans="1:17" x14ac:dyDescent="0.3">
      <c r="A516" t="s">
        <v>16</v>
      </c>
      <c r="B516" t="s">
        <v>17</v>
      </c>
      <c r="C516" t="s">
        <v>28</v>
      </c>
      <c r="D516" t="s">
        <v>60</v>
      </c>
      <c r="E516" t="s">
        <v>34</v>
      </c>
      <c r="F516">
        <v>367</v>
      </c>
      <c r="G516">
        <v>17</v>
      </c>
      <c r="H516">
        <v>38</v>
      </c>
      <c r="I516">
        <v>13946</v>
      </c>
      <c r="J516">
        <v>697.30000000000007</v>
      </c>
      <c r="K516">
        <v>13248.7</v>
      </c>
      <c r="L516">
        <v>6239</v>
      </c>
      <c r="M516">
        <v>7009.7000000000007</v>
      </c>
      <c r="N516">
        <v>45112</v>
      </c>
      <c r="O516">
        <v>7</v>
      </c>
      <c r="P516" t="s">
        <v>48</v>
      </c>
      <c r="Q516">
        <v>2023</v>
      </c>
    </row>
    <row r="517" spans="1:17" x14ac:dyDescent="0.3">
      <c r="A517" t="s">
        <v>25</v>
      </c>
      <c r="B517" t="s">
        <v>17</v>
      </c>
      <c r="C517" t="s">
        <v>28</v>
      </c>
      <c r="D517" t="s">
        <v>63</v>
      </c>
      <c r="E517" t="s">
        <v>34</v>
      </c>
      <c r="F517">
        <v>603</v>
      </c>
      <c r="G517">
        <v>11</v>
      </c>
      <c r="H517">
        <v>21</v>
      </c>
      <c r="I517">
        <v>12663</v>
      </c>
      <c r="J517">
        <v>633.15000000000009</v>
      </c>
      <c r="K517">
        <v>12029.85</v>
      </c>
      <c r="L517">
        <v>6633</v>
      </c>
      <c r="M517">
        <v>5396.85</v>
      </c>
      <c r="N517">
        <v>45693</v>
      </c>
      <c r="O517">
        <v>2</v>
      </c>
      <c r="P517" t="s">
        <v>52</v>
      </c>
      <c r="Q517">
        <v>2025</v>
      </c>
    </row>
    <row r="518" spans="1:17" x14ac:dyDescent="0.3">
      <c r="A518" t="s">
        <v>25</v>
      </c>
      <c r="B518" t="s">
        <v>22</v>
      </c>
      <c r="C518" t="s">
        <v>28</v>
      </c>
      <c r="D518" t="s">
        <v>130</v>
      </c>
      <c r="E518" t="s">
        <v>34</v>
      </c>
      <c r="F518">
        <v>784</v>
      </c>
      <c r="G518">
        <v>18</v>
      </c>
      <c r="H518">
        <v>27</v>
      </c>
      <c r="I518">
        <v>21168</v>
      </c>
      <c r="J518">
        <v>1058.4000000000001</v>
      </c>
      <c r="K518">
        <v>20109.599999999999</v>
      </c>
      <c r="L518">
        <v>14112</v>
      </c>
      <c r="M518">
        <v>5997.5999999999985</v>
      </c>
      <c r="N518">
        <v>45372</v>
      </c>
      <c r="O518">
        <v>3</v>
      </c>
      <c r="P518" t="s">
        <v>38</v>
      </c>
      <c r="Q518">
        <v>2024</v>
      </c>
    </row>
    <row r="519" spans="1:17" x14ac:dyDescent="0.3">
      <c r="A519" t="s">
        <v>16</v>
      </c>
      <c r="B519" t="s">
        <v>17</v>
      </c>
      <c r="C519" t="s">
        <v>28</v>
      </c>
      <c r="D519" t="s">
        <v>60</v>
      </c>
      <c r="E519" t="s">
        <v>34</v>
      </c>
      <c r="F519">
        <v>452</v>
      </c>
      <c r="G519">
        <v>17</v>
      </c>
      <c r="H519">
        <v>38</v>
      </c>
      <c r="I519">
        <v>17176</v>
      </c>
      <c r="J519">
        <v>858.80000000000007</v>
      </c>
      <c r="K519">
        <v>16317.2</v>
      </c>
      <c r="L519">
        <v>7684</v>
      </c>
      <c r="M519">
        <v>8633.2000000000007</v>
      </c>
      <c r="N519">
        <v>45396</v>
      </c>
      <c r="O519">
        <v>4</v>
      </c>
      <c r="P519" t="s">
        <v>75</v>
      </c>
      <c r="Q519">
        <v>2024</v>
      </c>
    </row>
    <row r="520" spans="1:17" x14ac:dyDescent="0.3">
      <c r="A520" t="s">
        <v>21</v>
      </c>
      <c r="B520" t="s">
        <v>23</v>
      </c>
      <c r="C520" t="s">
        <v>28</v>
      </c>
      <c r="D520" t="s">
        <v>61</v>
      </c>
      <c r="E520" t="s">
        <v>34</v>
      </c>
      <c r="F520">
        <v>166</v>
      </c>
      <c r="G520">
        <v>13</v>
      </c>
      <c r="H520">
        <v>33</v>
      </c>
      <c r="I520">
        <v>5478</v>
      </c>
      <c r="J520">
        <v>273.90000000000003</v>
      </c>
      <c r="K520">
        <v>5204.1000000000004</v>
      </c>
      <c r="L520">
        <v>2158</v>
      </c>
      <c r="M520">
        <v>3046.1000000000004</v>
      </c>
      <c r="N520">
        <v>45433</v>
      </c>
      <c r="O520">
        <v>5</v>
      </c>
      <c r="P520" t="s">
        <v>46</v>
      </c>
      <c r="Q520">
        <v>2024</v>
      </c>
    </row>
    <row r="521" spans="1:17" x14ac:dyDescent="0.3">
      <c r="A521" t="s">
        <v>26</v>
      </c>
      <c r="B521" t="s">
        <v>22</v>
      </c>
      <c r="C521" t="s">
        <v>28</v>
      </c>
      <c r="D521" t="s">
        <v>109</v>
      </c>
      <c r="E521" t="s">
        <v>34</v>
      </c>
      <c r="F521">
        <v>785</v>
      </c>
      <c r="G521">
        <v>20</v>
      </c>
      <c r="H521">
        <v>21</v>
      </c>
      <c r="I521">
        <v>16485</v>
      </c>
      <c r="J521">
        <v>824.25</v>
      </c>
      <c r="K521">
        <v>15660.75</v>
      </c>
      <c r="L521">
        <v>15700</v>
      </c>
      <c r="M521">
        <v>-39.25</v>
      </c>
      <c r="N521">
        <v>45569</v>
      </c>
      <c r="O521">
        <v>10</v>
      </c>
      <c r="P521" t="s">
        <v>55</v>
      </c>
      <c r="Q521">
        <v>2024</v>
      </c>
    </row>
    <row r="522" spans="1:17" x14ac:dyDescent="0.3">
      <c r="A522" t="s">
        <v>16</v>
      </c>
      <c r="B522" t="s">
        <v>20</v>
      </c>
      <c r="C522" t="s">
        <v>28</v>
      </c>
      <c r="D522" t="s">
        <v>64</v>
      </c>
      <c r="E522" t="s">
        <v>34</v>
      </c>
      <c r="F522">
        <v>687</v>
      </c>
      <c r="G522">
        <v>14</v>
      </c>
      <c r="H522">
        <v>22</v>
      </c>
      <c r="I522">
        <v>15114</v>
      </c>
      <c r="J522">
        <v>755.7</v>
      </c>
      <c r="K522">
        <v>14358.3</v>
      </c>
      <c r="L522">
        <v>9618</v>
      </c>
      <c r="M522">
        <v>4740.2999999999993</v>
      </c>
      <c r="N522">
        <v>45030</v>
      </c>
      <c r="O522">
        <v>4</v>
      </c>
      <c r="P522" t="s">
        <v>75</v>
      </c>
      <c r="Q522">
        <v>2023</v>
      </c>
    </row>
    <row r="523" spans="1:17" x14ac:dyDescent="0.3">
      <c r="A523" t="s">
        <v>27</v>
      </c>
      <c r="B523" t="s">
        <v>17</v>
      </c>
      <c r="C523" t="s">
        <v>28</v>
      </c>
      <c r="D523" t="s">
        <v>131</v>
      </c>
      <c r="E523" t="s">
        <v>34</v>
      </c>
      <c r="F523">
        <v>328</v>
      </c>
      <c r="G523">
        <v>10</v>
      </c>
      <c r="H523">
        <v>23</v>
      </c>
      <c r="I523">
        <v>7544</v>
      </c>
      <c r="J523">
        <v>377.20000000000005</v>
      </c>
      <c r="K523">
        <v>7166.8</v>
      </c>
      <c r="L523">
        <v>3280</v>
      </c>
      <c r="M523">
        <v>3886.8</v>
      </c>
      <c r="N523">
        <v>45274</v>
      </c>
      <c r="O523">
        <v>12</v>
      </c>
      <c r="P523" t="s">
        <v>77</v>
      </c>
      <c r="Q523">
        <v>2023</v>
      </c>
    </row>
    <row r="524" spans="1:17" x14ac:dyDescent="0.3">
      <c r="A524" t="s">
        <v>16</v>
      </c>
      <c r="B524" t="s">
        <v>22</v>
      </c>
      <c r="C524" t="s">
        <v>29</v>
      </c>
      <c r="D524" t="s">
        <v>94</v>
      </c>
      <c r="E524" t="s">
        <v>34</v>
      </c>
      <c r="F524">
        <v>274</v>
      </c>
      <c r="G524">
        <v>19</v>
      </c>
      <c r="H524">
        <v>22</v>
      </c>
      <c r="I524">
        <v>6028</v>
      </c>
      <c r="J524">
        <v>301.40000000000003</v>
      </c>
      <c r="K524">
        <v>5726.6</v>
      </c>
      <c r="L524">
        <v>5206</v>
      </c>
      <c r="M524">
        <v>520.60000000000036</v>
      </c>
      <c r="N524">
        <v>45529</v>
      </c>
      <c r="O524">
        <v>8</v>
      </c>
      <c r="P524" t="s">
        <v>62</v>
      </c>
      <c r="Q524">
        <v>2024</v>
      </c>
    </row>
    <row r="525" spans="1:17" x14ac:dyDescent="0.3">
      <c r="A525" t="s">
        <v>21</v>
      </c>
      <c r="B525" t="s">
        <v>23</v>
      </c>
      <c r="C525" t="s">
        <v>29</v>
      </c>
      <c r="D525" t="s">
        <v>165</v>
      </c>
      <c r="E525" t="s">
        <v>34</v>
      </c>
      <c r="F525">
        <v>465</v>
      </c>
      <c r="G525">
        <v>12</v>
      </c>
      <c r="H525">
        <v>21</v>
      </c>
      <c r="I525">
        <v>9765</v>
      </c>
      <c r="J525">
        <v>488.25</v>
      </c>
      <c r="K525">
        <v>9276.75</v>
      </c>
      <c r="L525">
        <v>5580</v>
      </c>
      <c r="M525">
        <v>3696.75</v>
      </c>
      <c r="N525">
        <v>45171</v>
      </c>
      <c r="O525">
        <v>9</v>
      </c>
      <c r="P525" t="s">
        <v>40</v>
      </c>
      <c r="Q525">
        <v>2023</v>
      </c>
    </row>
    <row r="526" spans="1:17" x14ac:dyDescent="0.3">
      <c r="A526" t="s">
        <v>16</v>
      </c>
      <c r="B526" t="s">
        <v>23</v>
      </c>
      <c r="C526" t="s">
        <v>29</v>
      </c>
      <c r="D526" t="s">
        <v>72</v>
      </c>
      <c r="E526" t="s">
        <v>34</v>
      </c>
      <c r="F526">
        <v>335</v>
      </c>
      <c r="G526">
        <v>18</v>
      </c>
      <c r="H526">
        <v>33</v>
      </c>
      <c r="I526">
        <v>11055</v>
      </c>
      <c r="J526">
        <v>552.75</v>
      </c>
      <c r="K526">
        <v>10502.25</v>
      </c>
      <c r="L526">
        <v>6030</v>
      </c>
      <c r="M526">
        <v>4472.25</v>
      </c>
      <c r="N526">
        <v>45045</v>
      </c>
      <c r="O526">
        <v>4</v>
      </c>
      <c r="P526" t="s">
        <v>75</v>
      </c>
      <c r="Q526">
        <v>2023</v>
      </c>
    </row>
    <row r="527" spans="1:17" x14ac:dyDescent="0.3">
      <c r="A527" t="s">
        <v>16</v>
      </c>
      <c r="B527" t="s">
        <v>17</v>
      </c>
      <c r="C527" t="s">
        <v>29</v>
      </c>
      <c r="D527" t="s">
        <v>113</v>
      </c>
      <c r="E527" t="s">
        <v>34</v>
      </c>
      <c r="F527">
        <v>910</v>
      </c>
      <c r="G527">
        <v>18</v>
      </c>
      <c r="H527">
        <v>23</v>
      </c>
      <c r="I527">
        <v>20930</v>
      </c>
      <c r="J527">
        <v>1046.5</v>
      </c>
      <c r="K527">
        <v>19883.5</v>
      </c>
      <c r="L527">
        <v>16380</v>
      </c>
      <c r="M527">
        <v>3503.5</v>
      </c>
      <c r="N527">
        <v>45151</v>
      </c>
      <c r="O527">
        <v>8</v>
      </c>
      <c r="P527" t="s">
        <v>62</v>
      </c>
      <c r="Q527">
        <v>2023</v>
      </c>
    </row>
    <row r="528" spans="1:17" x14ac:dyDescent="0.3">
      <c r="A528" t="s">
        <v>25</v>
      </c>
      <c r="B528" t="s">
        <v>22</v>
      </c>
      <c r="C528" t="s">
        <v>30</v>
      </c>
      <c r="D528" t="s">
        <v>155</v>
      </c>
      <c r="E528" t="s">
        <v>34</v>
      </c>
      <c r="F528">
        <v>162</v>
      </c>
      <c r="G528">
        <v>15</v>
      </c>
      <c r="H528">
        <v>36</v>
      </c>
      <c r="I528">
        <v>5832</v>
      </c>
      <c r="J528">
        <v>291.60000000000002</v>
      </c>
      <c r="K528">
        <v>5540.4</v>
      </c>
      <c r="L528">
        <v>2430</v>
      </c>
      <c r="M528">
        <v>3110.3999999999996</v>
      </c>
      <c r="N528">
        <v>45490</v>
      </c>
      <c r="O528">
        <v>7</v>
      </c>
      <c r="P528" t="s">
        <v>48</v>
      </c>
      <c r="Q528">
        <v>2024</v>
      </c>
    </row>
    <row r="529" spans="1:17" x14ac:dyDescent="0.3">
      <c r="A529" t="s">
        <v>26</v>
      </c>
      <c r="B529" t="s">
        <v>23</v>
      </c>
      <c r="C529" t="s">
        <v>30</v>
      </c>
      <c r="D529" t="s">
        <v>139</v>
      </c>
      <c r="E529" t="s">
        <v>34</v>
      </c>
      <c r="F529">
        <v>247</v>
      </c>
      <c r="G529">
        <v>11</v>
      </c>
      <c r="H529">
        <v>22</v>
      </c>
      <c r="I529">
        <v>5434</v>
      </c>
      <c r="J529">
        <v>271.7</v>
      </c>
      <c r="K529">
        <v>5162.3</v>
      </c>
      <c r="L529">
        <v>2717</v>
      </c>
      <c r="M529">
        <v>2445.3000000000002</v>
      </c>
      <c r="N529">
        <v>45414</v>
      </c>
      <c r="O529">
        <v>5</v>
      </c>
      <c r="P529" t="s">
        <v>46</v>
      </c>
      <c r="Q529">
        <v>2024</v>
      </c>
    </row>
    <row r="530" spans="1:17" x14ac:dyDescent="0.3">
      <c r="A530" t="s">
        <v>16</v>
      </c>
      <c r="B530" t="s">
        <v>17</v>
      </c>
      <c r="C530" t="s">
        <v>30</v>
      </c>
      <c r="D530" t="s">
        <v>86</v>
      </c>
      <c r="E530" t="s">
        <v>34</v>
      </c>
      <c r="F530">
        <v>331</v>
      </c>
      <c r="G530">
        <v>15</v>
      </c>
      <c r="H530">
        <v>36</v>
      </c>
      <c r="I530">
        <v>11916</v>
      </c>
      <c r="J530">
        <v>595.80000000000007</v>
      </c>
      <c r="K530">
        <v>11320.2</v>
      </c>
      <c r="L530">
        <v>4965</v>
      </c>
      <c r="M530">
        <v>6355.2000000000007</v>
      </c>
      <c r="N530">
        <v>45471</v>
      </c>
      <c r="O530">
        <v>6</v>
      </c>
      <c r="P530" t="s">
        <v>45</v>
      </c>
      <c r="Q530">
        <v>2024</v>
      </c>
    </row>
    <row r="531" spans="1:17" x14ac:dyDescent="0.3">
      <c r="A531" t="s">
        <v>26</v>
      </c>
      <c r="B531" t="s">
        <v>20</v>
      </c>
      <c r="C531" t="s">
        <v>31</v>
      </c>
      <c r="D531" t="s">
        <v>89</v>
      </c>
      <c r="E531" t="s">
        <v>34</v>
      </c>
      <c r="F531">
        <v>58</v>
      </c>
      <c r="G531">
        <v>10</v>
      </c>
      <c r="H531">
        <v>19</v>
      </c>
      <c r="I531">
        <v>1102</v>
      </c>
      <c r="J531">
        <v>55.1</v>
      </c>
      <c r="K531">
        <v>1046.9000000000001</v>
      </c>
      <c r="L531">
        <v>580</v>
      </c>
      <c r="M531">
        <v>466.90000000000009</v>
      </c>
      <c r="N531">
        <v>45417</v>
      </c>
      <c r="O531">
        <v>5</v>
      </c>
      <c r="P531" t="s">
        <v>46</v>
      </c>
      <c r="Q531">
        <v>2024</v>
      </c>
    </row>
    <row r="532" spans="1:17" x14ac:dyDescent="0.3">
      <c r="A532" t="s">
        <v>16</v>
      </c>
      <c r="B532" t="s">
        <v>23</v>
      </c>
      <c r="C532" t="s">
        <v>31</v>
      </c>
      <c r="D532" t="s">
        <v>157</v>
      </c>
      <c r="E532" t="s">
        <v>34</v>
      </c>
      <c r="F532">
        <v>589</v>
      </c>
      <c r="G532">
        <v>14</v>
      </c>
      <c r="H532">
        <v>32</v>
      </c>
      <c r="I532">
        <v>18848</v>
      </c>
      <c r="J532">
        <v>942.40000000000009</v>
      </c>
      <c r="K532">
        <v>17905.599999999999</v>
      </c>
      <c r="L532">
        <v>8246</v>
      </c>
      <c r="M532">
        <v>9659.5999999999985</v>
      </c>
      <c r="N532">
        <v>45551</v>
      </c>
      <c r="O532">
        <v>9</v>
      </c>
      <c r="P532" t="s">
        <v>40</v>
      </c>
      <c r="Q532">
        <v>2024</v>
      </c>
    </row>
    <row r="533" spans="1:17" x14ac:dyDescent="0.3">
      <c r="A533" t="s">
        <v>26</v>
      </c>
      <c r="B533" t="s">
        <v>22</v>
      </c>
      <c r="C533" t="s">
        <v>31</v>
      </c>
      <c r="D533" t="s">
        <v>174</v>
      </c>
      <c r="E533" t="s">
        <v>34</v>
      </c>
      <c r="F533">
        <v>873</v>
      </c>
      <c r="G533">
        <v>20</v>
      </c>
      <c r="H533">
        <v>29</v>
      </c>
      <c r="I533">
        <v>25317</v>
      </c>
      <c r="J533">
        <v>1265.8500000000001</v>
      </c>
      <c r="K533">
        <v>24051.15</v>
      </c>
      <c r="L533">
        <v>17460</v>
      </c>
      <c r="M533">
        <v>6591.1500000000015</v>
      </c>
      <c r="N533">
        <v>45613</v>
      </c>
      <c r="O533">
        <v>11</v>
      </c>
      <c r="P533" t="s">
        <v>43</v>
      </c>
      <c r="Q533">
        <v>2024</v>
      </c>
    </row>
    <row r="534" spans="1:17" x14ac:dyDescent="0.3">
      <c r="A534" t="s">
        <v>26</v>
      </c>
      <c r="B534" t="s">
        <v>23</v>
      </c>
      <c r="C534" t="s">
        <v>31</v>
      </c>
      <c r="D534" t="s">
        <v>158</v>
      </c>
      <c r="E534" t="s">
        <v>34</v>
      </c>
      <c r="F534">
        <v>812</v>
      </c>
      <c r="G534">
        <v>20</v>
      </c>
      <c r="H534">
        <v>35</v>
      </c>
      <c r="I534">
        <v>28420</v>
      </c>
      <c r="J534">
        <v>1421</v>
      </c>
      <c r="K534">
        <v>26999</v>
      </c>
      <c r="L534">
        <v>16240</v>
      </c>
      <c r="M534">
        <v>10759</v>
      </c>
      <c r="N534">
        <v>45718</v>
      </c>
      <c r="O534">
        <v>3</v>
      </c>
      <c r="P534" t="s">
        <v>38</v>
      </c>
      <c r="Q534">
        <v>2025</v>
      </c>
    </row>
    <row r="535" spans="1:17" x14ac:dyDescent="0.3">
      <c r="A535" t="s">
        <v>16</v>
      </c>
      <c r="B535" t="s">
        <v>23</v>
      </c>
      <c r="C535" t="s">
        <v>31</v>
      </c>
      <c r="D535" t="s">
        <v>157</v>
      </c>
      <c r="E535" t="s">
        <v>34</v>
      </c>
      <c r="F535">
        <v>669</v>
      </c>
      <c r="G535">
        <v>14</v>
      </c>
      <c r="H535">
        <v>32</v>
      </c>
      <c r="I535">
        <v>21408</v>
      </c>
      <c r="J535">
        <v>1070.4000000000001</v>
      </c>
      <c r="K535">
        <v>20337.599999999999</v>
      </c>
      <c r="L535">
        <v>9366</v>
      </c>
      <c r="M535">
        <v>10971.599999999999</v>
      </c>
      <c r="N535">
        <v>45424</v>
      </c>
      <c r="O535">
        <v>5</v>
      </c>
      <c r="P535" t="s">
        <v>46</v>
      </c>
      <c r="Q535">
        <v>2024</v>
      </c>
    </row>
    <row r="536" spans="1:17" x14ac:dyDescent="0.3">
      <c r="A536" t="s">
        <v>21</v>
      </c>
      <c r="B536" t="s">
        <v>23</v>
      </c>
      <c r="C536" t="s">
        <v>31</v>
      </c>
      <c r="D536" t="s">
        <v>197</v>
      </c>
      <c r="E536" t="s">
        <v>34</v>
      </c>
      <c r="F536">
        <v>982</v>
      </c>
      <c r="G536">
        <v>16</v>
      </c>
      <c r="H536">
        <v>35</v>
      </c>
      <c r="I536">
        <v>34370</v>
      </c>
      <c r="J536">
        <v>1718.5</v>
      </c>
      <c r="K536">
        <v>32651.5</v>
      </c>
      <c r="L536">
        <v>15712</v>
      </c>
      <c r="M536">
        <v>16939.5</v>
      </c>
      <c r="N536">
        <v>45442</v>
      </c>
      <c r="O536">
        <v>5</v>
      </c>
      <c r="P536" t="s">
        <v>46</v>
      </c>
      <c r="Q536">
        <v>2024</v>
      </c>
    </row>
    <row r="537" spans="1:17" x14ac:dyDescent="0.3">
      <c r="A537" t="s">
        <v>16</v>
      </c>
      <c r="B537" t="s">
        <v>36</v>
      </c>
      <c r="C537" t="s">
        <v>28</v>
      </c>
      <c r="D537" t="s">
        <v>69</v>
      </c>
      <c r="E537" t="s">
        <v>34</v>
      </c>
      <c r="F537">
        <v>742</v>
      </c>
      <c r="G537">
        <v>20</v>
      </c>
      <c r="H537">
        <v>25</v>
      </c>
      <c r="I537">
        <v>18550</v>
      </c>
      <c r="J537">
        <v>927.5</v>
      </c>
      <c r="K537">
        <v>17622.5</v>
      </c>
      <c r="L537">
        <v>14840</v>
      </c>
      <c r="M537">
        <v>2782.5</v>
      </c>
      <c r="N537">
        <v>45551</v>
      </c>
      <c r="O537">
        <v>9</v>
      </c>
      <c r="P537" t="s">
        <v>40</v>
      </c>
      <c r="Q537">
        <v>2024</v>
      </c>
    </row>
    <row r="538" spans="1:17" x14ac:dyDescent="0.3">
      <c r="A538" t="s">
        <v>16</v>
      </c>
      <c r="B538" t="s">
        <v>23</v>
      </c>
      <c r="C538" t="s">
        <v>18</v>
      </c>
      <c r="D538" t="s">
        <v>96</v>
      </c>
      <c r="E538" t="s">
        <v>34</v>
      </c>
      <c r="F538">
        <v>969</v>
      </c>
      <c r="G538">
        <v>14</v>
      </c>
      <c r="H538">
        <v>35</v>
      </c>
      <c r="I538">
        <v>33915</v>
      </c>
      <c r="J538">
        <v>1695.75</v>
      </c>
      <c r="K538">
        <v>32219.25</v>
      </c>
      <c r="L538">
        <v>13566</v>
      </c>
      <c r="M538">
        <v>18653.25</v>
      </c>
      <c r="N538">
        <v>45079</v>
      </c>
      <c r="O538">
        <v>6</v>
      </c>
      <c r="P538" t="s">
        <v>45</v>
      </c>
      <c r="Q538">
        <v>2023</v>
      </c>
    </row>
    <row r="539" spans="1:17" x14ac:dyDescent="0.3">
      <c r="A539" t="s">
        <v>26</v>
      </c>
      <c r="B539" t="s">
        <v>17</v>
      </c>
      <c r="C539" t="s">
        <v>18</v>
      </c>
      <c r="D539" t="s">
        <v>121</v>
      </c>
      <c r="E539" t="s">
        <v>34</v>
      </c>
      <c r="F539">
        <v>293</v>
      </c>
      <c r="G539">
        <v>20</v>
      </c>
      <c r="H539">
        <v>24</v>
      </c>
      <c r="I539">
        <v>7032</v>
      </c>
      <c r="J539">
        <v>351.6</v>
      </c>
      <c r="K539">
        <v>6680.4</v>
      </c>
      <c r="L539">
        <v>5860</v>
      </c>
      <c r="M539">
        <v>820.39999999999964</v>
      </c>
      <c r="N539">
        <v>45483</v>
      </c>
      <c r="O539">
        <v>7</v>
      </c>
      <c r="P539" t="s">
        <v>48</v>
      </c>
      <c r="Q539">
        <v>2024</v>
      </c>
    </row>
    <row r="540" spans="1:17" x14ac:dyDescent="0.3">
      <c r="A540" t="s">
        <v>26</v>
      </c>
      <c r="B540" t="s">
        <v>23</v>
      </c>
      <c r="C540" t="s">
        <v>18</v>
      </c>
      <c r="D540" t="s">
        <v>183</v>
      </c>
      <c r="E540" t="s">
        <v>34</v>
      </c>
      <c r="F540">
        <v>288</v>
      </c>
      <c r="G540">
        <v>12</v>
      </c>
      <c r="H540">
        <v>26</v>
      </c>
      <c r="I540">
        <v>7488</v>
      </c>
      <c r="J540">
        <v>374.40000000000003</v>
      </c>
      <c r="K540">
        <v>7113.6</v>
      </c>
      <c r="L540">
        <v>3456</v>
      </c>
      <c r="M540">
        <v>3657.6000000000004</v>
      </c>
      <c r="N540">
        <v>45445</v>
      </c>
      <c r="O540">
        <v>6</v>
      </c>
      <c r="P540" t="s">
        <v>45</v>
      </c>
      <c r="Q540">
        <v>2024</v>
      </c>
    </row>
    <row r="541" spans="1:17" x14ac:dyDescent="0.3">
      <c r="A541" t="s">
        <v>21</v>
      </c>
      <c r="B541" t="s">
        <v>17</v>
      </c>
      <c r="C541" t="s">
        <v>18</v>
      </c>
      <c r="D541" t="s">
        <v>167</v>
      </c>
      <c r="E541" t="s">
        <v>34</v>
      </c>
      <c r="F541">
        <v>868</v>
      </c>
      <c r="G541">
        <v>10</v>
      </c>
      <c r="H541">
        <v>23</v>
      </c>
      <c r="I541">
        <v>19964</v>
      </c>
      <c r="J541">
        <v>998.2</v>
      </c>
      <c r="K541">
        <v>18965.8</v>
      </c>
      <c r="L541">
        <v>8680</v>
      </c>
      <c r="M541">
        <v>10285.799999999999</v>
      </c>
      <c r="N541">
        <v>45563</v>
      </c>
      <c r="O541">
        <v>9</v>
      </c>
      <c r="P541" t="s">
        <v>40</v>
      </c>
      <c r="Q541">
        <v>2024</v>
      </c>
    </row>
    <row r="542" spans="1:17" x14ac:dyDescent="0.3">
      <c r="A542" t="s">
        <v>21</v>
      </c>
      <c r="B542" t="s">
        <v>36</v>
      </c>
      <c r="C542" t="s">
        <v>24</v>
      </c>
      <c r="D542" t="s">
        <v>59</v>
      </c>
      <c r="E542" t="s">
        <v>34</v>
      </c>
      <c r="F542">
        <v>776</v>
      </c>
      <c r="G542">
        <v>10</v>
      </c>
      <c r="H542">
        <v>19</v>
      </c>
      <c r="I542">
        <v>14744</v>
      </c>
      <c r="J542">
        <v>737.2</v>
      </c>
      <c r="K542">
        <v>14006.8</v>
      </c>
      <c r="L542">
        <v>7760</v>
      </c>
      <c r="M542">
        <v>6246.7999999999993</v>
      </c>
      <c r="N542">
        <v>45583</v>
      </c>
      <c r="O542">
        <v>10</v>
      </c>
      <c r="P542" t="s">
        <v>55</v>
      </c>
      <c r="Q542">
        <v>2024</v>
      </c>
    </row>
    <row r="543" spans="1:17" x14ac:dyDescent="0.3">
      <c r="A543" t="s">
        <v>27</v>
      </c>
      <c r="B543" t="s">
        <v>22</v>
      </c>
      <c r="C543" t="s">
        <v>24</v>
      </c>
      <c r="D543" t="s">
        <v>178</v>
      </c>
      <c r="E543" t="s">
        <v>34</v>
      </c>
      <c r="F543">
        <v>401</v>
      </c>
      <c r="G543">
        <v>15</v>
      </c>
      <c r="H543">
        <v>36</v>
      </c>
      <c r="I543">
        <v>14436</v>
      </c>
      <c r="J543">
        <v>721.80000000000007</v>
      </c>
      <c r="K543">
        <v>13714.2</v>
      </c>
      <c r="L543">
        <v>6015</v>
      </c>
      <c r="M543">
        <v>7699.2000000000007</v>
      </c>
      <c r="N543">
        <v>45320</v>
      </c>
      <c r="O543">
        <v>1</v>
      </c>
      <c r="P543" t="s">
        <v>58</v>
      </c>
      <c r="Q543">
        <v>2024</v>
      </c>
    </row>
    <row r="544" spans="1:17" x14ac:dyDescent="0.3">
      <c r="A544" t="s">
        <v>16</v>
      </c>
      <c r="B544" t="s">
        <v>23</v>
      </c>
      <c r="C544" t="s">
        <v>24</v>
      </c>
      <c r="D544" t="s">
        <v>163</v>
      </c>
      <c r="E544" t="s">
        <v>34</v>
      </c>
      <c r="F544">
        <v>877</v>
      </c>
      <c r="G544">
        <v>15</v>
      </c>
      <c r="H544">
        <v>34</v>
      </c>
      <c r="I544">
        <v>29818</v>
      </c>
      <c r="J544">
        <v>1490.9</v>
      </c>
      <c r="K544">
        <v>28327.1</v>
      </c>
      <c r="L544">
        <v>13155</v>
      </c>
      <c r="M544">
        <v>15172.099999999999</v>
      </c>
      <c r="N544">
        <v>45722</v>
      </c>
      <c r="O544">
        <v>3</v>
      </c>
      <c r="P544" t="s">
        <v>38</v>
      </c>
      <c r="Q544">
        <v>2025</v>
      </c>
    </row>
    <row r="545" spans="1:17" x14ac:dyDescent="0.3">
      <c r="A545" t="s">
        <v>16</v>
      </c>
      <c r="B545" t="s">
        <v>17</v>
      </c>
      <c r="C545" t="s">
        <v>24</v>
      </c>
      <c r="D545" t="s">
        <v>105</v>
      </c>
      <c r="E545" t="s">
        <v>34</v>
      </c>
      <c r="F545">
        <v>468</v>
      </c>
      <c r="G545">
        <v>12</v>
      </c>
      <c r="H545">
        <v>26</v>
      </c>
      <c r="I545">
        <v>12168</v>
      </c>
      <c r="J545">
        <v>608.4</v>
      </c>
      <c r="K545">
        <v>11559.6</v>
      </c>
      <c r="L545">
        <v>5616</v>
      </c>
      <c r="M545">
        <v>5943.6</v>
      </c>
      <c r="N545">
        <v>45216</v>
      </c>
      <c r="O545">
        <v>10</v>
      </c>
      <c r="P545" t="s">
        <v>55</v>
      </c>
      <c r="Q545">
        <v>2023</v>
      </c>
    </row>
    <row r="546" spans="1:17" x14ac:dyDescent="0.3">
      <c r="A546" t="s">
        <v>16</v>
      </c>
      <c r="B546" t="s">
        <v>23</v>
      </c>
      <c r="C546" t="s">
        <v>24</v>
      </c>
      <c r="D546" t="s">
        <v>163</v>
      </c>
      <c r="E546" t="s">
        <v>34</v>
      </c>
      <c r="F546">
        <v>432</v>
      </c>
      <c r="G546">
        <v>15</v>
      </c>
      <c r="H546">
        <v>34</v>
      </c>
      <c r="I546">
        <v>14688</v>
      </c>
      <c r="J546">
        <v>734.40000000000009</v>
      </c>
      <c r="K546">
        <v>13953.6</v>
      </c>
      <c r="L546">
        <v>6480</v>
      </c>
      <c r="M546">
        <v>7473.6</v>
      </c>
      <c r="N546">
        <v>45467</v>
      </c>
      <c r="O546">
        <v>6</v>
      </c>
      <c r="P546" t="s">
        <v>45</v>
      </c>
      <c r="Q546">
        <v>2024</v>
      </c>
    </row>
    <row r="547" spans="1:17" x14ac:dyDescent="0.3">
      <c r="A547" t="s">
        <v>27</v>
      </c>
      <c r="B547" t="s">
        <v>22</v>
      </c>
      <c r="C547" t="s">
        <v>24</v>
      </c>
      <c r="D547" t="s">
        <v>178</v>
      </c>
      <c r="E547" t="s">
        <v>34</v>
      </c>
      <c r="F547">
        <v>885</v>
      </c>
      <c r="G547">
        <v>15</v>
      </c>
      <c r="H547">
        <v>36</v>
      </c>
      <c r="I547">
        <v>31860</v>
      </c>
      <c r="J547">
        <v>1593</v>
      </c>
      <c r="K547">
        <v>30267</v>
      </c>
      <c r="L547">
        <v>13275</v>
      </c>
      <c r="M547">
        <v>16992</v>
      </c>
      <c r="N547">
        <v>45153</v>
      </c>
      <c r="O547">
        <v>8</v>
      </c>
      <c r="P547" t="s">
        <v>62</v>
      </c>
      <c r="Q547">
        <v>2023</v>
      </c>
    </row>
    <row r="548" spans="1:17" x14ac:dyDescent="0.3">
      <c r="A548" t="s">
        <v>27</v>
      </c>
      <c r="B548" t="s">
        <v>36</v>
      </c>
      <c r="C548" t="s">
        <v>28</v>
      </c>
      <c r="D548" t="s">
        <v>112</v>
      </c>
      <c r="E548" t="s">
        <v>34</v>
      </c>
      <c r="F548">
        <v>523</v>
      </c>
      <c r="G548">
        <v>10</v>
      </c>
      <c r="H548">
        <v>19</v>
      </c>
      <c r="I548">
        <v>9937</v>
      </c>
      <c r="J548">
        <v>496.85</v>
      </c>
      <c r="K548">
        <v>9440.15</v>
      </c>
      <c r="L548">
        <v>5230</v>
      </c>
      <c r="M548">
        <v>4210.1499999999996</v>
      </c>
      <c r="N548">
        <v>45046</v>
      </c>
      <c r="O548">
        <v>4</v>
      </c>
      <c r="P548" t="s">
        <v>75</v>
      </c>
      <c r="Q548">
        <v>2023</v>
      </c>
    </row>
    <row r="549" spans="1:17" x14ac:dyDescent="0.3">
      <c r="A549" t="s">
        <v>16</v>
      </c>
      <c r="B549" t="s">
        <v>23</v>
      </c>
      <c r="C549" t="s">
        <v>28</v>
      </c>
      <c r="D549" t="s">
        <v>66</v>
      </c>
      <c r="E549" t="s">
        <v>34</v>
      </c>
      <c r="F549">
        <v>135</v>
      </c>
      <c r="G549">
        <v>11</v>
      </c>
      <c r="H549">
        <v>21</v>
      </c>
      <c r="I549">
        <v>2835</v>
      </c>
      <c r="J549">
        <v>141.75</v>
      </c>
      <c r="K549">
        <v>2693.25</v>
      </c>
      <c r="L549">
        <v>1485</v>
      </c>
      <c r="M549">
        <v>1208.25</v>
      </c>
      <c r="N549">
        <v>45303</v>
      </c>
      <c r="O549">
        <v>1</v>
      </c>
      <c r="P549" t="s">
        <v>58</v>
      </c>
      <c r="Q549">
        <v>2024</v>
      </c>
    </row>
    <row r="550" spans="1:17" x14ac:dyDescent="0.3">
      <c r="A550" t="s">
        <v>26</v>
      </c>
      <c r="B550" t="s">
        <v>23</v>
      </c>
      <c r="C550" t="s">
        <v>28</v>
      </c>
      <c r="D550" t="s">
        <v>110</v>
      </c>
      <c r="E550" t="s">
        <v>34</v>
      </c>
      <c r="F550">
        <v>72</v>
      </c>
      <c r="G550">
        <v>20</v>
      </c>
      <c r="H550">
        <v>25</v>
      </c>
      <c r="I550">
        <v>1800</v>
      </c>
      <c r="J550">
        <v>90</v>
      </c>
      <c r="K550">
        <v>1710</v>
      </c>
      <c r="L550">
        <v>1440</v>
      </c>
      <c r="M550">
        <v>270</v>
      </c>
      <c r="N550">
        <v>45304</v>
      </c>
      <c r="O550">
        <v>1</v>
      </c>
      <c r="P550" t="s">
        <v>58</v>
      </c>
      <c r="Q550">
        <v>2024</v>
      </c>
    </row>
    <row r="551" spans="1:17" x14ac:dyDescent="0.3">
      <c r="A551" t="s">
        <v>16</v>
      </c>
      <c r="B551" t="s">
        <v>23</v>
      </c>
      <c r="C551" t="s">
        <v>28</v>
      </c>
      <c r="D551" t="s">
        <v>66</v>
      </c>
      <c r="E551" t="s">
        <v>34</v>
      </c>
      <c r="F551">
        <v>722</v>
      </c>
      <c r="G551">
        <v>11</v>
      </c>
      <c r="H551">
        <v>21</v>
      </c>
      <c r="I551">
        <v>15162</v>
      </c>
      <c r="J551">
        <v>758.1</v>
      </c>
      <c r="K551">
        <v>14403.9</v>
      </c>
      <c r="L551">
        <v>7942</v>
      </c>
      <c r="M551">
        <v>6461.9</v>
      </c>
      <c r="N551">
        <v>45713</v>
      </c>
      <c r="O551">
        <v>2</v>
      </c>
      <c r="P551" t="s">
        <v>52</v>
      </c>
      <c r="Q551">
        <v>2025</v>
      </c>
    </row>
    <row r="552" spans="1:17" x14ac:dyDescent="0.3">
      <c r="A552" t="s">
        <v>16</v>
      </c>
      <c r="B552" t="s">
        <v>23</v>
      </c>
      <c r="C552" t="s">
        <v>28</v>
      </c>
      <c r="D552" t="s">
        <v>66</v>
      </c>
      <c r="E552" t="s">
        <v>34</v>
      </c>
      <c r="F552">
        <v>927</v>
      </c>
      <c r="G552">
        <v>11</v>
      </c>
      <c r="H552">
        <v>21</v>
      </c>
      <c r="I552">
        <v>19467</v>
      </c>
      <c r="J552">
        <v>973.35</v>
      </c>
      <c r="K552">
        <v>18493.650000000001</v>
      </c>
      <c r="L552">
        <v>10197</v>
      </c>
      <c r="M552">
        <v>8296.6500000000015</v>
      </c>
      <c r="N552">
        <v>45161</v>
      </c>
      <c r="O552">
        <v>8</v>
      </c>
      <c r="P552" t="s">
        <v>62</v>
      </c>
      <c r="Q552">
        <v>2023</v>
      </c>
    </row>
    <row r="553" spans="1:17" x14ac:dyDescent="0.3">
      <c r="A553" t="s">
        <v>16</v>
      </c>
      <c r="B553" t="s">
        <v>22</v>
      </c>
      <c r="C553" t="s">
        <v>28</v>
      </c>
      <c r="D553" t="s">
        <v>93</v>
      </c>
      <c r="E553" t="s">
        <v>34</v>
      </c>
      <c r="F553">
        <v>722</v>
      </c>
      <c r="G553">
        <v>12</v>
      </c>
      <c r="H553">
        <v>27</v>
      </c>
      <c r="I553">
        <v>19494</v>
      </c>
      <c r="J553">
        <v>974.7</v>
      </c>
      <c r="K553">
        <v>18519.3</v>
      </c>
      <c r="L553">
        <v>8664</v>
      </c>
      <c r="M553">
        <v>9855.2999999999993</v>
      </c>
      <c r="N553">
        <v>45116</v>
      </c>
      <c r="O553">
        <v>7</v>
      </c>
      <c r="P553" t="s">
        <v>48</v>
      </c>
      <c r="Q553">
        <v>2023</v>
      </c>
    </row>
    <row r="554" spans="1:17" x14ac:dyDescent="0.3">
      <c r="A554" t="s">
        <v>27</v>
      </c>
      <c r="B554" t="s">
        <v>20</v>
      </c>
      <c r="C554" t="s">
        <v>28</v>
      </c>
      <c r="D554" t="s">
        <v>128</v>
      </c>
      <c r="E554" t="s">
        <v>34</v>
      </c>
      <c r="F554">
        <v>885</v>
      </c>
      <c r="G554">
        <v>14</v>
      </c>
      <c r="H554">
        <v>16</v>
      </c>
      <c r="I554">
        <v>14160</v>
      </c>
      <c r="J554">
        <v>708</v>
      </c>
      <c r="K554">
        <v>13452</v>
      </c>
      <c r="L554">
        <v>12390</v>
      </c>
      <c r="M554">
        <v>1062</v>
      </c>
      <c r="N554">
        <v>45482</v>
      </c>
      <c r="O554">
        <v>7</v>
      </c>
      <c r="P554" t="s">
        <v>48</v>
      </c>
      <c r="Q554">
        <v>2024</v>
      </c>
    </row>
    <row r="555" spans="1:17" x14ac:dyDescent="0.3">
      <c r="A555" t="s">
        <v>27</v>
      </c>
      <c r="B555" t="s">
        <v>23</v>
      </c>
      <c r="C555" t="s">
        <v>28</v>
      </c>
      <c r="D555" t="s">
        <v>68</v>
      </c>
      <c r="E555" t="s">
        <v>34</v>
      </c>
      <c r="F555">
        <v>197</v>
      </c>
      <c r="G555">
        <v>11</v>
      </c>
      <c r="H555">
        <v>33</v>
      </c>
      <c r="I555">
        <v>6501</v>
      </c>
      <c r="J555">
        <v>325.05</v>
      </c>
      <c r="K555">
        <v>6175.95</v>
      </c>
      <c r="L555">
        <v>2167</v>
      </c>
      <c r="M555">
        <v>4008.95</v>
      </c>
      <c r="N555">
        <v>45382</v>
      </c>
      <c r="O555">
        <v>3</v>
      </c>
      <c r="P555" t="s">
        <v>38</v>
      </c>
      <c r="Q555">
        <v>2024</v>
      </c>
    </row>
    <row r="556" spans="1:17" x14ac:dyDescent="0.3">
      <c r="A556" t="s">
        <v>16</v>
      </c>
      <c r="B556" t="s">
        <v>23</v>
      </c>
      <c r="C556" t="s">
        <v>28</v>
      </c>
      <c r="D556" t="s">
        <v>66</v>
      </c>
      <c r="E556" t="s">
        <v>34</v>
      </c>
      <c r="F556">
        <v>249</v>
      </c>
      <c r="G556">
        <v>11</v>
      </c>
      <c r="H556">
        <v>21</v>
      </c>
      <c r="I556">
        <v>5229</v>
      </c>
      <c r="J556">
        <v>261.45</v>
      </c>
      <c r="K556">
        <v>4967.55</v>
      </c>
      <c r="L556">
        <v>2739</v>
      </c>
      <c r="M556">
        <v>2228.5500000000002</v>
      </c>
      <c r="N556">
        <v>45361</v>
      </c>
      <c r="O556">
        <v>3</v>
      </c>
      <c r="P556" t="s">
        <v>38</v>
      </c>
      <c r="Q556">
        <v>2024</v>
      </c>
    </row>
    <row r="557" spans="1:17" x14ac:dyDescent="0.3">
      <c r="A557" t="s">
        <v>21</v>
      </c>
      <c r="B557" t="s">
        <v>23</v>
      </c>
      <c r="C557" t="s">
        <v>28</v>
      </c>
      <c r="D557" t="s">
        <v>61</v>
      </c>
      <c r="E557" t="s">
        <v>34</v>
      </c>
      <c r="F557">
        <v>141</v>
      </c>
      <c r="G557">
        <v>13</v>
      </c>
      <c r="H557">
        <v>33</v>
      </c>
      <c r="I557">
        <v>4653</v>
      </c>
      <c r="J557">
        <v>232.65</v>
      </c>
      <c r="K557">
        <v>4420.3500000000004</v>
      </c>
      <c r="L557">
        <v>1833</v>
      </c>
      <c r="M557">
        <v>2587.3500000000004</v>
      </c>
      <c r="N557">
        <v>45098</v>
      </c>
      <c r="O557">
        <v>6</v>
      </c>
      <c r="P557" t="s">
        <v>45</v>
      </c>
      <c r="Q557">
        <v>2023</v>
      </c>
    </row>
    <row r="558" spans="1:17" x14ac:dyDescent="0.3">
      <c r="A558" t="s">
        <v>16</v>
      </c>
      <c r="B558" t="s">
        <v>23</v>
      </c>
      <c r="C558" t="s">
        <v>28</v>
      </c>
      <c r="D558" t="s">
        <v>66</v>
      </c>
      <c r="E558" t="s">
        <v>34</v>
      </c>
      <c r="F558">
        <v>953</v>
      </c>
      <c r="G558">
        <v>11</v>
      </c>
      <c r="H558">
        <v>21</v>
      </c>
      <c r="I558">
        <v>20013</v>
      </c>
      <c r="J558">
        <v>1000.6500000000001</v>
      </c>
      <c r="K558">
        <v>19012.349999999999</v>
      </c>
      <c r="L558">
        <v>10483</v>
      </c>
      <c r="M558">
        <v>8529.3499999999985</v>
      </c>
      <c r="N558">
        <v>45112</v>
      </c>
      <c r="O558">
        <v>7</v>
      </c>
      <c r="P558" t="s">
        <v>48</v>
      </c>
      <c r="Q558">
        <v>2023</v>
      </c>
    </row>
    <row r="559" spans="1:17" x14ac:dyDescent="0.3">
      <c r="A559" t="s">
        <v>16</v>
      </c>
      <c r="B559" t="s">
        <v>23</v>
      </c>
      <c r="C559" t="s">
        <v>29</v>
      </c>
      <c r="D559" t="s">
        <v>72</v>
      </c>
      <c r="E559" t="s">
        <v>34</v>
      </c>
      <c r="F559">
        <v>626</v>
      </c>
      <c r="G559">
        <v>18</v>
      </c>
      <c r="H559">
        <v>33</v>
      </c>
      <c r="I559">
        <v>20658</v>
      </c>
      <c r="J559">
        <v>1032.9000000000001</v>
      </c>
      <c r="K559">
        <v>19625.099999999999</v>
      </c>
      <c r="L559">
        <v>11268</v>
      </c>
      <c r="M559">
        <v>8357.0999999999985</v>
      </c>
      <c r="N559">
        <v>45412</v>
      </c>
      <c r="O559">
        <v>4</v>
      </c>
      <c r="P559" t="s">
        <v>75</v>
      </c>
      <c r="Q559">
        <v>2024</v>
      </c>
    </row>
    <row r="560" spans="1:17" x14ac:dyDescent="0.3">
      <c r="A560" t="s">
        <v>16</v>
      </c>
      <c r="B560" t="s">
        <v>36</v>
      </c>
      <c r="C560" t="s">
        <v>29</v>
      </c>
      <c r="D560" t="s">
        <v>134</v>
      </c>
      <c r="E560" t="s">
        <v>34</v>
      </c>
      <c r="F560">
        <v>683</v>
      </c>
      <c r="G560">
        <v>13</v>
      </c>
      <c r="H560">
        <v>38</v>
      </c>
      <c r="I560">
        <v>25954</v>
      </c>
      <c r="J560">
        <v>1297.7</v>
      </c>
      <c r="K560">
        <v>24656.3</v>
      </c>
      <c r="L560">
        <v>8879</v>
      </c>
      <c r="M560">
        <v>15777.3</v>
      </c>
      <c r="N560">
        <v>45579</v>
      </c>
      <c r="O560">
        <v>10</v>
      </c>
      <c r="P560" t="s">
        <v>55</v>
      </c>
      <c r="Q560">
        <v>2024</v>
      </c>
    </row>
    <row r="561" spans="1:17" x14ac:dyDescent="0.3">
      <c r="A561" t="s">
        <v>16</v>
      </c>
      <c r="B561" t="s">
        <v>23</v>
      </c>
      <c r="C561" t="s">
        <v>29</v>
      </c>
      <c r="D561" t="s">
        <v>72</v>
      </c>
      <c r="E561" t="s">
        <v>34</v>
      </c>
      <c r="F561">
        <v>823</v>
      </c>
      <c r="G561">
        <v>18</v>
      </c>
      <c r="H561">
        <v>33</v>
      </c>
      <c r="I561">
        <v>27159</v>
      </c>
      <c r="J561">
        <v>1357.95</v>
      </c>
      <c r="K561">
        <v>25801.05</v>
      </c>
      <c r="L561">
        <v>14814</v>
      </c>
      <c r="M561">
        <v>10987.05</v>
      </c>
      <c r="N561">
        <v>45296</v>
      </c>
      <c r="O561">
        <v>1</v>
      </c>
      <c r="P561" t="s">
        <v>58</v>
      </c>
      <c r="Q561">
        <v>2024</v>
      </c>
    </row>
    <row r="562" spans="1:17" x14ac:dyDescent="0.3">
      <c r="A562" t="s">
        <v>25</v>
      </c>
      <c r="B562" t="s">
        <v>17</v>
      </c>
      <c r="C562" t="s">
        <v>30</v>
      </c>
      <c r="D562" t="s">
        <v>180</v>
      </c>
      <c r="E562" t="s">
        <v>34</v>
      </c>
      <c r="F562">
        <v>692</v>
      </c>
      <c r="G562">
        <v>19</v>
      </c>
      <c r="H562">
        <v>24</v>
      </c>
      <c r="I562">
        <v>16608</v>
      </c>
      <c r="J562">
        <v>830.40000000000009</v>
      </c>
      <c r="K562">
        <v>15777.6</v>
      </c>
      <c r="L562">
        <v>13148</v>
      </c>
      <c r="M562">
        <v>2629.6000000000004</v>
      </c>
      <c r="N562">
        <v>45184</v>
      </c>
      <c r="O562">
        <v>9</v>
      </c>
      <c r="P562" t="s">
        <v>40</v>
      </c>
      <c r="Q562">
        <v>2023</v>
      </c>
    </row>
    <row r="563" spans="1:17" x14ac:dyDescent="0.3">
      <c r="A563" t="s">
        <v>21</v>
      </c>
      <c r="B563" t="s">
        <v>22</v>
      </c>
      <c r="C563" t="s">
        <v>30</v>
      </c>
      <c r="D563" t="s">
        <v>82</v>
      </c>
      <c r="E563" t="s">
        <v>34</v>
      </c>
      <c r="F563">
        <v>369</v>
      </c>
      <c r="G563">
        <v>14</v>
      </c>
      <c r="H563">
        <v>30</v>
      </c>
      <c r="I563">
        <v>11070</v>
      </c>
      <c r="J563">
        <v>553.5</v>
      </c>
      <c r="K563">
        <v>10516.5</v>
      </c>
      <c r="L563">
        <v>5166</v>
      </c>
      <c r="M563">
        <v>5350.5</v>
      </c>
      <c r="N563">
        <v>45308</v>
      </c>
      <c r="O563">
        <v>1</v>
      </c>
      <c r="P563" t="s">
        <v>58</v>
      </c>
      <c r="Q563">
        <v>2024</v>
      </c>
    </row>
    <row r="564" spans="1:17" x14ac:dyDescent="0.3">
      <c r="A564" t="s">
        <v>16</v>
      </c>
      <c r="B564" t="s">
        <v>17</v>
      </c>
      <c r="C564" t="s">
        <v>30</v>
      </c>
      <c r="D564" t="s">
        <v>86</v>
      </c>
      <c r="E564" t="s">
        <v>34</v>
      </c>
      <c r="F564">
        <v>716</v>
      </c>
      <c r="G564">
        <v>15</v>
      </c>
      <c r="H564">
        <v>36</v>
      </c>
      <c r="I564">
        <v>25776</v>
      </c>
      <c r="J564">
        <v>1288.8000000000002</v>
      </c>
      <c r="K564">
        <v>24487.200000000001</v>
      </c>
      <c r="L564">
        <v>10740</v>
      </c>
      <c r="M564">
        <v>13747.2</v>
      </c>
      <c r="N564">
        <v>45730</v>
      </c>
      <c r="O564">
        <v>3</v>
      </c>
      <c r="P564" t="s">
        <v>38</v>
      </c>
      <c r="Q564">
        <v>2025</v>
      </c>
    </row>
    <row r="565" spans="1:17" x14ac:dyDescent="0.3">
      <c r="A565" t="s">
        <v>16</v>
      </c>
      <c r="B565" t="s">
        <v>36</v>
      </c>
      <c r="C565" t="s">
        <v>30</v>
      </c>
      <c r="D565" t="s">
        <v>141</v>
      </c>
      <c r="E565" t="s">
        <v>34</v>
      </c>
      <c r="F565">
        <v>655</v>
      </c>
      <c r="G565">
        <v>13</v>
      </c>
      <c r="H565">
        <v>25</v>
      </c>
      <c r="I565">
        <v>16375</v>
      </c>
      <c r="J565">
        <v>818.75</v>
      </c>
      <c r="K565">
        <v>15556.25</v>
      </c>
      <c r="L565">
        <v>8515</v>
      </c>
      <c r="M565">
        <v>7041.25</v>
      </c>
      <c r="N565">
        <v>45429</v>
      </c>
      <c r="O565">
        <v>5</v>
      </c>
      <c r="P565" t="s">
        <v>46</v>
      </c>
      <c r="Q565">
        <v>2024</v>
      </c>
    </row>
    <row r="566" spans="1:17" x14ac:dyDescent="0.3">
      <c r="A566" t="s">
        <v>26</v>
      </c>
      <c r="B566" t="s">
        <v>36</v>
      </c>
      <c r="C566" t="s">
        <v>30</v>
      </c>
      <c r="D566" t="s">
        <v>115</v>
      </c>
      <c r="E566" t="s">
        <v>34</v>
      </c>
      <c r="F566">
        <v>628</v>
      </c>
      <c r="G566">
        <v>13</v>
      </c>
      <c r="H566">
        <v>16</v>
      </c>
      <c r="I566">
        <v>10048</v>
      </c>
      <c r="J566">
        <v>502.40000000000003</v>
      </c>
      <c r="K566">
        <v>9545.6</v>
      </c>
      <c r="L566">
        <v>8164</v>
      </c>
      <c r="M566">
        <v>1381.6000000000004</v>
      </c>
      <c r="N566">
        <v>45399</v>
      </c>
      <c r="O566">
        <v>4</v>
      </c>
      <c r="P566" t="s">
        <v>75</v>
      </c>
      <c r="Q566">
        <v>2024</v>
      </c>
    </row>
    <row r="567" spans="1:17" x14ac:dyDescent="0.3">
      <c r="A567" t="s">
        <v>16</v>
      </c>
      <c r="B567" t="s">
        <v>23</v>
      </c>
      <c r="C567" t="s">
        <v>30</v>
      </c>
      <c r="D567" t="s">
        <v>119</v>
      </c>
      <c r="E567" t="s">
        <v>34</v>
      </c>
      <c r="F567">
        <v>978</v>
      </c>
      <c r="G567">
        <v>18</v>
      </c>
      <c r="H567">
        <v>19</v>
      </c>
      <c r="I567">
        <v>18582</v>
      </c>
      <c r="J567">
        <v>929.1</v>
      </c>
      <c r="K567">
        <v>17652.900000000001</v>
      </c>
      <c r="L567">
        <v>17604</v>
      </c>
      <c r="M567">
        <v>48.900000000001455</v>
      </c>
      <c r="N567">
        <v>45190</v>
      </c>
      <c r="O567">
        <v>9</v>
      </c>
      <c r="P567" t="s">
        <v>40</v>
      </c>
      <c r="Q567">
        <v>2023</v>
      </c>
    </row>
    <row r="568" spans="1:17" x14ac:dyDescent="0.3">
      <c r="A568" t="s">
        <v>16</v>
      </c>
      <c r="B568" t="s">
        <v>36</v>
      </c>
      <c r="C568" t="s">
        <v>31</v>
      </c>
      <c r="D568" t="s">
        <v>91</v>
      </c>
      <c r="E568" t="s">
        <v>34</v>
      </c>
      <c r="F568">
        <v>746</v>
      </c>
      <c r="G568">
        <v>10</v>
      </c>
      <c r="H568">
        <v>19</v>
      </c>
      <c r="I568">
        <v>14174</v>
      </c>
      <c r="J568">
        <v>708.7</v>
      </c>
      <c r="K568">
        <v>13465.3</v>
      </c>
      <c r="L568">
        <v>7460</v>
      </c>
      <c r="M568">
        <v>6005.2999999999993</v>
      </c>
      <c r="N568">
        <v>45100</v>
      </c>
      <c r="O568">
        <v>6</v>
      </c>
      <c r="P568" t="s">
        <v>45</v>
      </c>
      <c r="Q568">
        <v>2023</v>
      </c>
    </row>
    <row r="569" spans="1:17" x14ac:dyDescent="0.3">
      <c r="A569" t="s">
        <v>16</v>
      </c>
      <c r="B569" t="s">
        <v>22</v>
      </c>
      <c r="C569" t="s">
        <v>31</v>
      </c>
      <c r="D569" t="s">
        <v>87</v>
      </c>
      <c r="E569" t="s">
        <v>34</v>
      </c>
      <c r="F569">
        <v>513</v>
      </c>
      <c r="G569">
        <v>19</v>
      </c>
      <c r="H569">
        <v>19</v>
      </c>
      <c r="I569">
        <v>9747</v>
      </c>
      <c r="J569">
        <v>487.35</v>
      </c>
      <c r="K569">
        <v>9259.65</v>
      </c>
      <c r="L569">
        <v>9747</v>
      </c>
      <c r="M569">
        <v>-487.35000000000036</v>
      </c>
      <c r="N569">
        <v>45457</v>
      </c>
      <c r="O569">
        <v>6</v>
      </c>
      <c r="P569" t="s">
        <v>45</v>
      </c>
      <c r="Q569">
        <v>2024</v>
      </c>
    </row>
    <row r="570" spans="1:17" x14ac:dyDescent="0.3">
      <c r="A570" t="s">
        <v>16</v>
      </c>
      <c r="B570" t="s">
        <v>17</v>
      </c>
      <c r="C570" t="s">
        <v>31</v>
      </c>
      <c r="D570" t="s">
        <v>159</v>
      </c>
      <c r="E570" t="s">
        <v>34</v>
      </c>
      <c r="F570">
        <v>257</v>
      </c>
      <c r="G570">
        <v>19</v>
      </c>
      <c r="H570">
        <v>38</v>
      </c>
      <c r="I570">
        <v>9766</v>
      </c>
      <c r="J570">
        <v>488.3</v>
      </c>
      <c r="K570">
        <v>9277.7000000000007</v>
      </c>
      <c r="L570">
        <v>4883</v>
      </c>
      <c r="M570">
        <v>4394.7000000000007</v>
      </c>
      <c r="N570">
        <v>45156</v>
      </c>
      <c r="O570">
        <v>8</v>
      </c>
      <c r="P570" t="s">
        <v>62</v>
      </c>
      <c r="Q570">
        <v>2023</v>
      </c>
    </row>
    <row r="571" spans="1:17" x14ac:dyDescent="0.3">
      <c r="A571" t="s">
        <v>21</v>
      </c>
      <c r="B571" t="s">
        <v>36</v>
      </c>
      <c r="C571" t="s">
        <v>31</v>
      </c>
      <c r="D571" t="s">
        <v>92</v>
      </c>
      <c r="E571" t="s">
        <v>34</v>
      </c>
      <c r="F571">
        <v>224</v>
      </c>
      <c r="G571">
        <v>10</v>
      </c>
      <c r="H571">
        <v>20</v>
      </c>
      <c r="I571">
        <v>4480</v>
      </c>
      <c r="J571">
        <v>224</v>
      </c>
      <c r="K571">
        <v>4256</v>
      </c>
      <c r="L571">
        <v>2240</v>
      </c>
      <c r="M571">
        <v>2016</v>
      </c>
      <c r="N571">
        <v>45557</v>
      </c>
      <c r="O571">
        <v>9</v>
      </c>
      <c r="P571" t="s">
        <v>40</v>
      </c>
      <c r="Q571">
        <v>2024</v>
      </c>
    </row>
    <row r="572" spans="1:17" x14ac:dyDescent="0.3">
      <c r="A572" t="s">
        <v>16</v>
      </c>
      <c r="B572" t="s">
        <v>22</v>
      </c>
      <c r="C572" t="s">
        <v>18</v>
      </c>
      <c r="D572" t="s">
        <v>103</v>
      </c>
      <c r="E572" t="s">
        <v>34</v>
      </c>
      <c r="F572">
        <v>690</v>
      </c>
      <c r="G572">
        <v>11</v>
      </c>
      <c r="H572">
        <v>20</v>
      </c>
      <c r="I572">
        <v>13800</v>
      </c>
      <c r="J572">
        <v>690</v>
      </c>
      <c r="K572">
        <v>13110</v>
      </c>
      <c r="L572">
        <v>7590</v>
      </c>
      <c r="M572">
        <v>5520</v>
      </c>
      <c r="N572">
        <v>45370</v>
      </c>
      <c r="O572">
        <v>3</v>
      </c>
      <c r="P572" t="s">
        <v>38</v>
      </c>
      <c r="Q572">
        <v>2024</v>
      </c>
    </row>
    <row r="573" spans="1:17" x14ac:dyDescent="0.3">
      <c r="A573" t="s">
        <v>25</v>
      </c>
      <c r="B573" t="s">
        <v>23</v>
      </c>
      <c r="C573" t="s">
        <v>24</v>
      </c>
      <c r="D573" t="s">
        <v>125</v>
      </c>
      <c r="E573" t="s">
        <v>34</v>
      </c>
      <c r="F573">
        <v>69</v>
      </c>
      <c r="G573">
        <v>10</v>
      </c>
      <c r="H573">
        <v>19</v>
      </c>
      <c r="I573">
        <v>1311</v>
      </c>
      <c r="J573">
        <v>65.55</v>
      </c>
      <c r="K573">
        <v>1245.45</v>
      </c>
      <c r="L573">
        <v>690</v>
      </c>
      <c r="M573">
        <v>555.45000000000005</v>
      </c>
      <c r="N573">
        <v>45361</v>
      </c>
      <c r="O573">
        <v>3</v>
      </c>
      <c r="P573" t="s">
        <v>38</v>
      </c>
      <c r="Q573">
        <v>2024</v>
      </c>
    </row>
    <row r="574" spans="1:17" x14ac:dyDescent="0.3">
      <c r="A574" t="s">
        <v>16</v>
      </c>
      <c r="B574" t="s">
        <v>20</v>
      </c>
      <c r="C574" t="s">
        <v>28</v>
      </c>
      <c r="D574" t="s">
        <v>64</v>
      </c>
      <c r="E574" t="s">
        <v>34</v>
      </c>
      <c r="F574">
        <v>833</v>
      </c>
      <c r="G574">
        <v>14</v>
      </c>
      <c r="H574">
        <v>22</v>
      </c>
      <c r="I574">
        <v>18326</v>
      </c>
      <c r="J574">
        <v>916.30000000000007</v>
      </c>
      <c r="K574">
        <v>17409.7</v>
      </c>
      <c r="L574">
        <v>11662</v>
      </c>
      <c r="M574">
        <v>5747.7000000000007</v>
      </c>
      <c r="N574">
        <v>45258</v>
      </c>
      <c r="O574">
        <v>11</v>
      </c>
      <c r="P574" t="s">
        <v>43</v>
      </c>
      <c r="Q574">
        <v>2023</v>
      </c>
    </row>
    <row r="575" spans="1:17" x14ac:dyDescent="0.3">
      <c r="A575" t="s">
        <v>16</v>
      </c>
      <c r="B575" t="s">
        <v>22</v>
      </c>
      <c r="C575" t="s">
        <v>30</v>
      </c>
      <c r="D575" t="s">
        <v>84</v>
      </c>
      <c r="E575" t="s">
        <v>34</v>
      </c>
      <c r="F575">
        <v>426</v>
      </c>
      <c r="G575">
        <v>20</v>
      </c>
      <c r="H575">
        <v>23</v>
      </c>
      <c r="I575">
        <v>9798</v>
      </c>
      <c r="J575">
        <v>489.90000000000003</v>
      </c>
      <c r="K575">
        <v>9308.1</v>
      </c>
      <c r="L575">
        <v>8520</v>
      </c>
      <c r="M575">
        <v>788.10000000000036</v>
      </c>
      <c r="N575">
        <v>45460</v>
      </c>
      <c r="O575">
        <v>6</v>
      </c>
      <c r="P575" t="s">
        <v>45</v>
      </c>
      <c r="Q575">
        <v>2024</v>
      </c>
    </row>
    <row r="576" spans="1:17" x14ac:dyDescent="0.3">
      <c r="A576" t="s">
        <v>16</v>
      </c>
      <c r="B576" t="s">
        <v>20</v>
      </c>
      <c r="C576" t="s">
        <v>30</v>
      </c>
      <c r="D576" t="s">
        <v>114</v>
      </c>
      <c r="E576" t="s">
        <v>34</v>
      </c>
      <c r="F576">
        <v>309</v>
      </c>
      <c r="G576">
        <v>13</v>
      </c>
      <c r="H576">
        <v>38</v>
      </c>
      <c r="I576">
        <v>11742</v>
      </c>
      <c r="J576">
        <v>587.1</v>
      </c>
      <c r="K576">
        <v>11154.9</v>
      </c>
      <c r="L576">
        <v>4017</v>
      </c>
      <c r="M576">
        <v>7137.9</v>
      </c>
      <c r="N576">
        <v>45254</v>
      </c>
      <c r="O576">
        <v>11</v>
      </c>
      <c r="P576" t="s">
        <v>43</v>
      </c>
      <c r="Q576">
        <v>2023</v>
      </c>
    </row>
    <row r="577" spans="1:17" x14ac:dyDescent="0.3">
      <c r="A577" t="s">
        <v>25</v>
      </c>
      <c r="B577" t="s">
        <v>17</v>
      </c>
      <c r="C577" t="s">
        <v>31</v>
      </c>
      <c r="D577" t="s">
        <v>194</v>
      </c>
      <c r="E577" t="s">
        <v>34</v>
      </c>
      <c r="F577">
        <v>779</v>
      </c>
      <c r="G577">
        <v>14</v>
      </c>
      <c r="H577">
        <v>23</v>
      </c>
      <c r="I577">
        <v>17917</v>
      </c>
      <c r="J577">
        <v>895.85</v>
      </c>
      <c r="K577">
        <v>17021.150000000001</v>
      </c>
      <c r="L577">
        <v>10906</v>
      </c>
      <c r="M577">
        <v>6115.1500000000015</v>
      </c>
      <c r="N577">
        <v>45168</v>
      </c>
      <c r="O577">
        <v>8</v>
      </c>
      <c r="P577" t="s">
        <v>62</v>
      </c>
      <c r="Q577">
        <v>2023</v>
      </c>
    </row>
    <row r="578" spans="1:17" x14ac:dyDescent="0.3">
      <c r="A578" t="s">
        <v>21</v>
      </c>
      <c r="B578" t="s">
        <v>36</v>
      </c>
      <c r="C578" t="s">
        <v>18</v>
      </c>
      <c r="D578" t="s">
        <v>169</v>
      </c>
      <c r="E578" t="s">
        <v>34</v>
      </c>
      <c r="F578">
        <v>764</v>
      </c>
      <c r="G578">
        <v>19</v>
      </c>
      <c r="H578">
        <v>18</v>
      </c>
      <c r="I578">
        <v>13752</v>
      </c>
      <c r="J578">
        <v>687.6</v>
      </c>
      <c r="K578">
        <v>13064.4</v>
      </c>
      <c r="L578">
        <v>14516</v>
      </c>
      <c r="M578">
        <v>-1451.6000000000004</v>
      </c>
      <c r="N578">
        <v>45312</v>
      </c>
      <c r="O578">
        <v>1</v>
      </c>
      <c r="P578" t="s">
        <v>58</v>
      </c>
      <c r="Q578">
        <v>2024</v>
      </c>
    </row>
    <row r="579" spans="1:17" x14ac:dyDescent="0.3">
      <c r="A579" t="s">
        <v>21</v>
      </c>
      <c r="B579" t="s">
        <v>36</v>
      </c>
      <c r="C579" t="s">
        <v>30</v>
      </c>
      <c r="D579" t="s">
        <v>175</v>
      </c>
      <c r="E579" t="s">
        <v>34</v>
      </c>
      <c r="F579">
        <v>401</v>
      </c>
      <c r="G579">
        <v>11</v>
      </c>
      <c r="H579">
        <v>21</v>
      </c>
      <c r="I579">
        <v>8421</v>
      </c>
      <c r="J579">
        <v>421.05</v>
      </c>
      <c r="K579">
        <v>7999.95</v>
      </c>
      <c r="L579">
        <v>4411</v>
      </c>
      <c r="M579">
        <v>3588.95</v>
      </c>
      <c r="N579">
        <v>45541</v>
      </c>
      <c r="O579">
        <v>9</v>
      </c>
      <c r="P579" t="s">
        <v>40</v>
      </c>
      <c r="Q579">
        <v>2024</v>
      </c>
    </row>
    <row r="580" spans="1:17" x14ac:dyDescent="0.3">
      <c r="A580" t="s">
        <v>16</v>
      </c>
      <c r="B580" t="s">
        <v>17</v>
      </c>
      <c r="C580" t="s">
        <v>18</v>
      </c>
      <c r="D580" t="s">
        <v>37</v>
      </c>
      <c r="E580" t="s">
        <v>34</v>
      </c>
      <c r="F580">
        <v>767</v>
      </c>
      <c r="G580">
        <v>12</v>
      </c>
      <c r="H580">
        <v>29</v>
      </c>
      <c r="I580">
        <v>22243</v>
      </c>
      <c r="J580">
        <v>1112.1500000000001</v>
      </c>
      <c r="K580">
        <v>21130.85</v>
      </c>
      <c r="L580">
        <v>9204</v>
      </c>
      <c r="M580">
        <v>11926.849999999999</v>
      </c>
      <c r="N580">
        <v>45043</v>
      </c>
      <c r="O580">
        <v>4</v>
      </c>
      <c r="P580" t="s">
        <v>75</v>
      </c>
      <c r="Q580">
        <v>2023</v>
      </c>
    </row>
    <row r="581" spans="1:17" x14ac:dyDescent="0.3">
      <c r="A581" t="s">
        <v>16</v>
      </c>
      <c r="B581" t="s">
        <v>22</v>
      </c>
      <c r="C581" t="s">
        <v>18</v>
      </c>
      <c r="D581" t="s">
        <v>103</v>
      </c>
      <c r="E581" t="s">
        <v>34</v>
      </c>
      <c r="F581">
        <v>176</v>
      </c>
      <c r="G581">
        <v>11</v>
      </c>
      <c r="H581">
        <v>20</v>
      </c>
      <c r="I581">
        <v>3520</v>
      </c>
      <c r="J581">
        <v>176</v>
      </c>
      <c r="K581">
        <v>3344</v>
      </c>
      <c r="L581">
        <v>1936</v>
      </c>
      <c r="M581">
        <v>1408</v>
      </c>
      <c r="N581">
        <v>45076</v>
      </c>
      <c r="O581">
        <v>5</v>
      </c>
      <c r="P581" t="s">
        <v>46</v>
      </c>
      <c r="Q581">
        <v>2023</v>
      </c>
    </row>
    <row r="582" spans="1:17" x14ac:dyDescent="0.3">
      <c r="A582" t="s">
        <v>16</v>
      </c>
      <c r="B582" t="s">
        <v>20</v>
      </c>
      <c r="C582" t="s">
        <v>18</v>
      </c>
      <c r="D582" t="s">
        <v>39</v>
      </c>
      <c r="E582" t="s">
        <v>34</v>
      </c>
      <c r="F582">
        <v>474</v>
      </c>
      <c r="G582">
        <v>19</v>
      </c>
      <c r="H582">
        <v>19</v>
      </c>
      <c r="I582">
        <v>9006</v>
      </c>
      <c r="J582">
        <v>450.3</v>
      </c>
      <c r="K582">
        <v>8555.7000000000007</v>
      </c>
      <c r="L582">
        <v>9006</v>
      </c>
      <c r="M582">
        <v>-450.29999999999927</v>
      </c>
      <c r="N582">
        <v>45270</v>
      </c>
      <c r="O582">
        <v>12</v>
      </c>
      <c r="P582" t="s">
        <v>77</v>
      </c>
      <c r="Q582">
        <v>2023</v>
      </c>
    </row>
    <row r="583" spans="1:17" x14ac:dyDescent="0.3">
      <c r="A583" t="s">
        <v>16</v>
      </c>
      <c r="B583" t="s">
        <v>36</v>
      </c>
      <c r="C583" t="s">
        <v>24</v>
      </c>
      <c r="D583" t="s">
        <v>124</v>
      </c>
      <c r="E583" t="s">
        <v>34</v>
      </c>
      <c r="F583">
        <v>276</v>
      </c>
      <c r="G583">
        <v>15</v>
      </c>
      <c r="H583">
        <v>34</v>
      </c>
      <c r="I583">
        <v>9384</v>
      </c>
      <c r="J583">
        <v>469.20000000000005</v>
      </c>
      <c r="K583">
        <v>8914.7999999999993</v>
      </c>
      <c r="L583">
        <v>4140</v>
      </c>
      <c r="M583">
        <v>4774.7999999999993</v>
      </c>
      <c r="N583">
        <v>45261</v>
      </c>
      <c r="O583">
        <v>12</v>
      </c>
      <c r="P583" t="s">
        <v>77</v>
      </c>
      <c r="Q583">
        <v>2023</v>
      </c>
    </row>
    <row r="584" spans="1:17" x14ac:dyDescent="0.3">
      <c r="A584" t="s">
        <v>16</v>
      </c>
      <c r="B584" t="s">
        <v>36</v>
      </c>
      <c r="C584" t="s">
        <v>24</v>
      </c>
      <c r="D584" t="s">
        <v>124</v>
      </c>
      <c r="E584" t="s">
        <v>34</v>
      </c>
      <c r="F584">
        <v>167</v>
      </c>
      <c r="G584">
        <v>15</v>
      </c>
      <c r="H584">
        <v>34</v>
      </c>
      <c r="I584">
        <v>5678</v>
      </c>
      <c r="J584">
        <v>283.90000000000003</v>
      </c>
      <c r="K584">
        <v>5394.1</v>
      </c>
      <c r="L584">
        <v>2505</v>
      </c>
      <c r="M584">
        <v>2889.1000000000004</v>
      </c>
      <c r="N584">
        <v>45636</v>
      </c>
      <c r="O584">
        <v>12</v>
      </c>
      <c r="P584" t="s">
        <v>77</v>
      </c>
      <c r="Q584">
        <v>2024</v>
      </c>
    </row>
    <row r="585" spans="1:17" x14ac:dyDescent="0.3">
      <c r="A585" t="s">
        <v>25</v>
      </c>
      <c r="B585" t="s">
        <v>23</v>
      </c>
      <c r="C585" t="s">
        <v>24</v>
      </c>
      <c r="D585" t="s">
        <v>125</v>
      </c>
      <c r="E585" t="s">
        <v>34</v>
      </c>
      <c r="F585">
        <v>519</v>
      </c>
      <c r="G585">
        <v>10</v>
      </c>
      <c r="H585">
        <v>19</v>
      </c>
      <c r="I585">
        <v>9861</v>
      </c>
      <c r="J585">
        <v>493.05</v>
      </c>
      <c r="K585">
        <v>9367.9500000000007</v>
      </c>
      <c r="L585">
        <v>5190</v>
      </c>
      <c r="M585">
        <v>4177.9500000000007</v>
      </c>
      <c r="N585">
        <v>45133</v>
      </c>
      <c r="O585">
        <v>7</v>
      </c>
      <c r="P585" t="s">
        <v>48</v>
      </c>
      <c r="Q585">
        <v>2023</v>
      </c>
    </row>
    <row r="586" spans="1:17" x14ac:dyDescent="0.3">
      <c r="A586" t="s">
        <v>16</v>
      </c>
      <c r="B586" t="s">
        <v>23</v>
      </c>
      <c r="C586" t="s">
        <v>24</v>
      </c>
      <c r="D586" t="s">
        <v>163</v>
      </c>
      <c r="E586" t="s">
        <v>34</v>
      </c>
      <c r="F586">
        <v>29</v>
      </c>
      <c r="G586">
        <v>15</v>
      </c>
      <c r="H586">
        <v>34</v>
      </c>
      <c r="I586">
        <v>986</v>
      </c>
      <c r="J586">
        <v>9.86</v>
      </c>
      <c r="K586">
        <v>976.14</v>
      </c>
      <c r="L586">
        <v>435</v>
      </c>
      <c r="M586">
        <v>541.14</v>
      </c>
      <c r="N586">
        <v>45193</v>
      </c>
      <c r="O586">
        <v>9</v>
      </c>
      <c r="P586" t="s">
        <v>40</v>
      </c>
      <c r="Q586">
        <v>2023</v>
      </c>
    </row>
    <row r="587" spans="1:17" x14ac:dyDescent="0.3">
      <c r="A587" t="s">
        <v>16</v>
      </c>
      <c r="B587" t="s">
        <v>17</v>
      </c>
      <c r="C587" t="s">
        <v>24</v>
      </c>
      <c r="D587" t="s">
        <v>105</v>
      </c>
      <c r="E587" t="s">
        <v>34</v>
      </c>
      <c r="F587">
        <v>429</v>
      </c>
      <c r="G587">
        <v>12</v>
      </c>
      <c r="H587">
        <v>26</v>
      </c>
      <c r="I587">
        <v>11154</v>
      </c>
      <c r="J587">
        <v>557.70000000000005</v>
      </c>
      <c r="K587">
        <v>10596.3</v>
      </c>
      <c r="L587">
        <v>5148</v>
      </c>
      <c r="M587">
        <v>5448.2999999999993</v>
      </c>
      <c r="N587">
        <v>45528</v>
      </c>
      <c r="O587">
        <v>8</v>
      </c>
      <c r="P587" t="s">
        <v>62</v>
      </c>
      <c r="Q587">
        <v>2024</v>
      </c>
    </row>
    <row r="588" spans="1:17" x14ac:dyDescent="0.3">
      <c r="A588" t="s">
        <v>16</v>
      </c>
      <c r="B588" t="s">
        <v>36</v>
      </c>
      <c r="C588" t="s">
        <v>28</v>
      </c>
      <c r="D588" t="s">
        <v>69</v>
      </c>
      <c r="E588" t="s">
        <v>34</v>
      </c>
      <c r="F588">
        <v>469</v>
      </c>
      <c r="G588">
        <v>20</v>
      </c>
      <c r="H588">
        <v>25</v>
      </c>
      <c r="I588">
        <v>11725</v>
      </c>
      <c r="J588">
        <v>586.25</v>
      </c>
      <c r="K588">
        <v>11138.75</v>
      </c>
      <c r="L588">
        <v>9380</v>
      </c>
      <c r="M588">
        <v>1758.75</v>
      </c>
      <c r="N588">
        <v>45295</v>
      </c>
      <c r="O588">
        <v>1</v>
      </c>
      <c r="P588" t="s">
        <v>58</v>
      </c>
      <c r="Q588">
        <v>2024</v>
      </c>
    </row>
    <row r="589" spans="1:17" x14ac:dyDescent="0.3">
      <c r="A589" t="s">
        <v>27</v>
      </c>
      <c r="B589" t="s">
        <v>20</v>
      </c>
      <c r="C589" t="s">
        <v>28</v>
      </c>
      <c r="D589" t="s">
        <v>128</v>
      </c>
      <c r="E589" t="s">
        <v>34</v>
      </c>
      <c r="F589">
        <v>125</v>
      </c>
      <c r="G589">
        <v>14</v>
      </c>
      <c r="H589">
        <v>16</v>
      </c>
      <c r="I589">
        <v>2000</v>
      </c>
      <c r="J589">
        <v>100</v>
      </c>
      <c r="K589">
        <v>1900</v>
      </c>
      <c r="L589">
        <v>1750</v>
      </c>
      <c r="M589">
        <v>150</v>
      </c>
      <c r="N589">
        <v>45137</v>
      </c>
      <c r="O589">
        <v>7</v>
      </c>
      <c r="P589" t="s">
        <v>48</v>
      </c>
      <c r="Q589">
        <v>2023</v>
      </c>
    </row>
    <row r="590" spans="1:17" x14ac:dyDescent="0.3">
      <c r="A590" t="s">
        <v>16</v>
      </c>
      <c r="B590" t="s">
        <v>36</v>
      </c>
      <c r="C590" t="s">
        <v>28</v>
      </c>
      <c r="D590" t="s">
        <v>69</v>
      </c>
      <c r="E590" t="s">
        <v>34</v>
      </c>
      <c r="F590">
        <v>25</v>
      </c>
      <c r="G590">
        <v>20</v>
      </c>
      <c r="H590">
        <v>25</v>
      </c>
      <c r="I590">
        <v>625</v>
      </c>
      <c r="J590">
        <v>6.25</v>
      </c>
      <c r="K590">
        <v>618.75</v>
      </c>
      <c r="L590">
        <v>500</v>
      </c>
      <c r="M590">
        <v>118.75</v>
      </c>
      <c r="N590">
        <v>45125</v>
      </c>
      <c r="O590">
        <v>7</v>
      </c>
      <c r="P590" t="s">
        <v>48</v>
      </c>
      <c r="Q590">
        <v>2023</v>
      </c>
    </row>
    <row r="591" spans="1:17" x14ac:dyDescent="0.3">
      <c r="A591" t="s">
        <v>16</v>
      </c>
      <c r="B591" t="s">
        <v>20</v>
      </c>
      <c r="C591" t="s">
        <v>28</v>
      </c>
      <c r="D591" t="s">
        <v>64</v>
      </c>
      <c r="E591" t="s">
        <v>34</v>
      </c>
      <c r="F591">
        <v>805</v>
      </c>
      <c r="G591">
        <v>14</v>
      </c>
      <c r="H591">
        <v>22</v>
      </c>
      <c r="I591">
        <v>17710</v>
      </c>
      <c r="J591">
        <v>885.5</v>
      </c>
      <c r="K591">
        <v>16824.5</v>
      </c>
      <c r="L591">
        <v>11270</v>
      </c>
      <c r="M591">
        <v>5554.5</v>
      </c>
      <c r="N591">
        <v>45209</v>
      </c>
      <c r="O591">
        <v>10</v>
      </c>
      <c r="P591" t="s">
        <v>55</v>
      </c>
      <c r="Q591">
        <v>2023</v>
      </c>
    </row>
    <row r="592" spans="1:17" x14ac:dyDescent="0.3">
      <c r="A592" t="s">
        <v>16</v>
      </c>
      <c r="B592" t="s">
        <v>17</v>
      </c>
      <c r="C592" t="s">
        <v>28</v>
      </c>
      <c r="D592" t="s">
        <v>60</v>
      </c>
      <c r="E592" t="s">
        <v>34</v>
      </c>
      <c r="F592">
        <v>808</v>
      </c>
      <c r="G592">
        <v>17</v>
      </c>
      <c r="H592">
        <v>38</v>
      </c>
      <c r="I592">
        <v>30704</v>
      </c>
      <c r="J592">
        <v>1535.2</v>
      </c>
      <c r="K592">
        <v>29168.799999999999</v>
      </c>
      <c r="L592">
        <v>13736</v>
      </c>
      <c r="M592">
        <v>15432.8</v>
      </c>
      <c r="N592">
        <v>45693</v>
      </c>
      <c r="O592">
        <v>2</v>
      </c>
      <c r="P592" t="s">
        <v>52</v>
      </c>
      <c r="Q592">
        <v>2025</v>
      </c>
    </row>
    <row r="593" spans="1:17" x14ac:dyDescent="0.3">
      <c r="A593" t="s">
        <v>26</v>
      </c>
      <c r="B593" t="s">
        <v>17</v>
      </c>
      <c r="C593" t="s">
        <v>28</v>
      </c>
      <c r="D593" t="s">
        <v>132</v>
      </c>
      <c r="E593" t="s">
        <v>34</v>
      </c>
      <c r="F593">
        <v>368</v>
      </c>
      <c r="G593">
        <v>14</v>
      </c>
      <c r="H593">
        <v>19</v>
      </c>
      <c r="I593">
        <v>6992</v>
      </c>
      <c r="J593">
        <v>349.6</v>
      </c>
      <c r="K593">
        <v>6642.4</v>
      </c>
      <c r="L593">
        <v>5152</v>
      </c>
      <c r="M593">
        <v>1490.3999999999996</v>
      </c>
      <c r="N593">
        <v>45175</v>
      </c>
      <c r="O593">
        <v>9</v>
      </c>
      <c r="P593" t="s">
        <v>40</v>
      </c>
      <c r="Q593">
        <v>2023</v>
      </c>
    </row>
    <row r="594" spans="1:17" x14ac:dyDescent="0.3">
      <c r="A594" t="s">
        <v>25</v>
      </c>
      <c r="B594" t="s">
        <v>23</v>
      </c>
      <c r="C594" t="s">
        <v>28</v>
      </c>
      <c r="D594" t="s">
        <v>133</v>
      </c>
      <c r="E594" t="s">
        <v>34</v>
      </c>
      <c r="F594">
        <v>885</v>
      </c>
      <c r="G594">
        <v>11</v>
      </c>
      <c r="H594">
        <v>24</v>
      </c>
      <c r="I594">
        <v>21240</v>
      </c>
      <c r="J594">
        <v>1062</v>
      </c>
      <c r="K594">
        <v>20178</v>
      </c>
      <c r="L594">
        <v>9735</v>
      </c>
      <c r="M594">
        <v>10443</v>
      </c>
      <c r="N594">
        <v>45336</v>
      </c>
      <c r="O594">
        <v>2</v>
      </c>
      <c r="P594" t="s">
        <v>52</v>
      </c>
      <c r="Q594">
        <v>2024</v>
      </c>
    </row>
    <row r="595" spans="1:17" x14ac:dyDescent="0.3">
      <c r="A595" t="s">
        <v>16</v>
      </c>
      <c r="B595" t="s">
        <v>22</v>
      </c>
      <c r="C595" t="s">
        <v>28</v>
      </c>
      <c r="D595" t="s">
        <v>93</v>
      </c>
      <c r="E595" t="s">
        <v>34</v>
      </c>
      <c r="F595">
        <v>818</v>
      </c>
      <c r="G595">
        <v>12</v>
      </c>
      <c r="H595">
        <v>27</v>
      </c>
      <c r="I595">
        <v>22086</v>
      </c>
      <c r="J595">
        <v>1104.3</v>
      </c>
      <c r="K595">
        <v>20981.7</v>
      </c>
      <c r="L595">
        <v>9816</v>
      </c>
      <c r="M595">
        <v>11165.7</v>
      </c>
      <c r="N595">
        <v>45160</v>
      </c>
      <c r="O595">
        <v>8</v>
      </c>
      <c r="P595" t="s">
        <v>62</v>
      </c>
      <c r="Q595">
        <v>2023</v>
      </c>
    </row>
    <row r="596" spans="1:17" x14ac:dyDescent="0.3">
      <c r="A596" t="s">
        <v>21</v>
      </c>
      <c r="B596" t="s">
        <v>17</v>
      </c>
      <c r="C596" t="s">
        <v>28</v>
      </c>
      <c r="D596" t="s">
        <v>71</v>
      </c>
      <c r="E596" t="s">
        <v>34</v>
      </c>
      <c r="F596">
        <v>947</v>
      </c>
      <c r="G596">
        <v>17</v>
      </c>
      <c r="H596">
        <v>25</v>
      </c>
      <c r="I596">
        <v>23675</v>
      </c>
      <c r="J596">
        <v>1183.75</v>
      </c>
      <c r="K596">
        <v>22491.25</v>
      </c>
      <c r="L596">
        <v>16099</v>
      </c>
      <c r="M596">
        <v>6392.25</v>
      </c>
      <c r="N596">
        <v>45390</v>
      </c>
      <c r="O596">
        <v>4</v>
      </c>
      <c r="P596" t="s">
        <v>75</v>
      </c>
      <c r="Q596">
        <v>2024</v>
      </c>
    </row>
    <row r="597" spans="1:17" x14ac:dyDescent="0.3">
      <c r="A597" t="s">
        <v>16</v>
      </c>
      <c r="B597" t="s">
        <v>17</v>
      </c>
      <c r="C597" t="s">
        <v>28</v>
      </c>
      <c r="D597" t="s">
        <v>60</v>
      </c>
      <c r="E597" t="s">
        <v>34</v>
      </c>
      <c r="F597">
        <v>930</v>
      </c>
      <c r="G597">
        <v>17</v>
      </c>
      <c r="H597">
        <v>38</v>
      </c>
      <c r="I597">
        <v>35340</v>
      </c>
      <c r="J597">
        <v>1767</v>
      </c>
      <c r="K597">
        <v>33573</v>
      </c>
      <c r="L597">
        <v>15810</v>
      </c>
      <c r="M597">
        <v>17763</v>
      </c>
      <c r="N597">
        <v>45550</v>
      </c>
      <c r="O597">
        <v>9</v>
      </c>
      <c r="P597" t="s">
        <v>40</v>
      </c>
      <c r="Q597">
        <v>2024</v>
      </c>
    </row>
    <row r="598" spans="1:17" x14ac:dyDescent="0.3">
      <c r="A598" t="s">
        <v>16</v>
      </c>
      <c r="B598" t="s">
        <v>20</v>
      </c>
      <c r="C598" t="s">
        <v>28</v>
      </c>
      <c r="D598" t="s">
        <v>64</v>
      </c>
      <c r="E598" t="s">
        <v>34</v>
      </c>
      <c r="F598">
        <v>288</v>
      </c>
      <c r="G598">
        <v>14</v>
      </c>
      <c r="H598">
        <v>22</v>
      </c>
      <c r="I598">
        <v>6336</v>
      </c>
      <c r="J598">
        <v>316.8</v>
      </c>
      <c r="K598">
        <v>6019.2</v>
      </c>
      <c r="L598">
        <v>4032</v>
      </c>
      <c r="M598">
        <v>1987.1999999999998</v>
      </c>
      <c r="N598">
        <v>45700</v>
      </c>
      <c r="O598">
        <v>2</v>
      </c>
      <c r="P598" t="s">
        <v>52</v>
      </c>
      <c r="Q598">
        <v>2025</v>
      </c>
    </row>
    <row r="599" spans="1:17" x14ac:dyDescent="0.3">
      <c r="A599" t="s">
        <v>25</v>
      </c>
      <c r="B599" t="s">
        <v>20</v>
      </c>
      <c r="C599" t="s">
        <v>28</v>
      </c>
      <c r="D599" t="s">
        <v>65</v>
      </c>
      <c r="E599" t="s">
        <v>34</v>
      </c>
      <c r="F599">
        <v>441</v>
      </c>
      <c r="G599">
        <v>16</v>
      </c>
      <c r="H599">
        <v>24</v>
      </c>
      <c r="I599">
        <v>10584</v>
      </c>
      <c r="J599">
        <v>529.20000000000005</v>
      </c>
      <c r="K599">
        <v>10054.799999999999</v>
      </c>
      <c r="L599">
        <v>7056</v>
      </c>
      <c r="M599">
        <v>2998.7999999999993</v>
      </c>
      <c r="N599">
        <v>45075</v>
      </c>
      <c r="O599">
        <v>5</v>
      </c>
      <c r="P599" t="s">
        <v>46</v>
      </c>
      <c r="Q599">
        <v>2023</v>
      </c>
    </row>
    <row r="600" spans="1:17" x14ac:dyDescent="0.3">
      <c r="A600" t="s">
        <v>21</v>
      </c>
      <c r="B600" t="s">
        <v>22</v>
      </c>
      <c r="C600" t="s">
        <v>29</v>
      </c>
      <c r="D600" t="s">
        <v>198</v>
      </c>
      <c r="E600" t="s">
        <v>34</v>
      </c>
      <c r="F600">
        <v>571</v>
      </c>
      <c r="G600">
        <v>12</v>
      </c>
      <c r="H600">
        <v>18</v>
      </c>
      <c r="I600">
        <v>10278</v>
      </c>
      <c r="J600">
        <v>513.9</v>
      </c>
      <c r="K600">
        <v>9764.1</v>
      </c>
      <c r="L600">
        <v>6852</v>
      </c>
      <c r="M600">
        <v>2912.1000000000004</v>
      </c>
      <c r="N600">
        <v>45733</v>
      </c>
      <c r="O600">
        <v>3</v>
      </c>
      <c r="P600" t="s">
        <v>38</v>
      </c>
      <c r="Q600">
        <v>2025</v>
      </c>
    </row>
    <row r="601" spans="1:17" x14ac:dyDescent="0.3">
      <c r="A601" t="s">
        <v>16</v>
      </c>
      <c r="B601" t="s">
        <v>17</v>
      </c>
      <c r="C601" t="s">
        <v>29</v>
      </c>
      <c r="D601" t="s">
        <v>113</v>
      </c>
      <c r="E601" t="s">
        <v>34</v>
      </c>
      <c r="F601">
        <v>847</v>
      </c>
      <c r="G601">
        <v>18</v>
      </c>
      <c r="H601">
        <v>23</v>
      </c>
      <c r="I601">
        <v>19481</v>
      </c>
      <c r="J601">
        <v>974.05000000000007</v>
      </c>
      <c r="K601">
        <v>18506.95</v>
      </c>
      <c r="L601">
        <v>15246</v>
      </c>
      <c r="M601">
        <v>3260.9500000000007</v>
      </c>
      <c r="N601">
        <v>45261</v>
      </c>
      <c r="O601">
        <v>12</v>
      </c>
      <c r="P601" t="s">
        <v>77</v>
      </c>
      <c r="Q601">
        <v>2023</v>
      </c>
    </row>
    <row r="602" spans="1:17" x14ac:dyDescent="0.3">
      <c r="A602" t="s">
        <v>16</v>
      </c>
      <c r="B602" t="s">
        <v>22</v>
      </c>
      <c r="C602" t="s">
        <v>29</v>
      </c>
      <c r="D602" t="s">
        <v>94</v>
      </c>
      <c r="E602" t="s">
        <v>34</v>
      </c>
      <c r="F602">
        <v>294</v>
      </c>
      <c r="G602">
        <v>19</v>
      </c>
      <c r="H602">
        <v>22</v>
      </c>
      <c r="I602">
        <v>6468</v>
      </c>
      <c r="J602">
        <v>323.40000000000003</v>
      </c>
      <c r="K602">
        <v>6144.6</v>
      </c>
      <c r="L602">
        <v>5586</v>
      </c>
      <c r="M602">
        <v>558.60000000000036</v>
      </c>
      <c r="N602">
        <v>45575</v>
      </c>
      <c r="O602">
        <v>10</v>
      </c>
      <c r="P602" t="s">
        <v>55</v>
      </c>
      <c r="Q602">
        <v>2024</v>
      </c>
    </row>
    <row r="603" spans="1:17" x14ac:dyDescent="0.3">
      <c r="A603" t="s">
        <v>25</v>
      </c>
      <c r="B603" t="s">
        <v>23</v>
      </c>
      <c r="C603" t="s">
        <v>29</v>
      </c>
      <c r="D603" t="s">
        <v>138</v>
      </c>
      <c r="E603" t="s">
        <v>34</v>
      </c>
      <c r="F603">
        <v>352</v>
      </c>
      <c r="G603">
        <v>16</v>
      </c>
      <c r="H603">
        <v>31</v>
      </c>
      <c r="I603">
        <v>10912</v>
      </c>
      <c r="J603">
        <v>545.6</v>
      </c>
      <c r="K603">
        <v>10366.4</v>
      </c>
      <c r="L603">
        <v>5632</v>
      </c>
      <c r="M603">
        <v>4734.3999999999996</v>
      </c>
      <c r="N603">
        <v>45538</v>
      </c>
      <c r="O603">
        <v>9</v>
      </c>
      <c r="P603" t="s">
        <v>40</v>
      </c>
      <c r="Q603">
        <v>2024</v>
      </c>
    </row>
    <row r="604" spans="1:17" x14ac:dyDescent="0.3">
      <c r="A604" t="s">
        <v>21</v>
      </c>
      <c r="B604" t="s">
        <v>20</v>
      </c>
      <c r="C604" t="s">
        <v>29</v>
      </c>
      <c r="D604" t="s">
        <v>171</v>
      </c>
      <c r="E604" t="s">
        <v>34</v>
      </c>
      <c r="F604">
        <v>599</v>
      </c>
      <c r="G604">
        <v>20</v>
      </c>
      <c r="H604">
        <v>38</v>
      </c>
      <c r="I604">
        <v>22762</v>
      </c>
      <c r="J604">
        <v>1138.1000000000001</v>
      </c>
      <c r="K604">
        <v>21623.9</v>
      </c>
      <c r="L604">
        <v>11980</v>
      </c>
      <c r="M604">
        <v>9643.9000000000015</v>
      </c>
      <c r="N604">
        <v>45192</v>
      </c>
      <c r="O604">
        <v>9</v>
      </c>
      <c r="P604" t="s">
        <v>40</v>
      </c>
      <c r="Q604">
        <v>2023</v>
      </c>
    </row>
    <row r="605" spans="1:17" x14ac:dyDescent="0.3">
      <c r="A605" t="s">
        <v>25</v>
      </c>
      <c r="B605" t="s">
        <v>23</v>
      </c>
      <c r="C605" t="s">
        <v>29</v>
      </c>
      <c r="D605" t="s">
        <v>138</v>
      </c>
      <c r="E605" t="s">
        <v>34</v>
      </c>
      <c r="F605">
        <v>111</v>
      </c>
      <c r="G605">
        <v>16</v>
      </c>
      <c r="H605">
        <v>31</v>
      </c>
      <c r="I605">
        <v>3441</v>
      </c>
      <c r="J605">
        <v>172.05</v>
      </c>
      <c r="K605">
        <v>3268.95</v>
      </c>
      <c r="L605">
        <v>1776</v>
      </c>
      <c r="M605">
        <v>1492.9499999999998</v>
      </c>
      <c r="N605">
        <v>45137</v>
      </c>
      <c r="O605">
        <v>7</v>
      </c>
      <c r="P605" t="s">
        <v>48</v>
      </c>
      <c r="Q605">
        <v>2023</v>
      </c>
    </row>
    <row r="606" spans="1:17" x14ac:dyDescent="0.3">
      <c r="A606" t="s">
        <v>27</v>
      </c>
      <c r="B606" t="s">
        <v>23</v>
      </c>
      <c r="C606" t="s">
        <v>29</v>
      </c>
      <c r="D606" t="s">
        <v>186</v>
      </c>
      <c r="E606" t="s">
        <v>34</v>
      </c>
      <c r="F606">
        <v>303</v>
      </c>
      <c r="G606">
        <v>18</v>
      </c>
      <c r="H606">
        <v>35</v>
      </c>
      <c r="I606">
        <v>10605</v>
      </c>
      <c r="J606">
        <v>530.25</v>
      </c>
      <c r="K606">
        <v>10074.75</v>
      </c>
      <c r="L606">
        <v>5454</v>
      </c>
      <c r="M606">
        <v>4620.75</v>
      </c>
      <c r="N606">
        <v>45747</v>
      </c>
      <c r="O606">
        <v>3</v>
      </c>
      <c r="P606" t="s">
        <v>38</v>
      </c>
      <c r="Q606">
        <v>2025</v>
      </c>
    </row>
    <row r="607" spans="1:17" x14ac:dyDescent="0.3">
      <c r="A607" t="s">
        <v>25</v>
      </c>
      <c r="B607" t="s">
        <v>20</v>
      </c>
      <c r="C607" t="s">
        <v>29</v>
      </c>
      <c r="D607" t="s">
        <v>74</v>
      </c>
      <c r="E607" t="s">
        <v>34</v>
      </c>
      <c r="F607">
        <v>686</v>
      </c>
      <c r="G607">
        <v>13</v>
      </c>
      <c r="H607">
        <v>26</v>
      </c>
      <c r="I607">
        <v>17836</v>
      </c>
      <c r="J607">
        <v>891.80000000000007</v>
      </c>
      <c r="K607">
        <v>16944.2</v>
      </c>
      <c r="L607">
        <v>8918</v>
      </c>
      <c r="M607">
        <v>8026.2000000000007</v>
      </c>
      <c r="N607">
        <v>45615</v>
      </c>
      <c r="O607">
        <v>11</v>
      </c>
      <c r="P607" t="s">
        <v>43</v>
      </c>
      <c r="Q607">
        <v>2024</v>
      </c>
    </row>
    <row r="608" spans="1:17" x14ac:dyDescent="0.3">
      <c r="A608" t="s">
        <v>26</v>
      </c>
      <c r="B608" t="s">
        <v>17</v>
      </c>
      <c r="C608" t="s">
        <v>30</v>
      </c>
      <c r="D608" t="s">
        <v>140</v>
      </c>
      <c r="E608" t="s">
        <v>34</v>
      </c>
      <c r="F608">
        <v>433</v>
      </c>
      <c r="G608">
        <v>16</v>
      </c>
      <c r="H608">
        <v>36</v>
      </c>
      <c r="I608">
        <v>15588</v>
      </c>
      <c r="J608">
        <v>779.40000000000009</v>
      </c>
      <c r="K608">
        <v>14808.6</v>
      </c>
      <c r="L608">
        <v>6928</v>
      </c>
      <c r="M608">
        <v>7880.6</v>
      </c>
      <c r="N608">
        <v>45619</v>
      </c>
      <c r="O608">
        <v>11</v>
      </c>
      <c r="P608" t="s">
        <v>43</v>
      </c>
      <c r="Q608">
        <v>2024</v>
      </c>
    </row>
    <row r="609" spans="1:17" x14ac:dyDescent="0.3">
      <c r="A609" t="s">
        <v>21</v>
      </c>
      <c r="B609" t="s">
        <v>17</v>
      </c>
      <c r="C609" t="s">
        <v>30</v>
      </c>
      <c r="D609" t="s">
        <v>173</v>
      </c>
      <c r="E609" t="s">
        <v>34</v>
      </c>
      <c r="F609">
        <v>398</v>
      </c>
      <c r="G609">
        <v>16</v>
      </c>
      <c r="H609">
        <v>31</v>
      </c>
      <c r="I609">
        <v>12338</v>
      </c>
      <c r="J609">
        <v>616.90000000000009</v>
      </c>
      <c r="K609">
        <v>11721.1</v>
      </c>
      <c r="L609">
        <v>6368</v>
      </c>
      <c r="M609">
        <v>5353.1</v>
      </c>
      <c r="N609">
        <v>45154</v>
      </c>
      <c r="O609">
        <v>8</v>
      </c>
      <c r="P609" t="s">
        <v>62</v>
      </c>
      <c r="Q609">
        <v>2023</v>
      </c>
    </row>
    <row r="610" spans="1:17" x14ac:dyDescent="0.3">
      <c r="A610" t="s">
        <v>26</v>
      </c>
      <c r="B610" t="s">
        <v>17</v>
      </c>
      <c r="C610" t="s">
        <v>31</v>
      </c>
      <c r="D610" t="s">
        <v>181</v>
      </c>
      <c r="E610" t="s">
        <v>34</v>
      </c>
      <c r="F610">
        <v>626</v>
      </c>
      <c r="G610">
        <v>14</v>
      </c>
      <c r="H610">
        <v>20</v>
      </c>
      <c r="I610">
        <v>12520</v>
      </c>
      <c r="J610">
        <v>626</v>
      </c>
      <c r="K610">
        <v>11894</v>
      </c>
      <c r="L610">
        <v>8764</v>
      </c>
      <c r="M610">
        <v>3130</v>
      </c>
      <c r="N610">
        <v>45539</v>
      </c>
      <c r="O610">
        <v>9</v>
      </c>
      <c r="P610" t="s">
        <v>40</v>
      </c>
      <c r="Q610">
        <v>2024</v>
      </c>
    </row>
    <row r="611" spans="1:17" x14ac:dyDescent="0.3">
      <c r="A611" t="s">
        <v>16</v>
      </c>
      <c r="B611" t="s">
        <v>22</v>
      </c>
      <c r="C611" t="s">
        <v>31</v>
      </c>
      <c r="D611" t="s">
        <v>87</v>
      </c>
      <c r="E611" t="s">
        <v>34</v>
      </c>
      <c r="F611">
        <v>388</v>
      </c>
      <c r="G611">
        <v>19</v>
      </c>
      <c r="H611">
        <v>19</v>
      </c>
      <c r="I611">
        <v>7372</v>
      </c>
      <c r="J611">
        <v>368.6</v>
      </c>
      <c r="K611">
        <v>7003.4</v>
      </c>
      <c r="L611">
        <v>7372</v>
      </c>
      <c r="M611">
        <v>-368.60000000000036</v>
      </c>
      <c r="N611">
        <v>45035</v>
      </c>
      <c r="O611">
        <v>4</v>
      </c>
      <c r="P611" t="s">
        <v>75</v>
      </c>
      <c r="Q611">
        <v>2023</v>
      </c>
    </row>
    <row r="612" spans="1:17" x14ac:dyDescent="0.3">
      <c r="A612" t="s">
        <v>25</v>
      </c>
      <c r="B612" t="s">
        <v>23</v>
      </c>
      <c r="C612" t="s">
        <v>31</v>
      </c>
      <c r="D612" t="s">
        <v>161</v>
      </c>
      <c r="E612" t="s">
        <v>34</v>
      </c>
      <c r="F612">
        <v>783</v>
      </c>
      <c r="G612">
        <v>19</v>
      </c>
      <c r="H612">
        <v>32</v>
      </c>
      <c r="I612">
        <v>25056</v>
      </c>
      <c r="J612">
        <v>1252.8000000000002</v>
      </c>
      <c r="K612">
        <v>23803.200000000001</v>
      </c>
      <c r="L612">
        <v>14877</v>
      </c>
      <c r="M612">
        <v>8926.2000000000007</v>
      </c>
      <c r="N612">
        <v>45572</v>
      </c>
      <c r="O612">
        <v>10</v>
      </c>
      <c r="P612" t="s">
        <v>55</v>
      </c>
      <c r="Q612">
        <v>2024</v>
      </c>
    </row>
    <row r="613" spans="1:17" x14ac:dyDescent="0.3">
      <c r="A613" t="s">
        <v>25</v>
      </c>
      <c r="B613" t="s">
        <v>20</v>
      </c>
      <c r="C613" t="s">
        <v>31</v>
      </c>
      <c r="D613" t="s">
        <v>195</v>
      </c>
      <c r="E613" t="s">
        <v>34</v>
      </c>
      <c r="F613">
        <v>278</v>
      </c>
      <c r="G613">
        <v>16</v>
      </c>
      <c r="H613">
        <v>34</v>
      </c>
      <c r="I613">
        <v>9452</v>
      </c>
      <c r="J613">
        <v>472.6</v>
      </c>
      <c r="K613">
        <v>8979.4</v>
      </c>
      <c r="L613">
        <v>4448</v>
      </c>
      <c r="M613">
        <v>4531.3999999999996</v>
      </c>
      <c r="N613">
        <v>45400</v>
      </c>
      <c r="O613">
        <v>4</v>
      </c>
      <c r="P613" t="s">
        <v>75</v>
      </c>
      <c r="Q613">
        <v>2024</v>
      </c>
    </row>
    <row r="614" spans="1:17" x14ac:dyDescent="0.3">
      <c r="A614" t="s">
        <v>16</v>
      </c>
      <c r="B614" t="s">
        <v>23</v>
      </c>
      <c r="C614" t="s">
        <v>18</v>
      </c>
      <c r="D614" t="s">
        <v>96</v>
      </c>
      <c r="E614" t="s">
        <v>34</v>
      </c>
      <c r="F614">
        <v>633</v>
      </c>
      <c r="G614">
        <v>14</v>
      </c>
      <c r="H614">
        <v>35</v>
      </c>
      <c r="I614">
        <v>22155</v>
      </c>
      <c r="J614">
        <v>1107.75</v>
      </c>
      <c r="K614">
        <v>21047.25</v>
      </c>
      <c r="L614">
        <v>8862</v>
      </c>
      <c r="M614">
        <v>12185.25</v>
      </c>
      <c r="N614">
        <v>45427</v>
      </c>
      <c r="O614">
        <v>5</v>
      </c>
      <c r="P614" t="s">
        <v>46</v>
      </c>
      <c r="Q614">
        <v>2024</v>
      </c>
    </row>
    <row r="615" spans="1:17" x14ac:dyDescent="0.3">
      <c r="A615" t="s">
        <v>16</v>
      </c>
      <c r="B615" t="s">
        <v>36</v>
      </c>
      <c r="C615" t="s">
        <v>18</v>
      </c>
      <c r="D615" t="s">
        <v>97</v>
      </c>
      <c r="E615" t="s">
        <v>34</v>
      </c>
      <c r="F615">
        <v>631</v>
      </c>
      <c r="G615">
        <v>11</v>
      </c>
      <c r="H615">
        <v>19</v>
      </c>
      <c r="I615">
        <v>11989</v>
      </c>
      <c r="J615">
        <v>599.45000000000005</v>
      </c>
      <c r="K615">
        <v>11389.55</v>
      </c>
      <c r="L615">
        <v>6941</v>
      </c>
      <c r="M615">
        <v>4448.5499999999993</v>
      </c>
      <c r="N615">
        <v>45549</v>
      </c>
      <c r="O615">
        <v>9</v>
      </c>
      <c r="P615" t="s">
        <v>40</v>
      </c>
      <c r="Q615">
        <v>2024</v>
      </c>
    </row>
    <row r="616" spans="1:17" x14ac:dyDescent="0.3">
      <c r="A616" t="s">
        <v>16</v>
      </c>
      <c r="B616" t="s">
        <v>36</v>
      </c>
      <c r="C616" t="s">
        <v>18</v>
      </c>
      <c r="D616" t="s">
        <v>97</v>
      </c>
      <c r="E616" t="s">
        <v>34</v>
      </c>
      <c r="F616">
        <v>528</v>
      </c>
      <c r="G616">
        <v>11</v>
      </c>
      <c r="H616">
        <v>19</v>
      </c>
      <c r="I616">
        <v>10032</v>
      </c>
      <c r="J616">
        <v>501.6</v>
      </c>
      <c r="K616">
        <v>9530.4</v>
      </c>
      <c r="L616">
        <v>5808</v>
      </c>
      <c r="M616">
        <v>3722.3999999999996</v>
      </c>
      <c r="N616">
        <v>45467</v>
      </c>
      <c r="O616">
        <v>6</v>
      </c>
      <c r="P616" t="s">
        <v>45</v>
      </c>
      <c r="Q616">
        <v>2024</v>
      </c>
    </row>
    <row r="617" spans="1:17" x14ac:dyDescent="0.3">
      <c r="A617" t="s">
        <v>16</v>
      </c>
      <c r="B617" t="s">
        <v>20</v>
      </c>
      <c r="C617" t="s">
        <v>18</v>
      </c>
      <c r="D617" t="s">
        <v>39</v>
      </c>
      <c r="E617" t="s">
        <v>34</v>
      </c>
      <c r="F617">
        <v>916</v>
      </c>
      <c r="G617">
        <v>19</v>
      </c>
      <c r="H617">
        <v>19</v>
      </c>
      <c r="I617">
        <v>17404</v>
      </c>
      <c r="J617">
        <v>870.2</v>
      </c>
      <c r="K617">
        <v>16533.8</v>
      </c>
      <c r="L617">
        <v>17404</v>
      </c>
      <c r="M617">
        <v>-870.20000000000073</v>
      </c>
      <c r="N617">
        <v>45485</v>
      </c>
      <c r="O617">
        <v>7</v>
      </c>
      <c r="P617" t="s">
        <v>48</v>
      </c>
      <c r="Q617">
        <v>2024</v>
      </c>
    </row>
    <row r="618" spans="1:17" x14ac:dyDescent="0.3">
      <c r="A618" t="s">
        <v>16</v>
      </c>
      <c r="B618" t="s">
        <v>22</v>
      </c>
      <c r="C618" t="s">
        <v>24</v>
      </c>
      <c r="D618" t="s">
        <v>50</v>
      </c>
      <c r="E618" t="s">
        <v>34</v>
      </c>
      <c r="F618">
        <v>517</v>
      </c>
      <c r="G618">
        <v>12</v>
      </c>
      <c r="H618">
        <v>35</v>
      </c>
      <c r="I618">
        <v>18095</v>
      </c>
      <c r="J618">
        <v>904.75</v>
      </c>
      <c r="K618">
        <v>17190.25</v>
      </c>
      <c r="L618">
        <v>6204</v>
      </c>
      <c r="M618">
        <v>10986.25</v>
      </c>
      <c r="N618">
        <v>45130</v>
      </c>
      <c r="O618">
        <v>7</v>
      </c>
      <c r="P618" t="s">
        <v>48</v>
      </c>
      <c r="Q618">
        <v>2023</v>
      </c>
    </row>
    <row r="619" spans="1:17" x14ac:dyDescent="0.3">
      <c r="A619" t="s">
        <v>16</v>
      </c>
      <c r="B619" t="s">
        <v>36</v>
      </c>
      <c r="C619" t="s">
        <v>24</v>
      </c>
      <c r="D619" t="s">
        <v>124</v>
      </c>
      <c r="E619" t="s">
        <v>34</v>
      </c>
      <c r="F619">
        <v>218</v>
      </c>
      <c r="G619">
        <v>15</v>
      </c>
      <c r="H619">
        <v>34</v>
      </c>
      <c r="I619">
        <v>7412</v>
      </c>
      <c r="J619">
        <v>370.6</v>
      </c>
      <c r="K619">
        <v>7041.4</v>
      </c>
      <c r="L619">
        <v>3270</v>
      </c>
      <c r="M619">
        <v>3771.3999999999996</v>
      </c>
      <c r="N619">
        <v>45385</v>
      </c>
      <c r="O619">
        <v>4</v>
      </c>
      <c r="P619" t="s">
        <v>75</v>
      </c>
      <c r="Q619">
        <v>2024</v>
      </c>
    </row>
    <row r="620" spans="1:17" x14ac:dyDescent="0.3">
      <c r="A620" t="s">
        <v>21</v>
      </c>
      <c r="B620" t="s">
        <v>20</v>
      </c>
      <c r="C620" t="s">
        <v>28</v>
      </c>
      <c r="D620" t="s">
        <v>111</v>
      </c>
      <c r="E620" t="s">
        <v>34</v>
      </c>
      <c r="F620">
        <v>838</v>
      </c>
      <c r="G620">
        <v>16</v>
      </c>
      <c r="H620">
        <v>27</v>
      </c>
      <c r="I620">
        <v>22626</v>
      </c>
      <c r="J620">
        <v>1131.3</v>
      </c>
      <c r="K620">
        <v>21494.7</v>
      </c>
      <c r="L620">
        <v>13408</v>
      </c>
      <c r="M620">
        <v>8086.7000000000007</v>
      </c>
      <c r="N620">
        <v>45123</v>
      </c>
      <c r="O620">
        <v>7</v>
      </c>
      <c r="P620" t="s">
        <v>48</v>
      </c>
      <c r="Q620">
        <v>2023</v>
      </c>
    </row>
    <row r="621" spans="1:17" x14ac:dyDescent="0.3">
      <c r="A621" t="s">
        <v>16</v>
      </c>
      <c r="B621" t="s">
        <v>17</v>
      </c>
      <c r="C621" t="s">
        <v>28</v>
      </c>
      <c r="D621" t="s">
        <v>60</v>
      </c>
      <c r="E621" t="s">
        <v>34</v>
      </c>
      <c r="F621">
        <v>244</v>
      </c>
      <c r="G621">
        <v>17</v>
      </c>
      <c r="H621">
        <v>38</v>
      </c>
      <c r="I621">
        <v>9272</v>
      </c>
      <c r="J621">
        <v>463.6</v>
      </c>
      <c r="K621">
        <v>8808.4</v>
      </c>
      <c r="L621">
        <v>4148</v>
      </c>
      <c r="M621">
        <v>4660.3999999999996</v>
      </c>
      <c r="N621">
        <v>45237</v>
      </c>
      <c r="O621">
        <v>11</v>
      </c>
      <c r="P621" t="s">
        <v>43</v>
      </c>
      <c r="Q621">
        <v>2023</v>
      </c>
    </row>
    <row r="622" spans="1:17" x14ac:dyDescent="0.3">
      <c r="A622" t="s">
        <v>21</v>
      </c>
      <c r="B622" t="s">
        <v>36</v>
      </c>
      <c r="C622" t="s">
        <v>28</v>
      </c>
      <c r="D622" t="s">
        <v>107</v>
      </c>
      <c r="E622" t="s">
        <v>34</v>
      </c>
      <c r="F622">
        <v>560</v>
      </c>
      <c r="G622">
        <v>13</v>
      </c>
      <c r="H622">
        <v>31</v>
      </c>
      <c r="I622">
        <v>17360</v>
      </c>
      <c r="J622">
        <v>868</v>
      </c>
      <c r="K622">
        <v>16492</v>
      </c>
      <c r="L622">
        <v>7280</v>
      </c>
      <c r="M622">
        <v>9212</v>
      </c>
      <c r="N622">
        <v>45594</v>
      </c>
      <c r="O622">
        <v>10</v>
      </c>
      <c r="P622" t="s">
        <v>55</v>
      </c>
      <c r="Q622">
        <v>2024</v>
      </c>
    </row>
    <row r="623" spans="1:17" x14ac:dyDescent="0.3">
      <c r="A623" t="s">
        <v>25</v>
      </c>
      <c r="B623" t="s">
        <v>22</v>
      </c>
      <c r="C623" t="s">
        <v>28</v>
      </c>
      <c r="D623" t="s">
        <v>130</v>
      </c>
      <c r="E623" t="s">
        <v>34</v>
      </c>
      <c r="F623">
        <v>802</v>
      </c>
      <c r="G623">
        <v>18</v>
      </c>
      <c r="H623">
        <v>27</v>
      </c>
      <c r="I623">
        <v>21654</v>
      </c>
      <c r="J623">
        <v>1082.7</v>
      </c>
      <c r="K623">
        <v>20571.3</v>
      </c>
      <c r="L623">
        <v>14436</v>
      </c>
      <c r="M623">
        <v>6135.2999999999993</v>
      </c>
      <c r="N623">
        <v>45594</v>
      </c>
      <c r="O623">
        <v>10</v>
      </c>
      <c r="P623" t="s">
        <v>55</v>
      </c>
      <c r="Q623">
        <v>2024</v>
      </c>
    </row>
    <row r="624" spans="1:17" x14ac:dyDescent="0.3">
      <c r="A624" t="s">
        <v>16</v>
      </c>
      <c r="B624" t="s">
        <v>20</v>
      </c>
      <c r="C624" t="s">
        <v>30</v>
      </c>
      <c r="D624" t="s">
        <v>114</v>
      </c>
      <c r="E624" t="s">
        <v>34</v>
      </c>
      <c r="F624">
        <v>161</v>
      </c>
      <c r="G624">
        <v>13</v>
      </c>
      <c r="H624">
        <v>38</v>
      </c>
      <c r="I624">
        <v>6118</v>
      </c>
      <c r="J624">
        <v>305.90000000000003</v>
      </c>
      <c r="K624">
        <v>5812.1</v>
      </c>
      <c r="L624">
        <v>2093</v>
      </c>
      <c r="M624">
        <v>3719.1000000000004</v>
      </c>
      <c r="N624">
        <v>45247</v>
      </c>
      <c r="O624">
        <v>11</v>
      </c>
      <c r="P624" t="s">
        <v>43</v>
      </c>
      <c r="Q624">
        <v>2023</v>
      </c>
    </row>
    <row r="625" spans="1:17" x14ac:dyDescent="0.3">
      <c r="A625" t="s">
        <v>25</v>
      </c>
      <c r="B625" t="s">
        <v>22</v>
      </c>
      <c r="C625" t="s">
        <v>31</v>
      </c>
      <c r="D625" t="s">
        <v>192</v>
      </c>
      <c r="E625" t="s">
        <v>34</v>
      </c>
      <c r="F625">
        <v>301</v>
      </c>
      <c r="G625">
        <v>10</v>
      </c>
      <c r="H625">
        <v>38</v>
      </c>
      <c r="I625">
        <v>11438</v>
      </c>
      <c r="J625">
        <v>571.9</v>
      </c>
      <c r="K625">
        <v>10866.1</v>
      </c>
      <c r="L625">
        <v>3010</v>
      </c>
      <c r="M625">
        <v>7856.1</v>
      </c>
      <c r="N625">
        <v>45209</v>
      </c>
      <c r="O625">
        <v>10</v>
      </c>
      <c r="P625" t="s">
        <v>55</v>
      </c>
      <c r="Q625">
        <v>2023</v>
      </c>
    </row>
    <row r="626" spans="1:17" x14ac:dyDescent="0.3">
      <c r="A626" t="s">
        <v>25</v>
      </c>
      <c r="B626" t="s">
        <v>36</v>
      </c>
      <c r="C626" t="s">
        <v>31</v>
      </c>
      <c r="D626" t="s">
        <v>88</v>
      </c>
      <c r="E626" t="s">
        <v>34</v>
      </c>
      <c r="F626">
        <v>134</v>
      </c>
      <c r="G626">
        <v>15</v>
      </c>
      <c r="H626">
        <v>34</v>
      </c>
      <c r="I626">
        <v>4556</v>
      </c>
      <c r="J626">
        <v>227.8</v>
      </c>
      <c r="K626">
        <v>4328.2</v>
      </c>
      <c r="L626">
        <v>2010</v>
      </c>
      <c r="M626">
        <v>2318.1999999999998</v>
      </c>
      <c r="N626">
        <v>45067</v>
      </c>
      <c r="O626">
        <v>5</v>
      </c>
      <c r="P626" t="s">
        <v>46</v>
      </c>
      <c r="Q626">
        <v>2023</v>
      </c>
    </row>
    <row r="627" spans="1:17" x14ac:dyDescent="0.3">
      <c r="A627" t="s">
        <v>27</v>
      </c>
      <c r="B627" t="s">
        <v>23</v>
      </c>
      <c r="C627" t="s">
        <v>18</v>
      </c>
      <c r="D627" t="s">
        <v>102</v>
      </c>
      <c r="E627" t="s">
        <v>34</v>
      </c>
      <c r="F627">
        <v>503</v>
      </c>
      <c r="G627">
        <v>16</v>
      </c>
      <c r="H627">
        <v>37</v>
      </c>
      <c r="I627">
        <v>18611</v>
      </c>
      <c r="J627">
        <v>930.55000000000007</v>
      </c>
      <c r="K627">
        <v>17680.45</v>
      </c>
      <c r="L627">
        <v>8048</v>
      </c>
      <c r="M627">
        <v>9632.4500000000007</v>
      </c>
      <c r="N627">
        <v>45592</v>
      </c>
      <c r="O627">
        <v>10</v>
      </c>
      <c r="P627" t="s">
        <v>55</v>
      </c>
      <c r="Q627">
        <v>2024</v>
      </c>
    </row>
    <row r="628" spans="1:17" x14ac:dyDescent="0.3">
      <c r="A628" t="s">
        <v>26</v>
      </c>
      <c r="B628" t="s">
        <v>22</v>
      </c>
      <c r="C628" t="s">
        <v>18</v>
      </c>
      <c r="D628" t="s">
        <v>145</v>
      </c>
      <c r="E628" t="s">
        <v>34</v>
      </c>
      <c r="F628">
        <v>565</v>
      </c>
      <c r="G628">
        <v>10</v>
      </c>
      <c r="H628">
        <v>23</v>
      </c>
      <c r="I628">
        <v>12995</v>
      </c>
      <c r="J628">
        <v>649.75</v>
      </c>
      <c r="K628">
        <v>12345.25</v>
      </c>
      <c r="L628">
        <v>5650</v>
      </c>
      <c r="M628">
        <v>6695.25</v>
      </c>
      <c r="N628">
        <v>45331</v>
      </c>
      <c r="O628">
        <v>2</v>
      </c>
      <c r="P628" t="s">
        <v>52</v>
      </c>
      <c r="Q628">
        <v>2024</v>
      </c>
    </row>
    <row r="629" spans="1:17" x14ac:dyDescent="0.3">
      <c r="A629" t="s">
        <v>27</v>
      </c>
      <c r="B629" t="s">
        <v>17</v>
      </c>
      <c r="C629" t="s">
        <v>18</v>
      </c>
      <c r="D629" t="s">
        <v>188</v>
      </c>
      <c r="E629" t="s">
        <v>34</v>
      </c>
      <c r="F629">
        <v>367</v>
      </c>
      <c r="G629">
        <v>16</v>
      </c>
      <c r="H629">
        <v>27</v>
      </c>
      <c r="I629">
        <v>9909</v>
      </c>
      <c r="J629">
        <v>495.45000000000005</v>
      </c>
      <c r="K629">
        <v>9413.5499999999993</v>
      </c>
      <c r="L629">
        <v>5872</v>
      </c>
      <c r="M629">
        <v>3541.5499999999993</v>
      </c>
      <c r="N629">
        <v>45132</v>
      </c>
      <c r="O629">
        <v>7</v>
      </c>
      <c r="P629" t="s">
        <v>48</v>
      </c>
      <c r="Q629">
        <v>2023</v>
      </c>
    </row>
    <row r="630" spans="1:17" x14ac:dyDescent="0.3">
      <c r="A630" t="s">
        <v>27</v>
      </c>
      <c r="B630" t="s">
        <v>36</v>
      </c>
      <c r="C630" t="s">
        <v>18</v>
      </c>
      <c r="D630" t="s">
        <v>162</v>
      </c>
      <c r="E630" t="s">
        <v>34</v>
      </c>
      <c r="F630">
        <v>854</v>
      </c>
      <c r="G630">
        <v>17</v>
      </c>
      <c r="H630">
        <v>23</v>
      </c>
      <c r="I630">
        <v>19642</v>
      </c>
      <c r="J630">
        <v>982.1</v>
      </c>
      <c r="K630">
        <v>18659.900000000001</v>
      </c>
      <c r="L630">
        <v>14518</v>
      </c>
      <c r="M630">
        <v>4141.9000000000015</v>
      </c>
      <c r="N630">
        <v>45590</v>
      </c>
      <c r="O630">
        <v>10</v>
      </c>
      <c r="P630" t="s">
        <v>55</v>
      </c>
      <c r="Q630">
        <v>2024</v>
      </c>
    </row>
    <row r="631" spans="1:17" x14ac:dyDescent="0.3">
      <c r="A631" t="s">
        <v>21</v>
      </c>
      <c r="B631" t="s">
        <v>20</v>
      </c>
      <c r="C631" t="s">
        <v>18</v>
      </c>
      <c r="D631" t="s">
        <v>42</v>
      </c>
      <c r="E631" t="s">
        <v>34</v>
      </c>
      <c r="F631">
        <v>496</v>
      </c>
      <c r="G631">
        <v>14</v>
      </c>
      <c r="H631">
        <v>21</v>
      </c>
      <c r="I631">
        <v>10416</v>
      </c>
      <c r="J631">
        <v>520.80000000000007</v>
      </c>
      <c r="K631">
        <v>9895.2000000000007</v>
      </c>
      <c r="L631">
        <v>6944</v>
      </c>
      <c r="M631">
        <v>2951.2000000000007</v>
      </c>
      <c r="N631">
        <v>45691</v>
      </c>
      <c r="O631">
        <v>2</v>
      </c>
      <c r="P631" t="s">
        <v>52</v>
      </c>
      <c r="Q631">
        <v>2025</v>
      </c>
    </row>
    <row r="632" spans="1:17" x14ac:dyDescent="0.3">
      <c r="A632" t="s">
        <v>21</v>
      </c>
      <c r="B632" t="s">
        <v>17</v>
      </c>
      <c r="C632" t="s">
        <v>18</v>
      </c>
      <c r="D632" t="s">
        <v>167</v>
      </c>
      <c r="E632" t="s">
        <v>34</v>
      </c>
      <c r="F632">
        <v>404</v>
      </c>
      <c r="G632">
        <v>10</v>
      </c>
      <c r="H632">
        <v>23</v>
      </c>
      <c r="I632">
        <v>9292</v>
      </c>
      <c r="J632">
        <v>464.6</v>
      </c>
      <c r="K632">
        <v>8827.4</v>
      </c>
      <c r="L632">
        <v>4040</v>
      </c>
      <c r="M632">
        <v>4787.3999999999996</v>
      </c>
      <c r="N632">
        <v>45678</v>
      </c>
      <c r="O632">
        <v>1</v>
      </c>
      <c r="P632" t="s">
        <v>58</v>
      </c>
      <c r="Q632">
        <v>2025</v>
      </c>
    </row>
    <row r="633" spans="1:17" x14ac:dyDescent="0.3">
      <c r="A633" t="s">
        <v>26</v>
      </c>
      <c r="B633" t="s">
        <v>23</v>
      </c>
      <c r="C633" t="s">
        <v>18</v>
      </c>
      <c r="D633" t="s">
        <v>183</v>
      </c>
      <c r="E633" t="s">
        <v>34</v>
      </c>
      <c r="F633">
        <v>441</v>
      </c>
      <c r="G633">
        <v>12</v>
      </c>
      <c r="H633">
        <v>26</v>
      </c>
      <c r="I633">
        <v>11466</v>
      </c>
      <c r="J633">
        <v>573.30000000000007</v>
      </c>
      <c r="K633">
        <v>10892.7</v>
      </c>
      <c r="L633">
        <v>5292</v>
      </c>
      <c r="M633">
        <v>5600.7000000000007</v>
      </c>
      <c r="N633">
        <v>45239</v>
      </c>
      <c r="O633">
        <v>11</v>
      </c>
      <c r="P633" t="s">
        <v>43</v>
      </c>
      <c r="Q633">
        <v>2023</v>
      </c>
    </row>
    <row r="634" spans="1:17" x14ac:dyDescent="0.3">
      <c r="A634" t="s">
        <v>16</v>
      </c>
      <c r="B634" t="s">
        <v>17</v>
      </c>
      <c r="C634" t="s">
        <v>24</v>
      </c>
      <c r="D634" t="s">
        <v>105</v>
      </c>
      <c r="E634" t="s">
        <v>34</v>
      </c>
      <c r="F634">
        <v>458</v>
      </c>
      <c r="G634">
        <v>12</v>
      </c>
      <c r="H634">
        <v>26</v>
      </c>
      <c r="I634">
        <v>11908</v>
      </c>
      <c r="J634">
        <v>595.4</v>
      </c>
      <c r="K634">
        <v>11312.6</v>
      </c>
      <c r="L634">
        <v>5496</v>
      </c>
      <c r="M634">
        <v>5816.6</v>
      </c>
      <c r="N634">
        <v>45211</v>
      </c>
      <c r="O634">
        <v>10</v>
      </c>
      <c r="P634" t="s">
        <v>55</v>
      </c>
      <c r="Q634">
        <v>2023</v>
      </c>
    </row>
    <row r="635" spans="1:17" x14ac:dyDescent="0.3">
      <c r="A635" t="s">
        <v>16</v>
      </c>
      <c r="B635" t="s">
        <v>20</v>
      </c>
      <c r="C635" t="s">
        <v>24</v>
      </c>
      <c r="D635" t="s">
        <v>57</v>
      </c>
      <c r="E635" t="s">
        <v>34</v>
      </c>
      <c r="F635">
        <v>972</v>
      </c>
      <c r="G635">
        <v>16</v>
      </c>
      <c r="H635">
        <v>31</v>
      </c>
      <c r="I635">
        <v>30132</v>
      </c>
      <c r="J635">
        <v>1506.6000000000001</v>
      </c>
      <c r="K635">
        <v>28625.4</v>
      </c>
      <c r="L635">
        <v>15552</v>
      </c>
      <c r="M635">
        <v>13073.400000000001</v>
      </c>
      <c r="N635">
        <v>45586</v>
      </c>
      <c r="O635">
        <v>10</v>
      </c>
      <c r="P635" t="s">
        <v>55</v>
      </c>
      <c r="Q635">
        <v>2024</v>
      </c>
    </row>
    <row r="636" spans="1:17" x14ac:dyDescent="0.3">
      <c r="A636" t="s">
        <v>16</v>
      </c>
      <c r="B636" t="s">
        <v>17</v>
      </c>
      <c r="C636" t="s">
        <v>24</v>
      </c>
      <c r="D636" t="s">
        <v>105</v>
      </c>
      <c r="E636" t="s">
        <v>34</v>
      </c>
      <c r="F636">
        <v>218</v>
      </c>
      <c r="G636">
        <v>12</v>
      </c>
      <c r="H636">
        <v>26</v>
      </c>
      <c r="I636">
        <v>5668</v>
      </c>
      <c r="J636">
        <v>283.40000000000003</v>
      </c>
      <c r="K636">
        <v>5384.6</v>
      </c>
      <c r="L636">
        <v>2616</v>
      </c>
      <c r="M636">
        <v>2768.6000000000004</v>
      </c>
      <c r="N636">
        <v>45493</v>
      </c>
      <c r="O636">
        <v>7</v>
      </c>
      <c r="P636" t="s">
        <v>48</v>
      </c>
      <c r="Q636">
        <v>2024</v>
      </c>
    </row>
    <row r="637" spans="1:17" x14ac:dyDescent="0.3">
      <c r="A637" t="s">
        <v>16</v>
      </c>
      <c r="B637" t="s">
        <v>17</v>
      </c>
      <c r="C637" t="s">
        <v>24</v>
      </c>
      <c r="D637" t="s">
        <v>105</v>
      </c>
      <c r="E637" t="s">
        <v>34</v>
      </c>
      <c r="F637">
        <v>669</v>
      </c>
      <c r="G637">
        <v>12</v>
      </c>
      <c r="H637">
        <v>26</v>
      </c>
      <c r="I637">
        <v>17394</v>
      </c>
      <c r="J637">
        <v>869.7</v>
      </c>
      <c r="K637">
        <v>16524.3</v>
      </c>
      <c r="L637">
        <v>8028</v>
      </c>
      <c r="M637">
        <v>8496.2999999999993</v>
      </c>
      <c r="N637">
        <v>45110</v>
      </c>
      <c r="O637">
        <v>7</v>
      </c>
      <c r="P637" t="s">
        <v>48</v>
      </c>
      <c r="Q637">
        <v>2023</v>
      </c>
    </row>
    <row r="638" spans="1:17" x14ac:dyDescent="0.3">
      <c r="A638" t="s">
        <v>16</v>
      </c>
      <c r="B638" t="s">
        <v>23</v>
      </c>
      <c r="C638" t="s">
        <v>24</v>
      </c>
      <c r="D638" t="s">
        <v>163</v>
      </c>
      <c r="E638" t="s">
        <v>34</v>
      </c>
      <c r="F638">
        <v>262</v>
      </c>
      <c r="G638">
        <v>15</v>
      </c>
      <c r="H638">
        <v>34</v>
      </c>
      <c r="I638">
        <v>8908</v>
      </c>
      <c r="J638">
        <v>445.40000000000003</v>
      </c>
      <c r="K638">
        <v>8462.6</v>
      </c>
      <c r="L638">
        <v>3930</v>
      </c>
      <c r="M638">
        <v>4532.6000000000004</v>
      </c>
      <c r="N638">
        <v>45536</v>
      </c>
      <c r="O638">
        <v>9</v>
      </c>
      <c r="P638" t="s">
        <v>40</v>
      </c>
      <c r="Q638">
        <v>2024</v>
      </c>
    </row>
    <row r="639" spans="1:17" x14ac:dyDescent="0.3">
      <c r="A639" t="s">
        <v>21</v>
      </c>
      <c r="B639" t="s">
        <v>17</v>
      </c>
      <c r="C639" t="s">
        <v>24</v>
      </c>
      <c r="D639" t="s">
        <v>152</v>
      </c>
      <c r="E639" t="s">
        <v>34</v>
      </c>
      <c r="F639">
        <v>128</v>
      </c>
      <c r="G639">
        <v>16</v>
      </c>
      <c r="H639">
        <v>24</v>
      </c>
      <c r="I639">
        <v>3072</v>
      </c>
      <c r="J639">
        <v>153.60000000000002</v>
      </c>
      <c r="K639">
        <v>2918.4</v>
      </c>
      <c r="L639">
        <v>2048</v>
      </c>
      <c r="M639">
        <v>870.40000000000009</v>
      </c>
      <c r="N639">
        <v>45050</v>
      </c>
      <c r="O639">
        <v>5</v>
      </c>
      <c r="P639" t="s">
        <v>46</v>
      </c>
      <c r="Q639">
        <v>2023</v>
      </c>
    </row>
    <row r="640" spans="1:17" x14ac:dyDescent="0.3">
      <c r="A640" t="s">
        <v>16</v>
      </c>
      <c r="B640" t="s">
        <v>23</v>
      </c>
      <c r="C640" t="s">
        <v>28</v>
      </c>
      <c r="D640" t="s">
        <v>66</v>
      </c>
      <c r="E640" t="s">
        <v>34</v>
      </c>
      <c r="F640">
        <v>69</v>
      </c>
      <c r="G640">
        <v>11</v>
      </c>
      <c r="H640">
        <v>21</v>
      </c>
      <c r="I640">
        <v>1449</v>
      </c>
      <c r="J640">
        <v>72.45</v>
      </c>
      <c r="K640">
        <v>1376.55</v>
      </c>
      <c r="L640">
        <v>759</v>
      </c>
      <c r="M640">
        <v>617.54999999999995</v>
      </c>
      <c r="N640">
        <v>45537</v>
      </c>
      <c r="O640">
        <v>9</v>
      </c>
      <c r="P640" t="s">
        <v>40</v>
      </c>
      <c r="Q640">
        <v>2024</v>
      </c>
    </row>
    <row r="641" spans="1:17" x14ac:dyDescent="0.3">
      <c r="A641" t="s">
        <v>21</v>
      </c>
      <c r="B641" t="s">
        <v>17</v>
      </c>
      <c r="C641" t="s">
        <v>28</v>
      </c>
      <c r="D641" t="s">
        <v>71</v>
      </c>
      <c r="E641" t="s">
        <v>34</v>
      </c>
      <c r="F641">
        <v>608</v>
      </c>
      <c r="G641">
        <v>17</v>
      </c>
      <c r="H641">
        <v>25</v>
      </c>
      <c r="I641">
        <v>15200</v>
      </c>
      <c r="J641">
        <v>760</v>
      </c>
      <c r="K641">
        <v>14440</v>
      </c>
      <c r="L641">
        <v>10336</v>
      </c>
      <c r="M641">
        <v>4104</v>
      </c>
      <c r="N641">
        <v>45662</v>
      </c>
      <c r="O641">
        <v>1</v>
      </c>
      <c r="P641" t="s">
        <v>58</v>
      </c>
      <c r="Q641">
        <v>2025</v>
      </c>
    </row>
    <row r="642" spans="1:17" x14ac:dyDescent="0.3">
      <c r="A642" t="s">
        <v>21</v>
      </c>
      <c r="B642" t="s">
        <v>17</v>
      </c>
      <c r="C642" t="s">
        <v>28</v>
      </c>
      <c r="D642" t="s">
        <v>71</v>
      </c>
      <c r="E642" t="s">
        <v>34</v>
      </c>
      <c r="F642">
        <v>311</v>
      </c>
      <c r="G642">
        <v>17</v>
      </c>
      <c r="H642">
        <v>25</v>
      </c>
      <c r="I642">
        <v>7775</v>
      </c>
      <c r="J642">
        <v>388.75</v>
      </c>
      <c r="K642">
        <v>7386.25</v>
      </c>
      <c r="L642">
        <v>5287</v>
      </c>
      <c r="M642">
        <v>2099.25</v>
      </c>
      <c r="N642">
        <v>45708</v>
      </c>
      <c r="O642">
        <v>2</v>
      </c>
      <c r="P642" t="s">
        <v>52</v>
      </c>
      <c r="Q642">
        <v>2025</v>
      </c>
    </row>
    <row r="643" spans="1:17" x14ac:dyDescent="0.3">
      <c r="A643" t="s">
        <v>25</v>
      </c>
      <c r="B643" t="s">
        <v>36</v>
      </c>
      <c r="C643" t="s">
        <v>28</v>
      </c>
      <c r="D643" t="s">
        <v>70</v>
      </c>
      <c r="E643" t="s">
        <v>34</v>
      </c>
      <c r="F643">
        <v>704</v>
      </c>
      <c r="G643">
        <v>15</v>
      </c>
      <c r="H643">
        <v>16</v>
      </c>
      <c r="I643">
        <v>11264</v>
      </c>
      <c r="J643">
        <v>563.20000000000005</v>
      </c>
      <c r="K643">
        <v>10700.8</v>
      </c>
      <c r="L643">
        <v>10560</v>
      </c>
      <c r="M643">
        <v>140.79999999999927</v>
      </c>
      <c r="N643">
        <v>45107</v>
      </c>
      <c r="O643">
        <v>6</v>
      </c>
      <c r="P643" t="s">
        <v>45</v>
      </c>
      <c r="Q643">
        <v>2023</v>
      </c>
    </row>
    <row r="644" spans="1:17" x14ac:dyDescent="0.3">
      <c r="A644" t="s">
        <v>16</v>
      </c>
      <c r="B644" t="s">
        <v>22</v>
      </c>
      <c r="C644" t="s">
        <v>28</v>
      </c>
      <c r="D644" t="s">
        <v>93</v>
      </c>
      <c r="E644" t="s">
        <v>34</v>
      </c>
      <c r="F644">
        <v>275</v>
      </c>
      <c r="G644">
        <v>12</v>
      </c>
      <c r="H644">
        <v>27</v>
      </c>
      <c r="I644">
        <v>7425</v>
      </c>
      <c r="J644">
        <v>371.25</v>
      </c>
      <c r="K644">
        <v>7053.75</v>
      </c>
      <c r="L644">
        <v>3300</v>
      </c>
      <c r="M644">
        <v>3753.75</v>
      </c>
      <c r="N644">
        <v>45560</v>
      </c>
      <c r="O644">
        <v>9</v>
      </c>
      <c r="P644" t="s">
        <v>40</v>
      </c>
      <c r="Q644">
        <v>2024</v>
      </c>
    </row>
    <row r="645" spans="1:17" x14ac:dyDescent="0.3">
      <c r="A645" t="s">
        <v>16</v>
      </c>
      <c r="B645" t="s">
        <v>17</v>
      </c>
      <c r="C645" t="s">
        <v>28</v>
      </c>
      <c r="D645" t="s">
        <v>60</v>
      </c>
      <c r="E645" t="s">
        <v>34</v>
      </c>
      <c r="F645">
        <v>537</v>
      </c>
      <c r="G645">
        <v>17</v>
      </c>
      <c r="H645">
        <v>38</v>
      </c>
      <c r="I645">
        <v>20406</v>
      </c>
      <c r="J645">
        <v>1020.3000000000001</v>
      </c>
      <c r="K645">
        <v>19385.7</v>
      </c>
      <c r="L645">
        <v>9129</v>
      </c>
      <c r="M645">
        <v>10256.700000000001</v>
      </c>
      <c r="N645">
        <v>45595</v>
      </c>
      <c r="O645">
        <v>10</v>
      </c>
      <c r="P645" t="s">
        <v>55</v>
      </c>
      <c r="Q645">
        <v>2024</v>
      </c>
    </row>
    <row r="646" spans="1:17" x14ac:dyDescent="0.3">
      <c r="A646" t="s">
        <v>25</v>
      </c>
      <c r="B646" t="s">
        <v>17</v>
      </c>
      <c r="C646" t="s">
        <v>28</v>
      </c>
      <c r="D646" t="s">
        <v>63</v>
      </c>
      <c r="E646" t="s">
        <v>34</v>
      </c>
      <c r="F646">
        <v>841</v>
      </c>
      <c r="G646">
        <v>11</v>
      </c>
      <c r="H646">
        <v>21</v>
      </c>
      <c r="I646">
        <v>17661</v>
      </c>
      <c r="J646">
        <v>883.05000000000007</v>
      </c>
      <c r="K646">
        <v>16777.95</v>
      </c>
      <c r="L646">
        <v>9251</v>
      </c>
      <c r="M646">
        <v>7526.9500000000007</v>
      </c>
      <c r="N646">
        <v>45286</v>
      </c>
      <c r="O646">
        <v>12</v>
      </c>
      <c r="P646" t="s">
        <v>77</v>
      </c>
      <c r="Q646">
        <v>2023</v>
      </c>
    </row>
    <row r="647" spans="1:17" x14ac:dyDescent="0.3">
      <c r="A647" t="s">
        <v>16</v>
      </c>
      <c r="B647" t="s">
        <v>36</v>
      </c>
      <c r="C647" t="s">
        <v>28</v>
      </c>
      <c r="D647" t="s">
        <v>69</v>
      </c>
      <c r="E647" t="s">
        <v>34</v>
      </c>
      <c r="F647">
        <v>871</v>
      </c>
      <c r="G647">
        <v>20</v>
      </c>
      <c r="H647">
        <v>25</v>
      </c>
      <c r="I647">
        <v>21775</v>
      </c>
      <c r="J647">
        <v>1088.75</v>
      </c>
      <c r="K647">
        <v>20686.25</v>
      </c>
      <c r="L647">
        <v>17420</v>
      </c>
      <c r="M647">
        <v>3266.25</v>
      </c>
      <c r="N647">
        <v>45332</v>
      </c>
      <c r="O647">
        <v>2</v>
      </c>
      <c r="P647" t="s">
        <v>52</v>
      </c>
      <c r="Q647">
        <v>2024</v>
      </c>
    </row>
    <row r="648" spans="1:17" x14ac:dyDescent="0.3">
      <c r="A648" t="s">
        <v>16</v>
      </c>
      <c r="B648" t="s">
        <v>22</v>
      </c>
      <c r="C648" t="s">
        <v>28</v>
      </c>
      <c r="D648" t="s">
        <v>93</v>
      </c>
      <c r="E648" t="s">
        <v>34</v>
      </c>
      <c r="F648">
        <v>342</v>
      </c>
      <c r="G648">
        <v>12</v>
      </c>
      <c r="H648">
        <v>27</v>
      </c>
      <c r="I648">
        <v>9234</v>
      </c>
      <c r="J648">
        <v>461.70000000000005</v>
      </c>
      <c r="K648">
        <v>8772.2999999999993</v>
      </c>
      <c r="L648">
        <v>4104</v>
      </c>
      <c r="M648">
        <v>4668.2999999999993</v>
      </c>
      <c r="N648">
        <v>45487</v>
      </c>
      <c r="O648">
        <v>7</v>
      </c>
      <c r="P648" t="s">
        <v>48</v>
      </c>
      <c r="Q648">
        <v>2024</v>
      </c>
    </row>
    <row r="649" spans="1:17" x14ac:dyDescent="0.3">
      <c r="A649" t="s">
        <v>26</v>
      </c>
      <c r="B649" t="s">
        <v>23</v>
      </c>
      <c r="C649" t="s">
        <v>29</v>
      </c>
      <c r="D649" t="s">
        <v>136</v>
      </c>
      <c r="E649" t="s">
        <v>34</v>
      </c>
      <c r="F649">
        <v>326</v>
      </c>
      <c r="G649">
        <v>12</v>
      </c>
      <c r="H649">
        <v>30</v>
      </c>
      <c r="I649">
        <v>9780</v>
      </c>
      <c r="J649">
        <v>489</v>
      </c>
      <c r="K649">
        <v>9291</v>
      </c>
      <c r="L649">
        <v>3912</v>
      </c>
      <c r="M649">
        <v>5379</v>
      </c>
      <c r="N649">
        <v>45152</v>
      </c>
      <c r="O649">
        <v>8</v>
      </c>
      <c r="P649" t="s">
        <v>62</v>
      </c>
      <c r="Q649">
        <v>2023</v>
      </c>
    </row>
    <row r="650" spans="1:17" x14ac:dyDescent="0.3">
      <c r="A650" t="s">
        <v>16</v>
      </c>
      <c r="B650" t="s">
        <v>36</v>
      </c>
      <c r="C650" t="s">
        <v>29</v>
      </c>
      <c r="D650" t="s">
        <v>134</v>
      </c>
      <c r="E650" t="s">
        <v>34</v>
      </c>
      <c r="F650">
        <v>668</v>
      </c>
      <c r="G650">
        <v>13</v>
      </c>
      <c r="H650">
        <v>38</v>
      </c>
      <c r="I650">
        <v>25384</v>
      </c>
      <c r="J650">
        <v>1269.2</v>
      </c>
      <c r="K650">
        <v>24114.799999999999</v>
      </c>
      <c r="L650">
        <v>8684</v>
      </c>
      <c r="M650">
        <v>15430.8</v>
      </c>
      <c r="N650">
        <v>45511</v>
      </c>
      <c r="O650">
        <v>8</v>
      </c>
      <c r="P650" t="s">
        <v>62</v>
      </c>
      <c r="Q650">
        <v>2024</v>
      </c>
    </row>
    <row r="651" spans="1:17" x14ac:dyDescent="0.3">
      <c r="A651" t="s">
        <v>27</v>
      </c>
      <c r="B651" t="s">
        <v>36</v>
      </c>
      <c r="C651" t="s">
        <v>29</v>
      </c>
      <c r="D651" t="s">
        <v>179</v>
      </c>
      <c r="E651" t="s">
        <v>34</v>
      </c>
      <c r="F651">
        <v>401</v>
      </c>
      <c r="G651">
        <v>20</v>
      </c>
      <c r="H651">
        <v>33</v>
      </c>
      <c r="I651">
        <v>13233</v>
      </c>
      <c r="J651">
        <v>661.65000000000009</v>
      </c>
      <c r="K651">
        <v>12571.35</v>
      </c>
      <c r="L651">
        <v>8020</v>
      </c>
      <c r="M651">
        <v>4551.3500000000004</v>
      </c>
      <c r="N651">
        <v>45689</v>
      </c>
      <c r="O651">
        <v>2</v>
      </c>
      <c r="P651" t="s">
        <v>52</v>
      </c>
      <c r="Q651">
        <v>2025</v>
      </c>
    </row>
    <row r="652" spans="1:17" x14ac:dyDescent="0.3">
      <c r="A652" t="s">
        <v>27</v>
      </c>
      <c r="B652" t="s">
        <v>17</v>
      </c>
      <c r="C652" t="s">
        <v>29</v>
      </c>
      <c r="D652" t="s">
        <v>189</v>
      </c>
      <c r="E652" t="s">
        <v>34</v>
      </c>
      <c r="F652">
        <v>113</v>
      </c>
      <c r="G652">
        <v>11</v>
      </c>
      <c r="H652">
        <v>20</v>
      </c>
      <c r="I652">
        <v>2260</v>
      </c>
      <c r="J652">
        <v>113</v>
      </c>
      <c r="K652">
        <v>2147</v>
      </c>
      <c r="L652">
        <v>1243</v>
      </c>
      <c r="M652">
        <v>904</v>
      </c>
      <c r="N652">
        <v>45637</v>
      </c>
      <c r="O652">
        <v>12</v>
      </c>
      <c r="P652" t="s">
        <v>77</v>
      </c>
      <c r="Q652">
        <v>2024</v>
      </c>
    </row>
    <row r="653" spans="1:17" x14ac:dyDescent="0.3">
      <c r="A653" t="s">
        <v>27</v>
      </c>
      <c r="B653" t="s">
        <v>20</v>
      </c>
      <c r="C653" t="s">
        <v>29</v>
      </c>
      <c r="D653" t="s">
        <v>166</v>
      </c>
      <c r="E653" t="s">
        <v>34</v>
      </c>
      <c r="F653">
        <v>348</v>
      </c>
      <c r="G653">
        <v>18</v>
      </c>
      <c r="H653">
        <v>30</v>
      </c>
      <c r="I653">
        <v>10440</v>
      </c>
      <c r="J653">
        <v>522</v>
      </c>
      <c r="K653">
        <v>9918</v>
      </c>
      <c r="L653">
        <v>6264</v>
      </c>
      <c r="M653">
        <v>3654</v>
      </c>
      <c r="N653">
        <v>45206</v>
      </c>
      <c r="O653">
        <v>10</v>
      </c>
      <c r="P653" t="s">
        <v>55</v>
      </c>
      <c r="Q653">
        <v>2023</v>
      </c>
    </row>
    <row r="654" spans="1:17" x14ac:dyDescent="0.3">
      <c r="A654" t="s">
        <v>16</v>
      </c>
      <c r="B654" t="s">
        <v>23</v>
      </c>
      <c r="C654" t="s">
        <v>30</v>
      </c>
      <c r="D654" t="s">
        <v>119</v>
      </c>
      <c r="E654" t="s">
        <v>34</v>
      </c>
      <c r="F654">
        <v>187</v>
      </c>
      <c r="G654">
        <v>18</v>
      </c>
      <c r="H654">
        <v>19</v>
      </c>
      <c r="I654">
        <v>3553</v>
      </c>
      <c r="J654">
        <v>177.65</v>
      </c>
      <c r="K654">
        <v>3375.35</v>
      </c>
      <c r="L654">
        <v>3366</v>
      </c>
      <c r="M654">
        <v>9.3499999999999091</v>
      </c>
      <c r="N654">
        <v>45707</v>
      </c>
      <c r="O654">
        <v>2</v>
      </c>
      <c r="P654" t="s">
        <v>52</v>
      </c>
      <c r="Q654">
        <v>2025</v>
      </c>
    </row>
    <row r="655" spans="1:17" x14ac:dyDescent="0.3">
      <c r="A655" t="s">
        <v>27</v>
      </c>
      <c r="B655" t="s">
        <v>36</v>
      </c>
      <c r="C655" t="s">
        <v>30</v>
      </c>
      <c r="D655" t="s">
        <v>149</v>
      </c>
      <c r="E655" t="s">
        <v>34</v>
      </c>
      <c r="F655">
        <v>102</v>
      </c>
      <c r="G655">
        <v>10</v>
      </c>
      <c r="H655">
        <v>38</v>
      </c>
      <c r="I655">
        <v>3876</v>
      </c>
      <c r="J655">
        <v>193.8</v>
      </c>
      <c r="K655">
        <v>3682.2</v>
      </c>
      <c r="L655">
        <v>1020</v>
      </c>
      <c r="M655">
        <v>2662.2</v>
      </c>
      <c r="N655">
        <v>45716</v>
      </c>
      <c r="O655">
        <v>2</v>
      </c>
      <c r="P655" t="s">
        <v>52</v>
      </c>
      <c r="Q655">
        <v>2025</v>
      </c>
    </row>
    <row r="656" spans="1:17" x14ac:dyDescent="0.3">
      <c r="A656" t="s">
        <v>27</v>
      </c>
      <c r="B656" t="s">
        <v>17</v>
      </c>
      <c r="C656" t="s">
        <v>30</v>
      </c>
      <c r="D656" t="s">
        <v>80</v>
      </c>
      <c r="E656" t="s">
        <v>34</v>
      </c>
      <c r="F656">
        <v>961</v>
      </c>
      <c r="G656">
        <v>16</v>
      </c>
      <c r="H656">
        <v>16</v>
      </c>
      <c r="I656">
        <v>15376</v>
      </c>
      <c r="J656">
        <v>768.80000000000007</v>
      </c>
      <c r="K656">
        <v>14607.2</v>
      </c>
      <c r="L656">
        <v>15376</v>
      </c>
      <c r="M656">
        <v>-768.79999999999927</v>
      </c>
      <c r="N656">
        <v>45588</v>
      </c>
      <c r="O656">
        <v>10</v>
      </c>
      <c r="P656" t="s">
        <v>55</v>
      </c>
      <c r="Q656">
        <v>2024</v>
      </c>
    </row>
    <row r="657" spans="1:17" x14ac:dyDescent="0.3">
      <c r="A657" t="s">
        <v>27</v>
      </c>
      <c r="B657" t="s">
        <v>17</v>
      </c>
      <c r="C657" t="s">
        <v>30</v>
      </c>
      <c r="D657" t="s">
        <v>80</v>
      </c>
      <c r="E657" t="s">
        <v>34</v>
      </c>
      <c r="F657">
        <v>790</v>
      </c>
      <c r="G657">
        <v>16</v>
      </c>
      <c r="H657">
        <v>16</v>
      </c>
      <c r="I657">
        <v>12640</v>
      </c>
      <c r="J657">
        <v>632</v>
      </c>
      <c r="K657">
        <v>12008</v>
      </c>
      <c r="L657">
        <v>12640</v>
      </c>
      <c r="M657">
        <v>-632</v>
      </c>
      <c r="N657">
        <v>45589</v>
      </c>
      <c r="O657">
        <v>10</v>
      </c>
      <c r="P657" t="s">
        <v>55</v>
      </c>
      <c r="Q657">
        <v>2024</v>
      </c>
    </row>
    <row r="658" spans="1:17" x14ac:dyDescent="0.3">
      <c r="A658" t="s">
        <v>27</v>
      </c>
      <c r="B658" t="s">
        <v>36</v>
      </c>
      <c r="C658" t="s">
        <v>30</v>
      </c>
      <c r="D658" t="s">
        <v>149</v>
      </c>
      <c r="E658" t="s">
        <v>34</v>
      </c>
      <c r="F658">
        <v>451</v>
      </c>
      <c r="G658">
        <v>10</v>
      </c>
      <c r="H658">
        <v>38</v>
      </c>
      <c r="I658">
        <v>17138</v>
      </c>
      <c r="J658">
        <v>856.90000000000009</v>
      </c>
      <c r="K658">
        <v>16281.1</v>
      </c>
      <c r="L658">
        <v>4510</v>
      </c>
      <c r="M658">
        <v>11771.1</v>
      </c>
      <c r="N658">
        <v>45315</v>
      </c>
      <c r="O658">
        <v>1</v>
      </c>
      <c r="P658" t="s">
        <v>58</v>
      </c>
      <c r="Q658">
        <v>2024</v>
      </c>
    </row>
    <row r="659" spans="1:17" x14ac:dyDescent="0.3">
      <c r="A659" t="s">
        <v>16</v>
      </c>
      <c r="B659" t="s">
        <v>22</v>
      </c>
      <c r="C659" t="s">
        <v>30</v>
      </c>
      <c r="D659" t="s">
        <v>84</v>
      </c>
      <c r="E659" t="s">
        <v>34</v>
      </c>
      <c r="F659">
        <v>766</v>
      </c>
      <c r="G659">
        <v>20</v>
      </c>
      <c r="H659">
        <v>23</v>
      </c>
      <c r="I659">
        <v>17618</v>
      </c>
      <c r="J659">
        <v>880.90000000000009</v>
      </c>
      <c r="K659">
        <v>16737.099999999999</v>
      </c>
      <c r="L659">
        <v>15320</v>
      </c>
      <c r="M659">
        <v>1417.0999999999985</v>
      </c>
      <c r="N659">
        <v>45264</v>
      </c>
      <c r="O659">
        <v>12</v>
      </c>
      <c r="P659" t="s">
        <v>77</v>
      </c>
      <c r="Q659">
        <v>2023</v>
      </c>
    </row>
    <row r="660" spans="1:17" x14ac:dyDescent="0.3">
      <c r="A660" t="s">
        <v>27</v>
      </c>
      <c r="B660" t="s">
        <v>17</v>
      </c>
      <c r="C660" t="s">
        <v>31</v>
      </c>
      <c r="D660" t="s">
        <v>144</v>
      </c>
      <c r="E660" t="s">
        <v>34</v>
      </c>
      <c r="F660">
        <v>472</v>
      </c>
      <c r="G660">
        <v>20</v>
      </c>
      <c r="H660">
        <v>31</v>
      </c>
      <c r="I660">
        <v>14632</v>
      </c>
      <c r="J660">
        <v>731.6</v>
      </c>
      <c r="K660">
        <v>13900.4</v>
      </c>
      <c r="L660">
        <v>9440</v>
      </c>
      <c r="M660">
        <v>4460.3999999999996</v>
      </c>
      <c r="N660">
        <v>45277</v>
      </c>
      <c r="O660">
        <v>12</v>
      </c>
      <c r="P660" t="s">
        <v>77</v>
      </c>
      <c r="Q660">
        <v>2023</v>
      </c>
    </row>
    <row r="661" spans="1:17" x14ac:dyDescent="0.3">
      <c r="A661" t="s">
        <v>26</v>
      </c>
      <c r="B661" t="s">
        <v>36</v>
      </c>
      <c r="C661" t="s">
        <v>31</v>
      </c>
      <c r="D661" t="s">
        <v>193</v>
      </c>
      <c r="E661" t="s">
        <v>34</v>
      </c>
      <c r="F661">
        <v>437</v>
      </c>
      <c r="G661">
        <v>16</v>
      </c>
      <c r="H661">
        <v>29</v>
      </c>
      <c r="I661">
        <v>12673</v>
      </c>
      <c r="J661">
        <v>633.65000000000009</v>
      </c>
      <c r="K661">
        <v>12039.35</v>
      </c>
      <c r="L661">
        <v>6992</v>
      </c>
      <c r="M661">
        <v>5047.3500000000004</v>
      </c>
      <c r="N661">
        <v>45295</v>
      </c>
      <c r="O661">
        <v>1</v>
      </c>
      <c r="P661" t="s">
        <v>58</v>
      </c>
      <c r="Q661">
        <v>2024</v>
      </c>
    </row>
    <row r="662" spans="1:17" x14ac:dyDescent="0.3">
      <c r="A662" t="s">
        <v>25</v>
      </c>
      <c r="B662" t="s">
        <v>22</v>
      </c>
      <c r="C662" t="s">
        <v>31</v>
      </c>
      <c r="D662" t="s">
        <v>192</v>
      </c>
      <c r="E662" t="s">
        <v>34</v>
      </c>
      <c r="F662">
        <v>156</v>
      </c>
      <c r="G662">
        <v>10</v>
      </c>
      <c r="H662">
        <v>38</v>
      </c>
      <c r="I662">
        <v>5928</v>
      </c>
      <c r="J662">
        <v>296.40000000000003</v>
      </c>
      <c r="K662">
        <v>5631.6</v>
      </c>
      <c r="L662">
        <v>1560</v>
      </c>
      <c r="M662">
        <v>4071.6000000000004</v>
      </c>
      <c r="N662">
        <v>45090</v>
      </c>
      <c r="O662">
        <v>6</v>
      </c>
      <c r="P662" t="s">
        <v>45</v>
      </c>
      <c r="Q662">
        <v>2023</v>
      </c>
    </row>
    <row r="663" spans="1:17" x14ac:dyDescent="0.3">
      <c r="A663" t="s">
        <v>21</v>
      </c>
      <c r="B663" t="s">
        <v>17</v>
      </c>
      <c r="C663" t="s">
        <v>31</v>
      </c>
      <c r="D663" t="s">
        <v>191</v>
      </c>
      <c r="E663" t="s">
        <v>34</v>
      </c>
      <c r="F663">
        <v>942</v>
      </c>
      <c r="G663">
        <v>11</v>
      </c>
      <c r="H663">
        <v>17</v>
      </c>
      <c r="I663">
        <v>16014</v>
      </c>
      <c r="J663">
        <v>800.7</v>
      </c>
      <c r="K663">
        <v>15213.3</v>
      </c>
      <c r="L663">
        <v>10362</v>
      </c>
      <c r="M663">
        <v>4851.2999999999993</v>
      </c>
      <c r="N663">
        <v>45652</v>
      </c>
      <c r="O663">
        <v>12</v>
      </c>
      <c r="P663" t="s">
        <v>77</v>
      </c>
      <c r="Q663">
        <v>2024</v>
      </c>
    </row>
    <row r="664" spans="1:17" x14ac:dyDescent="0.3">
      <c r="A664" t="s">
        <v>25</v>
      </c>
      <c r="B664" t="s">
        <v>36</v>
      </c>
      <c r="C664" t="s">
        <v>31</v>
      </c>
      <c r="D664" t="s">
        <v>88</v>
      </c>
      <c r="E664" t="s">
        <v>34</v>
      </c>
      <c r="F664">
        <v>963</v>
      </c>
      <c r="G664">
        <v>15</v>
      </c>
      <c r="H664">
        <v>34</v>
      </c>
      <c r="I664">
        <v>32742</v>
      </c>
      <c r="J664">
        <v>1637.1000000000001</v>
      </c>
      <c r="K664">
        <v>31104.9</v>
      </c>
      <c r="L664">
        <v>14445</v>
      </c>
      <c r="M664">
        <v>16659.900000000001</v>
      </c>
      <c r="N664">
        <v>45490</v>
      </c>
      <c r="O664">
        <v>7</v>
      </c>
      <c r="P664" t="s">
        <v>48</v>
      </c>
      <c r="Q664">
        <v>2024</v>
      </c>
    </row>
    <row r="665" spans="1:17" x14ac:dyDescent="0.3">
      <c r="A665" t="s">
        <v>16</v>
      </c>
      <c r="B665" t="s">
        <v>22</v>
      </c>
      <c r="C665" t="s">
        <v>31</v>
      </c>
      <c r="D665" t="s">
        <v>87</v>
      </c>
      <c r="E665" t="s">
        <v>34</v>
      </c>
      <c r="F665">
        <v>632</v>
      </c>
      <c r="G665">
        <v>19</v>
      </c>
      <c r="H665">
        <v>19</v>
      </c>
      <c r="I665">
        <v>12008</v>
      </c>
      <c r="J665">
        <v>600.4</v>
      </c>
      <c r="K665">
        <v>11407.6</v>
      </c>
      <c r="L665">
        <v>12008</v>
      </c>
      <c r="M665">
        <v>-600.39999999999964</v>
      </c>
      <c r="N665">
        <v>45108</v>
      </c>
      <c r="O665">
        <v>7</v>
      </c>
      <c r="P665" t="s">
        <v>48</v>
      </c>
      <c r="Q665">
        <v>2023</v>
      </c>
    </row>
    <row r="666" spans="1:17" x14ac:dyDescent="0.3">
      <c r="A666" t="s">
        <v>16</v>
      </c>
      <c r="B666" t="s">
        <v>23</v>
      </c>
      <c r="C666" t="s">
        <v>31</v>
      </c>
      <c r="D666" t="s">
        <v>157</v>
      </c>
      <c r="E666" t="s">
        <v>34</v>
      </c>
      <c r="F666">
        <v>61</v>
      </c>
      <c r="G666">
        <v>14</v>
      </c>
      <c r="H666">
        <v>32</v>
      </c>
      <c r="I666">
        <v>1952</v>
      </c>
      <c r="J666">
        <v>97.600000000000009</v>
      </c>
      <c r="K666">
        <v>1854.4</v>
      </c>
      <c r="L666">
        <v>854</v>
      </c>
      <c r="M666">
        <v>1000.4000000000001</v>
      </c>
      <c r="N666">
        <v>45553</v>
      </c>
      <c r="O666">
        <v>9</v>
      </c>
      <c r="P666" t="s">
        <v>40</v>
      </c>
      <c r="Q666">
        <v>2024</v>
      </c>
    </row>
    <row r="667" spans="1:17" x14ac:dyDescent="0.3">
      <c r="A667" t="s">
        <v>21</v>
      </c>
      <c r="B667" t="s">
        <v>23</v>
      </c>
      <c r="C667" t="s">
        <v>31</v>
      </c>
      <c r="D667" t="s">
        <v>197</v>
      </c>
      <c r="E667" t="s">
        <v>34</v>
      </c>
      <c r="F667">
        <v>498</v>
      </c>
      <c r="G667">
        <v>16</v>
      </c>
      <c r="H667">
        <v>35</v>
      </c>
      <c r="I667">
        <v>17430</v>
      </c>
      <c r="J667">
        <v>871.5</v>
      </c>
      <c r="K667">
        <v>16558.5</v>
      </c>
      <c r="L667">
        <v>7968</v>
      </c>
      <c r="M667">
        <v>8590.5</v>
      </c>
      <c r="N667">
        <v>45532</v>
      </c>
      <c r="O667">
        <v>8</v>
      </c>
      <c r="P667" t="s">
        <v>62</v>
      </c>
      <c r="Q667">
        <v>2024</v>
      </c>
    </row>
    <row r="668" spans="1:17" x14ac:dyDescent="0.3">
      <c r="A668" t="s">
        <v>26</v>
      </c>
      <c r="B668" t="s">
        <v>22</v>
      </c>
      <c r="C668" t="s">
        <v>18</v>
      </c>
      <c r="D668" t="s">
        <v>145</v>
      </c>
      <c r="E668" t="s">
        <v>34</v>
      </c>
      <c r="F668">
        <v>154</v>
      </c>
      <c r="G668">
        <v>10</v>
      </c>
      <c r="H668">
        <v>23</v>
      </c>
      <c r="I668">
        <v>3542</v>
      </c>
      <c r="J668">
        <v>177.10000000000002</v>
      </c>
      <c r="K668">
        <v>3364.9</v>
      </c>
      <c r="L668">
        <v>1540</v>
      </c>
      <c r="M668">
        <v>1824.9</v>
      </c>
      <c r="N668">
        <v>45518</v>
      </c>
      <c r="O668">
        <v>8</v>
      </c>
      <c r="P668" t="s">
        <v>62</v>
      </c>
      <c r="Q668">
        <v>2024</v>
      </c>
    </row>
    <row r="669" spans="1:17" x14ac:dyDescent="0.3">
      <c r="A669" t="s">
        <v>26</v>
      </c>
      <c r="B669" t="s">
        <v>20</v>
      </c>
      <c r="C669" t="s">
        <v>18</v>
      </c>
      <c r="D669" t="s">
        <v>170</v>
      </c>
      <c r="E669" t="s">
        <v>34</v>
      </c>
      <c r="F669">
        <v>344</v>
      </c>
      <c r="G669">
        <v>18</v>
      </c>
      <c r="H669">
        <v>29</v>
      </c>
      <c r="I669">
        <v>9976</v>
      </c>
      <c r="J669">
        <v>498.8</v>
      </c>
      <c r="K669">
        <v>9477.2000000000007</v>
      </c>
      <c r="L669">
        <v>6192</v>
      </c>
      <c r="M669">
        <v>3285.2000000000007</v>
      </c>
      <c r="N669">
        <v>45116</v>
      </c>
      <c r="O669">
        <v>7</v>
      </c>
      <c r="P669" t="s">
        <v>48</v>
      </c>
      <c r="Q669">
        <v>2023</v>
      </c>
    </row>
    <row r="670" spans="1:17" x14ac:dyDescent="0.3">
      <c r="A670" t="s">
        <v>26</v>
      </c>
      <c r="B670" t="s">
        <v>20</v>
      </c>
      <c r="C670" t="s">
        <v>18</v>
      </c>
      <c r="D670" t="s">
        <v>170</v>
      </c>
      <c r="E670" t="s">
        <v>34</v>
      </c>
      <c r="F670">
        <v>594</v>
      </c>
      <c r="G670">
        <v>18</v>
      </c>
      <c r="H670">
        <v>29</v>
      </c>
      <c r="I670">
        <v>17226</v>
      </c>
      <c r="J670">
        <v>861.30000000000007</v>
      </c>
      <c r="K670">
        <v>16364.7</v>
      </c>
      <c r="L670">
        <v>10692</v>
      </c>
      <c r="M670">
        <v>5672.7000000000007</v>
      </c>
      <c r="N670">
        <v>45288</v>
      </c>
      <c r="O670">
        <v>12</v>
      </c>
      <c r="P670" t="s">
        <v>77</v>
      </c>
      <c r="Q670">
        <v>2023</v>
      </c>
    </row>
    <row r="671" spans="1:17" x14ac:dyDescent="0.3">
      <c r="A671" t="s">
        <v>27</v>
      </c>
      <c r="B671" t="s">
        <v>23</v>
      </c>
      <c r="C671" t="s">
        <v>24</v>
      </c>
      <c r="D671" t="s">
        <v>56</v>
      </c>
      <c r="E671" t="s">
        <v>34</v>
      </c>
      <c r="F671">
        <v>72</v>
      </c>
      <c r="G671">
        <v>16</v>
      </c>
      <c r="H671">
        <v>23</v>
      </c>
      <c r="I671">
        <v>1656</v>
      </c>
      <c r="J671">
        <v>82.800000000000011</v>
      </c>
      <c r="K671">
        <v>1573.2</v>
      </c>
      <c r="L671">
        <v>1152</v>
      </c>
      <c r="M671">
        <v>421.20000000000005</v>
      </c>
      <c r="N671">
        <v>45164</v>
      </c>
      <c r="O671">
        <v>8</v>
      </c>
      <c r="P671" t="s">
        <v>62</v>
      </c>
      <c r="Q671">
        <v>2023</v>
      </c>
    </row>
    <row r="672" spans="1:17" x14ac:dyDescent="0.3">
      <c r="A672" t="s">
        <v>16</v>
      </c>
      <c r="B672" t="s">
        <v>20</v>
      </c>
      <c r="C672" t="s">
        <v>28</v>
      </c>
      <c r="D672" t="s">
        <v>64</v>
      </c>
      <c r="E672" t="s">
        <v>34</v>
      </c>
      <c r="F672">
        <v>472</v>
      </c>
      <c r="G672">
        <v>14</v>
      </c>
      <c r="H672">
        <v>22</v>
      </c>
      <c r="I672">
        <v>10384</v>
      </c>
      <c r="J672">
        <v>519.20000000000005</v>
      </c>
      <c r="K672">
        <v>9864.7999999999993</v>
      </c>
      <c r="L672">
        <v>6608</v>
      </c>
      <c r="M672">
        <v>3256.7999999999993</v>
      </c>
      <c r="N672">
        <v>45314</v>
      </c>
      <c r="O672">
        <v>1</v>
      </c>
      <c r="P672" t="s">
        <v>58</v>
      </c>
      <c r="Q672">
        <v>2024</v>
      </c>
    </row>
    <row r="673" spans="1:17" x14ac:dyDescent="0.3">
      <c r="A673" t="s">
        <v>21</v>
      </c>
      <c r="B673" t="s">
        <v>17</v>
      </c>
      <c r="C673" t="s">
        <v>28</v>
      </c>
      <c r="D673" t="s">
        <v>71</v>
      </c>
      <c r="E673" t="s">
        <v>34</v>
      </c>
      <c r="F673">
        <v>782</v>
      </c>
      <c r="G673">
        <v>17</v>
      </c>
      <c r="H673">
        <v>25</v>
      </c>
      <c r="I673">
        <v>19550</v>
      </c>
      <c r="J673">
        <v>977.5</v>
      </c>
      <c r="K673">
        <v>18572.5</v>
      </c>
      <c r="L673">
        <v>13294</v>
      </c>
      <c r="M673">
        <v>5278.5</v>
      </c>
      <c r="N673">
        <v>45031</v>
      </c>
      <c r="O673">
        <v>4</v>
      </c>
      <c r="P673" t="s">
        <v>75</v>
      </c>
      <c r="Q673">
        <v>2023</v>
      </c>
    </row>
    <row r="674" spans="1:17" x14ac:dyDescent="0.3">
      <c r="A674" t="s">
        <v>16</v>
      </c>
      <c r="B674" t="s">
        <v>23</v>
      </c>
      <c r="C674" t="s">
        <v>28</v>
      </c>
      <c r="D674" t="s">
        <v>66</v>
      </c>
      <c r="E674" t="s">
        <v>34</v>
      </c>
      <c r="F674">
        <v>886</v>
      </c>
      <c r="G674">
        <v>11</v>
      </c>
      <c r="H674">
        <v>21</v>
      </c>
      <c r="I674">
        <v>18606</v>
      </c>
      <c r="J674">
        <v>930.30000000000007</v>
      </c>
      <c r="K674">
        <v>17675.7</v>
      </c>
      <c r="L674">
        <v>9746</v>
      </c>
      <c r="M674">
        <v>7929.7000000000007</v>
      </c>
      <c r="N674">
        <v>45399</v>
      </c>
      <c r="O674">
        <v>4</v>
      </c>
      <c r="P674" t="s">
        <v>75</v>
      </c>
      <c r="Q674">
        <v>2024</v>
      </c>
    </row>
    <row r="675" spans="1:17" x14ac:dyDescent="0.3">
      <c r="A675" t="s">
        <v>16</v>
      </c>
      <c r="B675" t="s">
        <v>23</v>
      </c>
      <c r="C675" t="s">
        <v>28</v>
      </c>
      <c r="D675" t="s">
        <v>66</v>
      </c>
      <c r="E675" t="s">
        <v>34</v>
      </c>
      <c r="F675">
        <v>766</v>
      </c>
      <c r="G675">
        <v>11</v>
      </c>
      <c r="H675">
        <v>21</v>
      </c>
      <c r="I675">
        <v>16086</v>
      </c>
      <c r="J675">
        <v>804.30000000000007</v>
      </c>
      <c r="K675">
        <v>15281.7</v>
      </c>
      <c r="L675">
        <v>8426</v>
      </c>
      <c r="M675">
        <v>6855.7000000000007</v>
      </c>
      <c r="N675">
        <v>45323</v>
      </c>
      <c r="O675">
        <v>2</v>
      </c>
      <c r="P675" t="s">
        <v>52</v>
      </c>
      <c r="Q675">
        <v>2024</v>
      </c>
    </row>
    <row r="676" spans="1:17" x14ac:dyDescent="0.3">
      <c r="A676" t="s">
        <v>21</v>
      </c>
      <c r="B676" t="s">
        <v>17</v>
      </c>
      <c r="C676" t="s">
        <v>28</v>
      </c>
      <c r="D676" t="s">
        <v>71</v>
      </c>
      <c r="E676" t="s">
        <v>34</v>
      </c>
      <c r="F676">
        <v>902</v>
      </c>
      <c r="G676">
        <v>17</v>
      </c>
      <c r="H676">
        <v>25</v>
      </c>
      <c r="I676">
        <v>22550</v>
      </c>
      <c r="J676">
        <v>1127.5</v>
      </c>
      <c r="K676">
        <v>21422.5</v>
      </c>
      <c r="L676">
        <v>15334</v>
      </c>
      <c r="M676">
        <v>6088.5</v>
      </c>
      <c r="N676">
        <v>45078</v>
      </c>
      <c r="O676">
        <v>6</v>
      </c>
      <c r="P676" t="s">
        <v>45</v>
      </c>
      <c r="Q676">
        <v>2023</v>
      </c>
    </row>
    <row r="677" spans="1:17" x14ac:dyDescent="0.3">
      <c r="A677" t="s">
        <v>16</v>
      </c>
      <c r="B677" t="s">
        <v>36</v>
      </c>
      <c r="C677" t="s">
        <v>28</v>
      </c>
      <c r="D677" t="s">
        <v>69</v>
      </c>
      <c r="E677" t="s">
        <v>34</v>
      </c>
      <c r="F677">
        <v>156</v>
      </c>
      <c r="G677">
        <v>20</v>
      </c>
      <c r="H677">
        <v>25</v>
      </c>
      <c r="I677">
        <v>3900</v>
      </c>
      <c r="J677">
        <v>195</v>
      </c>
      <c r="K677">
        <v>3705</v>
      </c>
      <c r="L677">
        <v>3120</v>
      </c>
      <c r="M677">
        <v>585</v>
      </c>
      <c r="N677">
        <v>45230</v>
      </c>
      <c r="O677">
        <v>10</v>
      </c>
      <c r="P677" t="s">
        <v>55</v>
      </c>
      <c r="Q677">
        <v>2023</v>
      </c>
    </row>
    <row r="678" spans="1:17" x14ac:dyDescent="0.3">
      <c r="A678" t="s">
        <v>26</v>
      </c>
      <c r="B678" t="s">
        <v>20</v>
      </c>
      <c r="C678" t="s">
        <v>28</v>
      </c>
      <c r="D678" t="s">
        <v>129</v>
      </c>
      <c r="E678" t="s">
        <v>34</v>
      </c>
      <c r="F678">
        <v>684</v>
      </c>
      <c r="G678">
        <v>12</v>
      </c>
      <c r="H678">
        <v>31</v>
      </c>
      <c r="I678">
        <v>21204</v>
      </c>
      <c r="J678">
        <v>1060.2</v>
      </c>
      <c r="K678">
        <v>20143.8</v>
      </c>
      <c r="L678">
        <v>8208</v>
      </c>
      <c r="M678">
        <v>11935.8</v>
      </c>
      <c r="N678">
        <v>45750</v>
      </c>
      <c r="O678">
        <v>4</v>
      </c>
      <c r="P678" t="s">
        <v>75</v>
      </c>
      <c r="Q678">
        <v>2025</v>
      </c>
    </row>
    <row r="679" spans="1:17" x14ac:dyDescent="0.3">
      <c r="A679" t="s">
        <v>21</v>
      </c>
      <c r="B679" t="s">
        <v>20</v>
      </c>
      <c r="C679" t="s">
        <v>28</v>
      </c>
      <c r="D679" t="s">
        <v>111</v>
      </c>
      <c r="E679" t="s">
        <v>34</v>
      </c>
      <c r="F679">
        <v>962</v>
      </c>
      <c r="G679">
        <v>16</v>
      </c>
      <c r="H679">
        <v>27</v>
      </c>
      <c r="I679">
        <v>25974</v>
      </c>
      <c r="J679">
        <v>1298.7</v>
      </c>
      <c r="K679">
        <v>24675.3</v>
      </c>
      <c r="L679">
        <v>15392</v>
      </c>
      <c r="M679">
        <v>9283.2999999999993</v>
      </c>
      <c r="N679">
        <v>45473</v>
      </c>
      <c r="O679">
        <v>6</v>
      </c>
      <c r="P679" t="s">
        <v>45</v>
      </c>
      <c r="Q679">
        <v>2024</v>
      </c>
    </row>
    <row r="680" spans="1:17" x14ac:dyDescent="0.3">
      <c r="A680" t="s">
        <v>16</v>
      </c>
      <c r="B680" t="s">
        <v>36</v>
      </c>
      <c r="C680" t="s">
        <v>28</v>
      </c>
      <c r="D680" t="s">
        <v>69</v>
      </c>
      <c r="E680" t="s">
        <v>34</v>
      </c>
      <c r="F680">
        <v>536</v>
      </c>
      <c r="G680">
        <v>20</v>
      </c>
      <c r="H680">
        <v>25</v>
      </c>
      <c r="I680">
        <v>13400</v>
      </c>
      <c r="J680">
        <v>670</v>
      </c>
      <c r="K680">
        <v>12730</v>
      </c>
      <c r="L680">
        <v>10720</v>
      </c>
      <c r="M680">
        <v>2010</v>
      </c>
      <c r="N680">
        <v>45437</v>
      </c>
      <c r="O680">
        <v>5</v>
      </c>
      <c r="P680" t="s">
        <v>46</v>
      </c>
      <c r="Q680">
        <v>2024</v>
      </c>
    </row>
    <row r="681" spans="1:17" x14ac:dyDescent="0.3">
      <c r="A681" t="s">
        <v>16</v>
      </c>
      <c r="B681" t="s">
        <v>23</v>
      </c>
      <c r="C681" t="s">
        <v>28</v>
      </c>
      <c r="D681" t="s">
        <v>66</v>
      </c>
      <c r="E681" t="s">
        <v>34</v>
      </c>
      <c r="F681">
        <v>109</v>
      </c>
      <c r="G681">
        <v>11</v>
      </c>
      <c r="H681">
        <v>21</v>
      </c>
      <c r="I681">
        <v>2289</v>
      </c>
      <c r="J681">
        <v>114.45</v>
      </c>
      <c r="K681">
        <v>2174.5500000000002</v>
      </c>
      <c r="L681">
        <v>1199</v>
      </c>
      <c r="M681">
        <v>975.55000000000018</v>
      </c>
      <c r="N681">
        <v>45035</v>
      </c>
      <c r="O681">
        <v>4</v>
      </c>
      <c r="P681" t="s">
        <v>75</v>
      </c>
      <c r="Q681">
        <v>2023</v>
      </c>
    </row>
    <row r="682" spans="1:17" x14ac:dyDescent="0.3">
      <c r="A682" t="s">
        <v>25</v>
      </c>
      <c r="B682" t="s">
        <v>36</v>
      </c>
      <c r="C682" t="s">
        <v>28</v>
      </c>
      <c r="D682" t="s">
        <v>70</v>
      </c>
      <c r="E682" t="s">
        <v>34</v>
      </c>
      <c r="F682">
        <v>540</v>
      </c>
      <c r="G682">
        <v>15</v>
      </c>
      <c r="H682">
        <v>16</v>
      </c>
      <c r="I682">
        <v>8640</v>
      </c>
      <c r="J682">
        <v>432</v>
      </c>
      <c r="K682">
        <v>8208</v>
      </c>
      <c r="L682">
        <v>8100</v>
      </c>
      <c r="M682">
        <v>108</v>
      </c>
      <c r="N682">
        <v>45517</v>
      </c>
      <c r="O682">
        <v>8</v>
      </c>
      <c r="P682" t="s">
        <v>62</v>
      </c>
      <c r="Q682">
        <v>2024</v>
      </c>
    </row>
    <row r="683" spans="1:17" x14ac:dyDescent="0.3">
      <c r="A683" t="s">
        <v>16</v>
      </c>
      <c r="B683" t="s">
        <v>22</v>
      </c>
      <c r="C683" t="s">
        <v>28</v>
      </c>
      <c r="D683" t="s">
        <v>93</v>
      </c>
      <c r="E683" t="s">
        <v>34</v>
      </c>
      <c r="F683">
        <v>972</v>
      </c>
      <c r="G683">
        <v>12</v>
      </c>
      <c r="H683">
        <v>27</v>
      </c>
      <c r="I683">
        <v>26244</v>
      </c>
      <c r="J683">
        <v>1312.2</v>
      </c>
      <c r="K683">
        <v>24931.8</v>
      </c>
      <c r="L683">
        <v>11664</v>
      </c>
      <c r="M683">
        <v>13267.8</v>
      </c>
      <c r="N683">
        <v>45229</v>
      </c>
      <c r="O683">
        <v>10</v>
      </c>
      <c r="P683" t="s">
        <v>55</v>
      </c>
      <c r="Q683">
        <v>2023</v>
      </c>
    </row>
    <row r="684" spans="1:17" x14ac:dyDescent="0.3">
      <c r="A684" t="s">
        <v>25</v>
      </c>
      <c r="B684" t="s">
        <v>23</v>
      </c>
      <c r="C684" t="s">
        <v>29</v>
      </c>
      <c r="D684" t="s">
        <v>138</v>
      </c>
      <c r="E684" t="s">
        <v>34</v>
      </c>
      <c r="F684">
        <v>920</v>
      </c>
      <c r="G684">
        <v>16</v>
      </c>
      <c r="H684">
        <v>31</v>
      </c>
      <c r="I684">
        <v>28520</v>
      </c>
      <c r="J684">
        <v>1426</v>
      </c>
      <c r="K684">
        <v>27094</v>
      </c>
      <c r="L684">
        <v>14720</v>
      </c>
      <c r="M684">
        <v>12374</v>
      </c>
      <c r="N684">
        <v>45449</v>
      </c>
      <c r="O684">
        <v>6</v>
      </c>
      <c r="P684" t="s">
        <v>45</v>
      </c>
      <c r="Q684">
        <v>2024</v>
      </c>
    </row>
    <row r="685" spans="1:17" x14ac:dyDescent="0.3">
      <c r="A685" t="s">
        <v>21</v>
      </c>
      <c r="B685" t="s">
        <v>22</v>
      </c>
      <c r="C685" t="s">
        <v>29</v>
      </c>
      <c r="D685" t="s">
        <v>198</v>
      </c>
      <c r="E685" t="s">
        <v>34</v>
      </c>
      <c r="F685">
        <v>152</v>
      </c>
      <c r="G685">
        <v>12</v>
      </c>
      <c r="H685">
        <v>18</v>
      </c>
      <c r="I685">
        <v>2736</v>
      </c>
      <c r="J685">
        <v>136.80000000000001</v>
      </c>
      <c r="K685">
        <v>2599.1999999999998</v>
      </c>
      <c r="L685">
        <v>1824</v>
      </c>
      <c r="M685">
        <v>775.19999999999982</v>
      </c>
      <c r="N685">
        <v>45582</v>
      </c>
      <c r="O685">
        <v>10</v>
      </c>
      <c r="P685" t="s">
        <v>55</v>
      </c>
      <c r="Q685">
        <v>2024</v>
      </c>
    </row>
    <row r="686" spans="1:17" x14ac:dyDescent="0.3">
      <c r="A686" t="s">
        <v>26</v>
      </c>
      <c r="B686" t="s">
        <v>22</v>
      </c>
      <c r="C686" t="s">
        <v>29</v>
      </c>
      <c r="D686" t="s">
        <v>73</v>
      </c>
      <c r="E686" t="s">
        <v>34</v>
      </c>
      <c r="F686">
        <v>939</v>
      </c>
      <c r="G686">
        <v>16</v>
      </c>
      <c r="H686">
        <v>20</v>
      </c>
      <c r="I686">
        <v>18780</v>
      </c>
      <c r="J686">
        <v>939</v>
      </c>
      <c r="K686">
        <v>17841</v>
      </c>
      <c r="L686">
        <v>15024</v>
      </c>
      <c r="M686">
        <v>2817</v>
      </c>
      <c r="N686">
        <v>45238</v>
      </c>
      <c r="O686">
        <v>11</v>
      </c>
      <c r="P686" t="s">
        <v>43</v>
      </c>
      <c r="Q686">
        <v>2023</v>
      </c>
    </row>
    <row r="687" spans="1:17" x14ac:dyDescent="0.3">
      <c r="A687" t="s">
        <v>27</v>
      </c>
      <c r="B687" t="s">
        <v>36</v>
      </c>
      <c r="C687" t="s">
        <v>29</v>
      </c>
      <c r="D687" t="s">
        <v>179</v>
      </c>
      <c r="E687" t="s">
        <v>34</v>
      </c>
      <c r="F687">
        <v>643</v>
      </c>
      <c r="G687">
        <v>20</v>
      </c>
      <c r="H687">
        <v>33</v>
      </c>
      <c r="I687">
        <v>21219</v>
      </c>
      <c r="J687">
        <v>1060.95</v>
      </c>
      <c r="K687">
        <v>20158.05</v>
      </c>
      <c r="L687">
        <v>12860</v>
      </c>
      <c r="M687">
        <v>7298.0499999999993</v>
      </c>
      <c r="N687">
        <v>45034</v>
      </c>
      <c r="O687">
        <v>4</v>
      </c>
      <c r="P687" t="s">
        <v>75</v>
      </c>
      <c r="Q687">
        <v>2023</v>
      </c>
    </row>
    <row r="688" spans="1:17" x14ac:dyDescent="0.3">
      <c r="A688" t="s">
        <v>26</v>
      </c>
      <c r="B688" t="s">
        <v>36</v>
      </c>
      <c r="C688" t="s">
        <v>29</v>
      </c>
      <c r="D688" t="s">
        <v>78</v>
      </c>
      <c r="E688" t="s">
        <v>34</v>
      </c>
      <c r="F688">
        <v>802</v>
      </c>
      <c r="G688">
        <v>12</v>
      </c>
      <c r="H688">
        <v>36</v>
      </c>
      <c r="I688">
        <v>28872</v>
      </c>
      <c r="J688">
        <v>1443.6000000000001</v>
      </c>
      <c r="K688">
        <v>27428.400000000001</v>
      </c>
      <c r="L688">
        <v>9624</v>
      </c>
      <c r="M688">
        <v>17804.400000000001</v>
      </c>
      <c r="N688">
        <v>45660</v>
      </c>
      <c r="O688">
        <v>1</v>
      </c>
      <c r="P688" t="s">
        <v>58</v>
      </c>
      <c r="Q688">
        <v>2025</v>
      </c>
    </row>
    <row r="689" spans="1:17" x14ac:dyDescent="0.3">
      <c r="A689" t="s">
        <v>25</v>
      </c>
      <c r="B689" t="s">
        <v>36</v>
      </c>
      <c r="C689" t="s">
        <v>29</v>
      </c>
      <c r="D689" t="s">
        <v>154</v>
      </c>
      <c r="E689" t="s">
        <v>34</v>
      </c>
      <c r="F689">
        <v>410</v>
      </c>
      <c r="G689">
        <v>19</v>
      </c>
      <c r="H689">
        <v>28</v>
      </c>
      <c r="I689">
        <v>11480</v>
      </c>
      <c r="J689">
        <v>574</v>
      </c>
      <c r="K689">
        <v>10906</v>
      </c>
      <c r="L689">
        <v>7790</v>
      </c>
      <c r="M689">
        <v>3116</v>
      </c>
      <c r="N689">
        <v>45571</v>
      </c>
      <c r="O689">
        <v>10</v>
      </c>
      <c r="P689" t="s">
        <v>55</v>
      </c>
      <c r="Q689">
        <v>2024</v>
      </c>
    </row>
    <row r="690" spans="1:17" x14ac:dyDescent="0.3">
      <c r="A690" t="s">
        <v>16</v>
      </c>
      <c r="B690" t="s">
        <v>17</v>
      </c>
      <c r="C690" t="s">
        <v>30</v>
      </c>
      <c r="D690" t="s">
        <v>86</v>
      </c>
      <c r="E690" t="s">
        <v>34</v>
      </c>
      <c r="F690">
        <v>80</v>
      </c>
      <c r="G690">
        <v>15</v>
      </c>
      <c r="H690">
        <v>36</v>
      </c>
      <c r="I690">
        <v>2880</v>
      </c>
      <c r="J690">
        <v>144</v>
      </c>
      <c r="K690">
        <v>2736</v>
      </c>
      <c r="L690">
        <v>1200</v>
      </c>
      <c r="M690">
        <v>1536</v>
      </c>
      <c r="N690">
        <v>45156</v>
      </c>
      <c r="O690">
        <v>8</v>
      </c>
      <c r="P690" t="s">
        <v>62</v>
      </c>
      <c r="Q690">
        <v>2023</v>
      </c>
    </row>
    <row r="691" spans="1:17" x14ac:dyDescent="0.3">
      <c r="A691" t="s">
        <v>21</v>
      </c>
      <c r="B691" t="s">
        <v>20</v>
      </c>
      <c r="C691" t="s">
        <v>30</v>
      </c>
      <c r="D691" t="s">
        <v>83</v>
      </c>
      <c r="E691" t="s">
        <v>34</v>
      </c>
      <c r="F691">
        <v>773</v>
      </c>
      <c r="G691">
        <v>14</v>
      </c>
      <c r="H691">
        <v>31</v>
      </c>
      <c r="I691">
        <v>23963</v>
      </c>
      <c r="J691">
        <v>1198.1500000000001</v>
      </c>
      <c r="K691">
        <v>22764.85</v>
      </c>
      <c r="L691">
        <v>10822</v>
      </c>
      <c r="M691">
        <v>11942.849999999999</v>
      </c>
      <c r="N691">
        <v>45372</v>
      </c>
      <c r="O691">
        <v>3</v>
      </c>
      <c r="P691" t="s">
        <v>38</v>
      </c>
      <c r="Q691">
        <v>2024</v>
      </c>
    </row>
    <row r="692" spans="1:17" x14ac:dyDescent="0.3">
      <c r="A692" t="s">
        <v>16</v>
      </c>
      <c r="B692" t="s">
        <v>36</v>
      </c>
      <c r="C692" t="s">
        <v>30</v>
      </c>
      <c r="D692" t="s">
        <v>141</v>
      </c>
      <c r="E692" t="s">
        <v>34</v>
      </c>
      <c r="F692">
        <v>58</v>
      </c>
      <c r="G692">
        <v>13</v>
      </c>
      <c r="H692">
        <v>25</v>
      </c>
      <c r="I692">
        <v>1450</v>
      </c>
      <c r="J692">
        <v>72.5</v>
      </c>
      <c r="K692">
        <v>1377.5</v>
      </c>
      <c r="L692">
        <v>754</v>
      </c>
      <c r="M692">
        <v>623.5</v>
      </c>
      <c r="N692">
        <v>45569</v>
      </c>
      <c r="O692">
        <v>10</v>
      </c>
      <c r="P692" t="s">
        <v>55</v>
      </c>
      <c r="Q692">
        <v>2024</v>
      </c>
    </row>
    <row r="693" spans="1:17" x14ac:dyDescent="0.3">
      <c r="A693" t="s">
        <v>21</v>
      </c>
      <c r="B693" t="s">
        <v>20</v>
      </c>
      <c r="C693" t="s">
        <v>30</v>
      </c>
      <c r="D693" t="s">
        <v>83</v>
      </c>
      <c r="E693" t="s">
        <v>34</v>
      </c>
      <c r="F693">
        <v>142</v>
      </c>
      <c r="G693">
        <v>14</v>
      </c>
      <c r="H693">
        <v>31</v>
      </c>
      <c r="I693">
        <v>4402</v>
      </c>
      <c r="J693">
        <v>220.10000000000002</v>
      </c>
      <c r="K693">
        <v>4181.8999999999996</v>
      </c>
      <c r="L693">
        <v>1988</v>
      </c>
      <c r="M693">
        <v>2193.8999999999996</v>
      </c>
      <c r="N693">
        <v>45671</v>
      </c>
      <c r="O693">
        <v>1</v>
      </c>
      <c r="P693" t="s">
        <v>58</v>
      </c>
      <c r="Q693">
        <v>2025</v>
      </c>
    </row>
    <row r="694" spans="1:17" x14ac:dyDescent="0.3">
      <c r="A694" t="s">
        <v>26</v>
      </c>
      <c r="B694" t="s">
        <v>17</v>
      </c>
      <c r="C694" t="s">
        <v>30</v>
      </c>
      <c r="D694" t="s">
        <v>140</v>
      </c>
      <c r="E694" t="s">
        <v>34</v>
      </c>
      <c r="F694">
        <v>778</v>
      </c>
      <c r="G694">
        <v>16</v>
      </c>
      <c r="H694">
        <v>36</v>
      </c>
      <c r="I694">
        <v>28008</v>
      </c>
      <c r="J694">
        <v>1400.4</v>
      </c>
      <c r="K694">
        <v>26607.599999999999</v>
      </c>
      <c r="L694">
        <v>12448</v>
      </c>
      <c r="M694">
        <v>14159.599999999999</v>
      </c>
      <c r="N694">
        <v>45154</v>
      </c>
      <c r="O694">
        <v>8</v>
      </c>
      <c r="P694" t="s">
        <v>62</v>
      </c>
      <c r="Q694">
        <v>2023</v>
      </c>
    </row>
    <row r="695" spans="1:17" x14ac:dyDescent="0.3">
      <c r="A695" t="s">
        <v>26</v>
      </c>
      <c r="B695" t="s">
        <v>20</v>
      </c>
      <c r="C695" t="s">
        <v>30</v>
      </c>
      <c r="D695" t="s">
        <v>151</v>
      </c>
      <c r="E695" t="s">
        <v>34</v>
      </c>
      <c r="F695">
        <v>295</v>
      </c>
      <c r="G695">
        <v>13</v>
      </c>
      <c r="H695">
        <v>27</v>
      </c>
      <c r="I695">
        <v>7965</v>
      </c>
      <c r="J695">
        <v>398.25</v>
      </c>
      <c r="K695">
        <v>7566.75</v>
      </c>
      <c r="L695">
        <v>3835</v>
      </c>
      <c r="M695">
        <v>3731.75</v>
      </c>
      <c r="N695">
        <v>45699</v>
      </c>
      <c r="O695">
        <v>2</v>
      </c>
      <c r="P695" t="s">
        <v>52</v>
      </c>
      <c r="Q695">
        <v>2025</v>
      </c>
    </row>
    <row r="696" spans="1:17" x14ac:dyDescent="0.3">
      <c r="A696" t="s">
        <v>16</v>
      </c>
      <c r="B696" t="s">
        <v>22</v>
      </c>
      <c r="C696" t="s">
        <v>30</v>
      </c>
      <c r="D696" t="s">
        <v>84</v>
      </c>
      <c r="E696" t="s">
        <v>34</v>
      </c>
      <c r="F696">
        <v>471</v>
      </c>
      <c r="G696">
        <v>20</v>
      </c>
      <c r="H696">
        <v>23</v>
      </c>
      <c r="I696">
        <v>10833</v>
      </c>
      <c r="J696">
        <v>541.65</v>
      </c>
      <c r="K696">
        <v>10291.35</v>
      </c>
      <c r="L696">
        <v>9420</v>
      </c>
      <c r="M696">
        <v>871.35000000000036</v>
      </c>
      <c r="N696">
        <v>45370</v>
      </c>
      <c r="O696">
        <v>3</v>
      </c>
      <c r="P696" t="s">
        <v>38</v>
      </c>
      <c r="Q696">
        <v>2024</v>
      </c>
    </row>
    <row r="697" spans="1:17" x14ac:dyDescent="0.3">
      <c r="A697" t="s">
        <v>27</v>
      </c>
      <c r="B697" t="s">
        <v>22</v>
      </c>
      <c r="C697" t="s">
        <v>31</v>
      </c>
      <c r="D697" t="s">
        <v>196</v>
      </c>
      <c r="E697" t="s">
        <v>34</v>
      </c>
      <c r="F697">
        <v>533</v>
      </c>
      <c r="G697">
        <v>20</v>
      </c>
      <c r="H697">
        <v>22</v>
      </c>
      <c r="I697">
        <v>11726</v>
      </c>
      <c r="J697">
        <v>586.30000000000007</v>
      </c>
      <c r="K697">
        <v>11139.7</v>
      </c>
      <c r="L697">
        <v>10660</v>
      </c>
      <c r="M697">
        <v>479.70000000000073</v>
      </c>
      <c r="N697">
        <v>45049</v>
      </c>
      <c r="O697">
        <v>5</v>
      </c>
      <c r="P697" t="s">
        <v>46</v>
      </c>
      <c r="Q697">
        <v>2023</v>
      </c>
    </row>
    <row r="698" spans="1:17" x14ac:dyDescent="0.3">
      <c r="A698" t="s">
        <v>27</v>
      </c>
      <c r="B698" t="s">
        <v>23</v>
      </c>
      <c r="C698" t="s">
        <v>31</v>
      </c>
      <c r="D698" t="s">
        <v>143</v>
      </c>
      <c r="E698" t="s">
        <v>34</v>
      </c>
      <c r="F698">
        <v>477</v>
      </c>
      <c r="G698">
        <v>13</v>
      </c>
      <c r="H698">
        <v>16</v>
      </c>
      <c r="I698">
        <v>7632</v>
      </c>
      <c r="J698">
        <v>381.6</v>
      </c>
      <c r="K698">
        <v>7250.4</v>
      </c>
      <c r="L698">
        <v>6201</v>
      </c>
      <c r="M698">
        <v>1049.3999999999996</v>
      </c>
      <c r="N698">
        <v>45693</v>
      </c>
      <c r="O698">
        <v>2</v>
      </c>
      <c r="P698" t="s">
        <v>52</v>
      </c>
      <c r="Q698">
        <v>2025</v>
      </c>
    </row>
    <row r="699" spans="1:17" x14ac:dyDescent="0.3">
      <c r="A699" t="s">
        <v>16</v>
      </c>
      <c r="B699" t="s">
        <v>23</v>
      </c>
      <c r="C699" t="s">
        <v>24</v>
      </c>
      <c r="D699" t="s">
        <v>163</v>
      </c>
      <c r="E699" t="s">
        <v>34</v>
      </c>
      <c r="F699">
        <v>25</v>
      </c>
      <c r="G699">
        <v>15</v>
      </c>
      <c r="H699">
        <v>34</v>
      </c>
      <c r="I699">
        <v>850</v>
      </c>
      <c r="J699">
        <v>8.5</v>
      </c>
      <c r="K699">
        <v>841.5</v>
      </c>
      <c r="L699">
        <v>375</v>
      </c>
      <c r="M699">
        <v>466.5</v>
      </c>
      <c r="N699">
        <v>45530</v>
      </c>
      <c r="O699">
        <v>8</v>
      </c>
      <c r="P699" t="s">
        <v>62</v>
      </c>
      <c r="Q699">
        <v>2024</v>
      </c>
    </row>
    <row r="700" spans="1:17" x14ac:dyDescent="0.3">
      <c r="A700" t="s">
        <v>16</v>
      </c>
      <c r="B700" t="s">
        <v>17</v>
      </c>
      <c r="C700" t="s">
        <v>28</v>
      </c>
      <c r="D700" t="s">
        <v>60</v>
      </c>
      <c r="E700" t="s">
        <v>34</v>
      </c>
      <c r="F700">
        <v>533</v>
      </c>
      <c r="G700">
        <v>17</v>
      </c>
      <c r="H700">
        <v>38</v>
      </c>
      <c r="I700">
        <v>20254</v>
      </c>
      <c r="J700">
        <v>1012.7</v>
      </c>
      <c r="K700">
        <v>19241.3</v>
      </c>
      <c r="L700">
        <v>9061</v>
      </c>
      <c r="M700">
        <v>10180.299999999999</v>
      </c>
      <c r="N700">
        <v>45734</v>
      </c>
      <c r="O700">
        <v>3</v>
      </c>
      <c r="P700" t="s">
        <v>38</v>
      </c>
      <c r="Q700">
        <v>2025</v>
      </c>
    </row>
    <row r="701" spans="1:17" x14ac:dyDescent="0.3">
      <c r="A701" t="s">
        <v>25</v>
      </c>
      <c r="B701" t="s">
        <v>36</v>
      </c>
      <c r="C701" t="s">
        <v>30</v>
      </c>
      <c r="D701" t="s">
        <v>190</v>
      </c>
      <c r="E701" t="s">
        <v>34</v>
      </c>
      <c r="F701">
        <v>416</v>
      </c>
      <c r="G701">
        <v>10</v>
      </c>
      <c r="H701">
        <v>16</v>
      </c>
      <c r="I701">
        <v>6656</v>
      </c>
      <c r="J701">
        <v>332.8</v>
      </c>
      <c r="K701">
        <v>6323.2</v>
      </c>
      <c r="L701">
        <v>4160</v>
      </c>
      <c r="M701">
        <v>2163.1999999999998</v>
      </c>
      <c r="N701">
        <v>45198</v>
      </c>
      <c r="O701">
        <v>9</v>
      </c>
      <c r="P701" t="s">
        <v>40</v>
      </c>
      <c r="Q701">
        <v>2023</v>
      </c>
    </row>
    <row r="702" spans="1:17" x14ac:dyDescent="0.3">
      <c r="A702" t="s">
        <v>16</v>
      </c>
      <c r="B702" t="s">
        <v>17</v>
      </c>
      <c r="C702" t="s">
        <v>18</v>
      </c>
      <c r="D702" t="s">
        <v>37</v>
      </c>
      <c r="E702" t="s">
        <v>19</v>
      </c>
      <c r="F702">
        <v>686</v>
      </c>
      <c r="G702">
        <v>12</v>
      </c>
      <c r="H702">
        <v>29</v>
      </c>
      <c r="I702">
        <v>19894</v>
      </c>
      <c r="J702">
        <v>994.7</v>
      </c>
      <c r="K702">
        <v>18899.3</v>
      </c>
      <c r="L702">
        <v>8232</v>
      </c>
      <c r="M702">
        <v>10667.3</v>
      </c>
      <c r="N702">
        <v>45753</v>
      </c>
      <c r="O702">
        <v>4</v>
      </c>
      <c r="P702" t="s">
        <v>75</v>
      </c>
      <c r="Q702">
        <v>2025</v>
      </c>
    </row>
    <row r="703" spans="1:17" x14ac:dyDescent="0.3">
      <c r="A703" t="s">
        <v>16</v>
      </c>
      <c r="B703" t="s">
        <v>20</v>
      </c>
      <c r="C703" t="s">
        <v>18</v>
      </c>
      <c r="D703" t="s">
        <v>39</v>
      </c>
      <c r="E703" t="s">
        <v>19</v>
      </c>
      <c r="F703">
        <v>132</v>
      </c>
      <c r="G703">
        <v>19</v>
      </c>
      <c r="H703">
        <v>19</v>
      </c>
      <c r="I703">
        <v>2508</v>
      </c>
      <c r="J703">
        <v>125.4</v>
      </c>
      <c r="K703">
        <v>2382.6</v>
      </c>
      <c r="L703">
        <v>2508</v>
      </c>
      <c r="M703">
        <v>-125.40000000000009</v>
      </c>
      <c r="N703">
        <v>45073</v>
      </c>
      <c r="O703">
        <v>5</v>
      </c>
      <c r="P703" t="s">
        <v>46</v>
      </c>
      <c r="Q703">
        <v>2023</v>
      </c>
    </row>
    <row r="704" spans="1:17" x14ac:dyDescent="0.3">
      <c r="A704" t="s">
        <v>21</v>
      </c>
      <c r="B704" t="s">
        <v>22</v>
      </c>
      <c r="C704" t="s">
        <v>18</v>
      </c>
      <c r="D704" t="s">
        <v>41</v>
      </c>
      <c r="E704" t="s">
        <v>19</v>
      </c>
      <c r="F704">
        <v>730</v>
      </c>
      <c r="G704">
        <v>16</v>
      </c>
      <c r="H704">
        <v>22</v>
      </c>
      <c r="I704">
        <v>16060</v>
      </c>
      <c r="J704">
        <v>803</v>
      </c>
      <c r="K704">
        <v>15257</v>
      </c>
      <c r="L704">
        <v>11680</v>
      </c>
      <c r="M704">
        <v>3577</v>
      </c>
      <c r="N704">
        <v>45579</v>
      </c>
      <c r="O704">
        <v>10</v>
      </c>
      <c r="P704" t="s">
        <v>55</v>
      </c>
      <c r="Q704">
        <v>2024</v>
      </c>
    </row>
    <row r="705" spans="1:17" x14ac:dyDescent="0.3">
      <c r="A705" t="s">
        <v>21</v>
      </c>
      <c r="B705" t="s">
        <v>20</v>
      </c>
      <c r="C705" t="s">
        <v>18</v>
      </c>
      <c r="D705" t="s">
        <v>42</v>
      </c>
      <c r="E705" t="s">
        <v>19</v>
      </c>
      <c r="F705">
        <v>299</v>
      </c>
      <c r="G705">
        <v>14</v>
      </c>
      <c r="H705">
        <v>21</v>
      </c>
      <c r="I705">
        <v>6279</v>
      </c>
      <c r="J705">
        <v>313.95000000000005</v>
      </c>
      <c r="K705">
        <v>5965.05</v>
      </c>
      <c r="L705">
        <v>4186</v>
      </c>
      <c r="M705">
        <v>1779.0500000000002</v>
      </c>
      <c r="N705">
        <v>45587</v>
      </c>
      <c r="O705">
        <v>10</v>
      </c>
      <c r="P705" t="s">
        <v>55</v>
      </c>
      <c r="Q705">
        <v>2024</v>
      </c>
    </row>
    <row r="706" spans="1:17" x14ac:dyDescent="0.3">
      <c r="A706" t="s">
        <v>21</v>
      </c>
      <c r="B706" t="s">
        <v>23</v>
      </c>
      <c r="C706" t="s">
        <v>18</v>
      </c>
      <c r="D706" t="s">
        <v>44</v>
      </c>
      <c r="E706" t="s">
        <v>19</v>
      </c>
      <c r="F706">
        <v>437</v>
      </c>
      <c r="G706">
        <v>14</v>
      </c>
      <c r="H706">
        <v>20</v>
      </c>
      <c r="I706">
        <v>8740</v>
      </c>
      <c r="J706">
        <v>437</v>
      </c>
      <c r="K706">
        <v>8303</v>
      </c>
      <c r="L706">
        <v>6118</v>
      </c>
      <c r="M706">
        <v>2185</v>
      </c>
      <c r="N706">
        <v>45415</v>
      </c>
      <c r="O706">
        <v>5</v>
      </c>
      <c r="P706" t="s">
        <v>46</v>
      </c>
      <c r="Q706">
        <v>2024</v>
      </c>
    </row>
    <row r="707" spans="1:17" x14ac:dyDescent="0.3">
      <c r="A707" t="s">
        <v>16</v>
      </c>
      <c r="B707" t="s">
        <v>20</v>
      </c>
      <c r="C707" t="s">
        <v>18</v>
      </c>
      <c r="D707" t="s">
        <v>39</v>
      </c>
      <c r="E707" t="s">
        <v>19</v>
      </c>
      <c r="F707">
        <v>409</v>
      </c>
      <c r="G707">
        <v>19</v>
      </c>
      <c r="H707">
        <v>19</v>
      </c>
      <c r="I707">
        <v>7771</v>
      </c>
      <c r="J707">
        <v>388.55</v>
      </c>
      <c r="K707">
        <v>7382.45</v>
      </c>
      <c r="L707">
        <v>7771</v>
      </c>
      <c r="M707">
        <v>-388.55000000000018</v>
      </c>
      <c r="N707">
        <v>45430</v>
      </c>
      <c r="O707">
        <v>5</v>
      </c>
      <c r="P707" t="s">
        <v>46</v>
      </c>
      <c r="Q707">
        <v>2024</v>
      </c>
    </row>
    <row r="708" spans="1:17" x14ac:dyDescent="0.3">
      <c r="A708" t="s">
        <v>21</v>
      </c>
      <c r="B708" t="s">
        <v>20</v>
      </c>
      <c r="C708" t="s">
        <v>24</v>
      </c>
      <c r="D708" t="s">
        <v>47</v>
      </c>
      <c r="E708" t="s">
        <v>19</v>
      </c>
      <c r="F708">
        <v>452</v>
      </c>
      <c r="G708">
        <v>17</v>
      </c>
      <c r="H708">
        <v>16</v>
      </c>
      <c r="I708">
        <v>7232</v>
      </c>
      <c r="J708">
        <v>361.6</v>
      </c>
      <c r="K708">
        <v>6870.4</v>
      </c>
      <c r="L708">
        <v>7684</v>
      </c>
      <c r="M708">
        <v>-813.60000000000036</v>
      </c>
      <c r="N708">
        <v>45552</v>
      </c>
      <c r="O708">
        <v>9</v>
      </c>
      <c r="P708" t="s">
        <v>40</v>
      </c>
      <c r="Q708">
        <v>2024</v>
      </c>
    </row>
    <row r="709" spans="1:17" x14ac:dyDescent="0.3">
      <c r="A709" t="s">
        <v>25</v>
      </c>
      <c r="B709" t="s">
        <v>17</v>
      </c>
      <c r="C709" t="s">
        <v>24</v>
      </c>
      <c r="D709" t="s">
        <v>49</v>
      </c>
      <c r="E709" t="s">
        <v>19</v>
      </c>
      <c r="F709">
        <v>686</v>
      </c>
      <c r="G709">
        <v>13</v>
      </c>
      <c r="H709">
        <v>33</v>
      </c>
      <c r="I709">
        <v>22638</v>
      </c>
      <c r="J709">
        <v>1131.9000000000001</v>
      </c>
      <c r="K709">
        <v>21506.1</v>
      </c>
      <c r="L709">
        <v>8918</v>
      </c>
      <c r="M709">
        <v>12588.099999999999</v>
      </c>
      <c r="N709">
        <v>45299</v>
      </c>
      <c r="O709">
        <v>1</v>
      </c>
      <c r="P709" t="s">
        <v>58</v>
      </c>
      <c r="Q709">
        <v>2024</v>
      </c>
    </row>
    <row r="710" spans="1:17" x14ac:dyDescent="0.3">
      <c r="A710" t="s">
        <v>16</v>
      </c>
      <c r="B710" t="s">
        <v>22</v>
      </c>
      <c r="C710" t="s">
        <v>24</v>
      </c>
      <c r="D710" t="s">
        <v>50</v>
      </c>
      <c r="E710" t="s">
        <v>19</v>
      </c>
      <c r="F710">
        <v>904</v>
      </c>
      <c r="G710">
        <v>12</v>
      </c>
      <c r="H710">
        <v>35</v>
      </c>
      <c r="I710">
        <v>31640</v>
      </c>
      <c r="J710">
        <v>1582</v>
      </c>
      <c r="K710">
        <v>30058</v>
      </c>
      <c r="L710">
        <v>10848</v>
      </c>
      <c r="M710">
        <v>19210</v>
      </c>
      <c r="N710">
        <v>45666</v>
      </c>
      <c r="O710">
        <v>1</v>
      </c>
      <c r="P710" t="s">
        <v>58</v>
      </c>
      <c r="Q710">
        <v>2025</v>
      </c>
    </row>
    <row r="711" spans="1:17" x14ac:dyDescent="0.3">
      <c r="A711" t="s">
        <v>25</v>
      </c>
      <c r="B711" t="s">
        <v>20</v>
      </c>
      <c r="C711" t="s">
        <v>24</v>
      </c>
      <c r="D711" t="s">
        <v>51</v>
      </c>
      <c r="E711" t="s">
        <v>19</v>
      </c>
      <c r="F711">
        <v>747</v>
      </c>
      <c r="G711">
        <v>11</v>
      </c>
      <c r="H711">
        <v>28</v>
      </c>
      <c r="I711">
        <v>20916</v>
      </c>
      <c r="J711">
        <v>1045.8</v>
      </c>
      <c r="K711">
        <v>19870.2</v>
      </c>
      <c r="L711">
        <v>8217</v>
      </c>
      <c r="M711">
        <v>11653.2</v>
      </c>
      <c r="N711">
        <v>45292</v>
      </c>
      <c r="O711">
        <v>1</v>
      </c>
      <c r="P711" t="s">
        <v>58</v>
      </c>
      <c r="Q711">
        <v>2024</v>
      </c>
    </row>
    <row r="712" spans="1:17" x14ac:dyDescent="0.3">
      <c r="A712" t="s">
        <v>21</v>
      </c>
      <c r="B712" t="s">
        <v>23</v>
      </c>
      <c r="C712" t="s">
        <v>24</v>
      </c>
      <c r="D712" t="s">
        <v>53</v>
      </c>
      <c r="E712" t="s">
        <v>19</v>
      </c>
      <c r="F712">
        <v>960</v>
      </c>
      <c r="G712">
        <v>16</v>
      </c>
      <c r="H712">
        <v>18</v>
      </c>
      <c r="I712">
        <v>17280</v>
      </c>
      <c r="J712">
        <v>864</v>
      </c>
      <c r="K712">
        <v>16416</v>
      </c>
      <c r="L712">
        <v>15360</v>
      </c>
      <c r="M712">
        <v>1056</v>
      </c>
      <c r="N712">
        <v>45516</v>
      </c>
      <c r="O712">
        <v>8</v>
      </c>
      <c r="P712" t="s">
        <v>62</v>
      </c>
      <c r="Q712">
        <v>2024</v>
      </c>
    </row>
    <row r="713" spans="1:17" x14ac:dyDescent="0.3">
      <c r="A713" t="s">
        <v>26</v>
      </c>
      <c r="B713" t="s">
        <v>17</v>
      </c>
      <c r="C713" t="s">
        <v>24</v>
      </c>
      <c r="D713" t="s">
        <v>54</v>
      </c>
      <c r="E713" t="s">
        <v>19</v>
      </c>
      <c r="F713">
        <v>811</v>
      </c>
      <c r="G713">
        <v>11</v>
      </c>
      <c r="H713">
        <v>28</v>
      </c>
      <c r="I713">
        <v>22708</v>
      </c>
      <c r="J713">
        <v>1135.4000000000001</v>
      </c>
      <c r="K713">
        <v>21572.6</v>
      </c>
      <c r="L713">
        <v>8921</v>
      </c>
      <c r="M713">
        <v>12651.599999999999</v>
      </c>
      <c r="N713">
        <v>45284</v>
      </c>
      <c r="O713">
        <v>12</v>
      </c>
      <c r="P713" t="s">
        <v>77</v>
      </c>
      <c r="Q713">
        <v>2023</v>
      </c>
    </row>
    <row r="714" spans="1:17" x14ac:dyDescent="0.3">
      <c r="A714" t="s">
        <v>27</v>
      </c>
      <c r="B714" t="s">
        <v>23</v>
      </c>
      <c r="C714" t="s">
        <v>24</v>
      </c>
      <c r="D714" t="s">
        <v>56</v>
      </c>
      <c r="E714" t="s">
        <v>19</v>
      </c>
      <c r="F714">
        <v>767</v>
      </c>
      <c r="G714">
        <v>16</v>
      </c>
      <c r="H714">
        <v>23</v>
      </c>
      <c r="I714">
        <v>17641</v>
      </c>
      <c r="J714">
        <v>882.05000000000007</v>
      </c>
      <c r="K714">
        <v>16758.95</v>
      </c>
      <c r="L714">
        <v>12272</v>
      </c>
      <c r="M714">
        <v>4486.9500000000007</v>
      </c>
      <c r="N714">
        <v>45365</v>
      </c>
      <c r="O714">
        <v>3</v>
      </c>
      <c r="P714" t="s">
        <v>38</v>
      </c>
      <c r="Q714">
        <v>2024</v>
      </c>
    </row>
    <row r="715" spans="1:17" x14ac:dyDescent="0.3">
      <c r="A715" t="s">
        <v>16</v>
      </c>
      <c r="B715" t="s">
        <v>20</v>
      </c>
      <c r="C715" t="s">
        <v>24</v>
      </c>
      <c r="D715" t="s">
        <v>57</v>
      </c>
      <c r="E715" t="s">
        <v>19</v>
      </c>
      <c r="F715">
        <v>294</v>
      </c>
      <c r="G715">
        <v>16</v>
      </c>
      <c r="H715">
        <v>31</v>
      </c>
      <c r="I715">
        <v>9114</v>
      </c>
      <c r="J715">
        <v>455.70000000000005</v>
      </c>
      <c r="K715">
        <v>8658.2999999999993</v>
      </c>
      <c r="L715">
        <v>4704</v>
      </c>
      <c r="M715">
        <v>3954.2999999999993</v>
      </c>
      <c r="N715">
        <v>45635</v>
      </c>
      <c r="O715">
        <v>12</v>
      </c>
      <c r="P715" t="s">
        <v>77</v>
      </c>
      <c r="Q715">
        <v>2024</v>
      </c>
    </row>
    <row r="716" spans="1:17" x14ac:dyDescent="0.3">
      <c r="A716" t="s">
        <v>26</v>
      </c>
      <c r="B716" t="s">
        <v>17</v>
      </c>
      <c r="C716" t="s">
        <v>24</v>
      </c>
      <c r="D716" t="s">
        <v>54</v>
      </c>
      <c r="E716" t="s">
        <v>19</v>
      </c>
      <c r="F716">
        <v>652</v>
      </c>
      <c r="G716">
        <v>11</v>
      </c>
      <c r="H716">
        <v>28</v>
      </c>
      <c r="I716">
        <v>18256</v>
      </c>
      <c r="J716">
        <v>912.80000000000007</v>
      </c>
      <c r="K716">
        <v>17343.2</v>
      </c>
      <c r="L716">
        <v>7172</v>
      </c>
      <c r="M716">
        <v>10171.200000000001</v>
      </c>
      <c r="N716">
        <v>45458</v>
      </c>
      <c r="O716">
        <v>6</v>
      </c>
      <c r="P716" t="s">
        <v>45</v>
      </c>
      <c r="Q716">
        <v>2024</v>
      </c>
    </row>
    <row r="717" spans="1:17" x14ac:dyDescent="0.3">
      <c r="A717" t="s">
        <v>21</v>
      </c>
      <c r="B717" t="s">
        <v>36</v>
      </c>
      <c r="C717" t="s">
        <v>24</v>
      </c>
      <c r="D717" t="s">
        <v>59</v>
      </c>
      <c r="E717" t="s">
        <v>19</v>
      </c>
      <c r="F717">
        <v>809</v>
      </c>
      <c r="G717">
        <v>10</v>
      </c>
      <c r="H717">
        <v>19</v>
      </c>
      <c r="I717">
        <v>15371</v>
      </c>
      <c r="J717">
        <v>768.55000000000007</v>
      </c>
      <c r="K717">
        <v>14602.45</v>
      </c>
      <c r="L717">
        <v>8090</v>
      </c>
      <c r="M717">
        <v>6512.4500000000007</v>
      </c>
      <c r="N717">
        <v>45170</v>
      </c>
      <c r="O717">
        <v>9</v>
      </c>
      <c r="P717" t="s">
        <v>40</v>
      </c>
      <c r="Q717">
        <v>2023</v>
      </c>
    </row>
    <row r="718" spans="1:17" x14ac:dyDescent="0.3">
      <c r="A718" t="s">
        <v>16</v>
      </c>
      <c r="B718" t="s">
        <v>17</v>
      </c>
      <c r="C718" t="s">
        <v>28</v>
      </c>
      <c r="D718" t="s">
        <v>60</v>
      </c>
      <c r="E718" t="s">
        <v>19</v>
      </c>
      <c r="F718">
        <v>181</v>
      </c>
      <c r="G718">
        <v>17</v>
      </c>
      <c r="H718">
        <v>38</v>
      </c>
      <c r="I718">
        <v>6878</v>
      </c>
      <c r="J718">
        <v>343.90000000000003</v>
      </c>
      <c r="K718">
        <v>6534.1</v>
      </c>
      <c r="L718">
        <v>3077</v>
      </c>
      <c r="M718">
        <v>3457.1000000000004</v>
      </c>
      <c r="N718">
        <v>45223</v>
      </c>
      <c r="O718">
        <v>10</v>
      </c>
      <c r="P718" t="s">
        <v>55</v>
      </c>
      <c r="Q718">
        <v>2023</v>
      </c>
    </row>
    <row r="719" spans="1:17" x14ac:dyDescent="0.3">
      <c r="A719" t="s">
        <v>21</v>
      </c>
      <c r="B719" t="s">
        <v>23</v>
      </c>
      <c r="C719" t="s">
        <v>28</v>
      </c>
      <c r="D719" t="s">
        <v>61</v>
      </c>
      <c r="E719" t="s">
        <v>19</v>
      </c>
      <c r="F719">
        <v>909</v>
      </c>
      <c r="G719">
        <v>13</v>
      </c>
      <c r="H719">
        <v>33</v>
      </c>
      <c r="I719">
        <v>29997</v>
      </c>
      <c r="J719">
        <v>1499.8500000000001</v>
      </c>
      <c r="K719">
        <v>28497.15</v>
      </c>
      <c r="L719">
        <v>11817</v>
      </c>
      <c r="M719">
        <v>16680.150000000001</v>
      </c>
      <c r="N719">
        <v>45641</v>
      </c>
      <c r="O719">
        <v>12</v>
      </c>
      <c r="P719" t="s">
        <v>77</v>
      </c>
      <c r="Q719">
        <v>2024</v>
      </c>
    </row>
    <row r="720" spans="1:17" x14ac:dyDescent="0.3">
      <c r="A720" t="s">
        <v>25</v>
      </c>
      <c r="B720" t="s">
        <v>17</v>
      </c>
      <c r="C720" t="s">
        <v>28</v>
      </c>
      <c r="D720" t="s">
        <v>63</v>
      </c>
      <c r="E720" t="s">
        <v>19</v>
      </c>
      <c r="F720">
        <v>474</v>
      </c>
      <c r="G720">
        <v>11</v>
      </c>
      <c r="H720">
        <v>21</v>
      </c>
      <c r="I720">
        <v>9954</v>
      </c>
      <c r="J720">
        <v>497.70000000000005</v>
      </c>
      <c r="K720">
        <v>9456.2999999999993</v>
      </c>
      <c r="L720">
        <v>5214</v>
      </c>
      <c r="M720">
        <v>4242.2999999999993</v>
      </c>
      <c r="N720">
        <v>45179</v>
      </c>
      <c r="O720">
        <v>9</v>
      </c>
      <c r="P720" t="s">
        <v>40</v>
      </c>
      <c r="Q720">
        <v>2023</v>
      </c>
    </row>
    <row r="721" spans="1:17" x14ac:dyDescent="0.3">
      <c r="A721" t="s">
        <v>16</v>
      </c>
      <c r="B721" t="s">
        <v>20</v>
      </c>
      <c r="C721" t="s">
        <v>28</v>
      </c>
      <c r="D721" t="s">
        <v>64</v>
      </c>
      <c r="E721" t="s">
        <v>19</v>
      </c>
      <c r="F721">
        <v>981</v>
      </c>
      <c r="G721">
        <v>14</v>
      </c>
      <c r="H721">
        <v>22</v>
      </c>
      <c r="I721">
        <v>21582</v>
      </c>
      <c r="J721">
        <v>1079.1000000000001</v>
      </c>
      <c r="K721">
        <v>20502.900000000001</v>
      </c>
      <c r="L721">
        <v>13734</v>
      </c>
      <c r="M721">
        <v>6768.9000000000015</v>
      </c>
      <c r="N721">
        <v>45464</v>
      </c>
      <c r="O721">
        <v>6</v>
      </c>
      <c r="P721" t="s">
        <v>45</v>
      </c>
      <c r="Q721">
        <v>2024</v>
      </c>
    </row>
    <row r="722" spans="1:17" x14ac:dyDescent="0.3">
      <c r="A722" t="s">
        <v>25</v>
      </c>
      <c r="B722" t="s">
        <v>20</v>
      </c>
      <c r="C722" t="s">
        <v>28</v>
      </c>
      <c r="D722" t="s">
        <v>65</v>
      </c>
      <c r="E722" t="s">
        <v>19</v>
      </c>
      <c r="F722">
        <v>951</v>
      </c>
      <c r="G722">
        <v>16</v>
      </c>
      <c r="H722">
        <v>24</v>
      </c>
      <c r="I722">
        <v>22824</v>
      </c>
      <c r="J722">
        <v>1141.2</v>
      </c>
      <c r="K722">
        <v>21682.799999999999</v>
      </c>
      <c r="L722">
        <v>15216</v>
      </c>
      <c r="M722">
        <v>6466.7999999999993</v>
      </c>
      <c r="N722">
        <v>45139</v>
      </c>
      <c r="O722">
        <v>8</v>
      </c>
      <c r="P722" t="s">
        <v>62</v>
      </c>
      <c r="Q722">
        <v>2023</v>
      </c>
    </row>
    <row r="723" spans="1:17" x14ac:dyDescent="0.3">
      <c r="A723" t="s">
        <v>16</v>
      </c>
      <c r="B723" t="s">
        <v>23</v>
      </c>
      <c r="C723" t="s">
        <v>28</v>
      </c>
      <c r="D723" t="s">
        <v>66</v>
      </c>
      <c r="E723" t="s">
        <v>19</v>
      </c>
      <c r="F723">
        <v>915</v>
      </c>
      <c r="G723">
        <v>11</v>
      </c>
      <c r="H723">
        <v>21</v>
      </c>
      <c r="I723">
        <v>19215</v>
      </c>
      <c r="J723">
        <v>960.75</v>
      </c>
      <c r="K723">
        <v>18254.25</v>
      </c>
      <c r="L723">
        <v>10065</v>
      </c>
      <c r="M723">
        <v>8189.25</v>
      </c>
      <c r="N723">
        <v>45276</v>
      </c>
      <c r="O723">
        <v>12</v>
      </c>
      <c r="P723" t="s">
        <v>77</v>
      </c>
      <c r="Q723">
        <v>2023</v>
      </c>
    </row>
    <row r="724" spans="1:17" x14ac:dyDescent="0.3">
      <c r="A724" t="s">
        <v>21</v>
      </c>
      <c r="B724" t="s">
        <v>22</v>
      </c>
      <c r="C724" t="s">
        <v>28</v>
      </c>
      <c r="D724" t="s">
        <v>67</v>
      </c>
      <c r="E724" t="s">
        <v>19</v>
      </c>
      <c r="F724">
        <v>892</v>
      </c>
      <c r="G724">
        <v>16</v>
      </c>
      <c r="H724">
        <v>27</v>
      </c>
      <c r="I724">
        <v>24084</v>
      </c>
      <c r="J724">
        <v>1204.2</v>
      </c>
      <c r="K724">
        <v>22879.8</v>
      </c>
      <c r="L724">
        <v>14272</v>
      </c>
      <c r="M724">
        <v>8607.7999999999993</v>
      </c>
      <c r="N724">
        <v>45727</v>
      </c>
      <c r="O724">
        <v>3</v>
      </c>
      <c r="P724" t="s">
        <v>38</v>
      </c>
      <c r="Q724">
        <v>2025</v>
      </c>
    </row>
    <row r="725" spans="1:17" x14ac:dyDescent="0.3">
      <c r="A725" t="s">
        <v>27</v>
      </c>
      <c r="B725" t="s">
        <v>23</v>
      </c>
      <c r="C725" t="s">
        <v>28</v>
      </c>
      <c r="D725" t="s">
        <v>68</v>
      </c>
      <c r="E725" t="s">
        <v>19</v>
      </c>
      <c r="F725">
        <v>382</v>
      </c>
      <c r="G725">
        <v>11</v>
      </c>
      <c r="H725">
        <v>33</v>
      </c>
      <c r="I725">
        <v>12606</v>
      </c>
      <c r="J725">
        <v>630.30000000000007</v>
      </c>
      <c r="K725">
        <v>11975.7</v>
      </c>
      <c r="L725">
        <v>4202</v>
      </c>
      <c r="M725">
        <v>7773.7000000000007</v>
      </c>
      <c r="N725">
        <v>45086</v>
      </c>
      <c r="O725">
        <v>6</v>
      </c>
      <c r="P725" t="s">
        <v>45</v>
      </c>
      <c r="Q725">
        <v>2023</v>
      </c>
    </row>
    <row r="726" spans="1:17" x14ac:dyDescent="0.3">
      <c r="A726" t="s">
        <v>21</v>
      </c>
      <c r="B726" t="s">
        <v>23</v>
      </c>
      <c r="C726" t="s">
        <v>28</v>
      </c>
      <c r="D726" t="s">
        <v>61</v>
      </c>
      <c r="E726" t="s">
        <v>19</v>
      </c>
      <c r="F726">
        <v>476</v>
      </c>
      <c r="G726">
        <v>13</v>
      </c>
      <c r="H726">
        <v>33</v>
      </c>
      <c r="I726">
        <v>15708</v>
      </c>
      <c r="J726">
        <v>785.40000000000009</v>
      </c>
      <c r="K726">
        <v>14922.6</v>
      </c>
      <c r="L726">
        <v>6188</v>
      </c>
      <c r="M726">
        <v>8734.6</v>
      </c>
      <c r="N726">
        <v>45287</v>
      </c>
      <c r="O726">
        <v>12</v>
      </c>
      <c r="P726" t="s">
        <v>77</v>
      </c>
      <c r="Q726">
        <v>2023</v>
      </c>
    </row>
    <row r="727" spans="1:17" x14ac:dyDescent="0.3">
      <c r="A727" t="s">
        <v>16</v>
      </c>
      <c r="B727" t="s">
        <v>36</v>
      </c>
      <c r="C727" t="s">
        <v>28</v>
      </c>
      <c r="D727" t="s">
        <v>69</v>
      </c>
      <c r="E727" t="s">
        <v>19</v>
      </c>
      <c r="F727">
        <v>880</v>
      </c>
      <c r="G727">
        <v>20</v>
      </c>
      <c r="H727">
        <v>25</v>
      </c>
      <c r="I727">
        <v>22000</v>
      </c>
      <c r="J727">
        <v>1100</v>
      </c>
      <c r="K727">
        <v>20900</v>
      </c>
      <c r="L727">
        <v>17600</v>
      </c>
      <c r="M727">
        <v>3300</v>
      </c>
      <c r="N727">
        <v>45135</v>
      </c>
      <c r="O727">
        <v>7</v>
      </c>
      <c r="P727" t="s">
        <v>48</v>
      </c>
      <c r="Q727">
        <v>2023</v>
      </c>
    </row>
    <row r="728" spans="1:17" x14ac:dyDescent="0.3">
      <c r="A728" t="s">
        <v>16</v>
      </c>
      <c r="B728" t="s">
        <v>17</v>
      </c>
      <c r="C728" t="s">
        <v>28</v>
      </c>
      <c r="D728" t="s">
        <v>60</v>
      </c>
      <c r="E728" t="s">
        <v>19</v>
      </c>
      <c r="F728">
        <v>641</v>
      </c>
      <c r="G728">
        <v>17</v>
      </c>
      <c r="H728">
        <v>38</v>
      </c>
      <c r="I728">
        <v>24358</v>
      </c>
      <c r="J728">
        <v>1217.9000000000001</v>
      </c>
      <c r="K728">
        <v>23140.1</v>
      </c>
      <c r="L728">
        <v>10897</v>
      </c>
      <c r="M728">
        <v>12243.099999999999</v>
      </c>
      <c r="N728">
        <v>45066</v>
      </c>
      <c r="O728">
        <v>5</v>
      </c>
      <c r="P728" t="s">
        <v>46</v>
      </c>
      <c r="Q728">
        <v>2023</v>
      </c>
    </row>
    <row r="729" spans="1:17" x14ac:dyDescent="0.3">
      <c r="A729" t="s">
        <v>25</v>
      </c>
      <c r="B729" t="s">
        <v>36</v>
      </c>
      <c r="C729" t="s">
        <v>28</v>
      </c>
      <c r="D729" t="s">
        <v>70</v>
      </c>
      <c r="E729" t="s">
        <v>19</v>
      </c>
      <c r="F729">
        <v>620</v>
      </c>
      <c r="G729">
        <v>15</v>
      </c>
      <c r="H729">
        <v>16</v>
      </c>
      <c r="I729">
        <v>9920</v>
      </c>
      <c r="J729">
        <v>496</v>
      </c>
      <c r="K729">
        <v>9424</v>
      </c>
      <c r="L729">
        <v>9300</v>
      </c>
      <c r="M729">
        <v>124</v>
      </c>
      <c r="N729">
        <v>45487</v>
      </c>
      <c r="O729">
        <v>7</v>
      </c>
      <c r="P729" t="s">
        <v>48</v>
      </c>
      <c r="Q729">
        <v>2024</v>
      </c>
    </row>
    <row r="730" spans="1:17" x14ac:dyDescent="0.3">
      <c r="A730" t="s">
        <v>21</v>
      </c>
      <c r="B730" t="s">
        <v>17</v>
      </c>
      <c r="C730" t="s">
        <v>28</v>
      </c>
      <c r="D730" t="s">
        <v>71</v>
      </c>
      <c r="E730" t="s">
        <v>19</v>
      </c>
      <c r="F730">
        <v>777</v>
      </c>
      <c r="G730">
        <v>17</v>
      </c>
      <c r="H730">
        <v>25</v>
      </c>
      <c r="I730">
        <v>19425</v>
      </c>
      <c r="J730">
        <v>971.25</v>
      </c>
      <c r="K730">
        <v>18453.75</v>
      </c>
      <c r="L730">
        <v>13209</v>
      </c>
      <c r="M730">
        <v>5244.75</v>
      </c>
      <c r="N730">
        <v>45669</v>
      </c>
      <c r="O730">
        <v>1</v>
      </c>
      <c r="P730" t="s">
        <v>58</v>
      </c>
      <c r="Q730">
        <v>2025</v>
      </c>
    </row>
    <row r="731" spans="1:17" x14ac:dyDescent="0.3">
      <c r="A731" t="s">
        <v>16</v>
      </c>
      <c r="B731" t="s">
        <v>17</v>
      </c>
      <c r="C731" t="s">
        <v>28</v>
      </c>
      <c r="D731" t="s">
        <v>60</v>
      </c>
      <c r="E731" t="s">
        <v>19</v>
      </c>
      <c r="F731">
        <v>591</v>
      </c>
      <c r="G731">
        <v>17</v>
      </c>
      <c r="H731">
        <v>38</v>
      </c>
      <c r="I731">
        <v>22458</v>
      </c>
      <c r="J731">
        <v>1122.9000000000001</v>
      </c>
      <c r="K731">
        <v>21335.1</v>
      </c>
      <c r="L731">
        <v>10047</v>
      </c>
      <c r="M731">
        <v>11288.099999999999</v>
      </c>
      <c r="N731">
        <v>45322</v>
      </c>
      <c r="O731">
        <v>1</v>
      </c>
      <c r="P731" t="s">
        <v>58</v>
      </c>
      <c r="Q731">
        <v>2024</v>
      </c>
    </row>
    <row r="732" spans="1:17" x14ac:dyDescent="0.3">
      <c r="A732" t="s">
        <v>16</v>
      </c>
      <c r="B732" t="s">
        <v>20</v>
      </c>
      <c r="C732" t="s">
        <v>28</v>
      </c>
      <c r="D732" t="s">
        <v>64</v>
      </c>
      <c r="E732" t="s">
        <v>19</v>
      </c>
      <c r="F732">
        <v>705</v>
      </c>
      <c r="G732">
        <v>14</v>
      </c>
      <c r="H732">
        <v>22</v>
      </c>
      <c r="I732">
        <v>15510</v>
      </c>
      <c r="J732">
        <v>775.5</v>
      </c>
      <c r="K732">
        <v>14734.5</v>
      </c>
      <c r="L732">
        <v>9870</v>
      </c>
      <c r="M732">
        <v>4864.5</v>
      </c>
      <c r="N732">
        <v>45301</v>
      </c>
      <c r="O732">
        <v>1</v>
      </c>
      <c r="P732" t="s">
        <v>58</v>
      </c>
      <c r="Q732">
        <v>2024</v>
      </c>
    </row>
    <row r="733" spans="1:17" x14ac:dyDescent="0.3">
      <c r="A733" t="s">
        <v>16</v>
      </c>
      <c r="B733" t="s">
        <v>23</v>
      </c>
      <c r="C733" t="s">
        <v>29</v>
      </c>
      <c r="D733" t="s">
        <v>72</v>
      </c>
      <c r="E733" t="s">
        <v>19</v>
      </c>
      <c r="F733">
        <v>795</v>
      </c>
      <c r="G733">
        <v>18</v>
      </c>
      <c r="H733">
        <v>33</v>
      </c>
      <c r="I733">
        <v>26235</v>
      </c>
      <c r="J733">
        <v>1311.75</v>
      </c>
      <c r="K733">
        <v>24923.25</v>
      </c>
      <c r="L733">
        <v>14310</v>
      </c>
      <c r="M733">
        <v>10613.25</v>
      </c>
      <c r="N733">
        <v>45397</v>
      </c>
      <c r="O733">
        <v>4</v>
      </c>
      <c r="P733" t="s">
        <v>75</v>
      </c>
      <c r="Q733">
        <v>2024</v>
      </c>
    </row>
    <row r="734" spans="1:17" x14ac:dyDescent="0.3">
      <c r="A734" t="s">
        <v>26</v>
      </c>
      <c r="B734" t="s">
        <v>22</v>
      </c>
      <c r="C734" t="s">
        <v>29</v>
      </c>
      <c r="D734" t="s">
        <v>73</v>
      </c>
      <c r="E734" t="s">
        <v>19</v>
      </c>
      <c r="F734">
        <v>929</v>
      </c>
      <c r="G734">
        <v>16</v>
      </c>
      <c r="H734">
        <v>20</v>
      </c>
      <c r="I734">
        <v>18580</v>
      </c>
      <c r="J734">
        <v>929</v>
      </c>
      <c r="K734">
        <v>17651</v>
      </c>
      <c r="L734">
        <v>14864</v>
      </c>
      <c r="M734">
        <v>2787</v>
      </c>
      <c r="N734">
        <v>45661</v>
      </c>
      <c r="O734">
        <v>1</v>
      </c>
      <c r="P734" t="s">
        <v>58</v>
      </c>
      <c r="Q734">
        <v>2025</v>
      </c>
    </row>
    <row r="735" spans="1:17" x14ac:dyDescent="0.3">
      <c r="A735" t="s">
        <v>25</v>
      </c>
      <c r="B735" t="s">
        <v>20</v>
      </c>
      <c r="C735" t="s">
        <v>29</v>
      </c>
      <c r="D735" t="s">
        <v>74</v>
      </c>
      <c r="E735" t="s">
        <v>19</v>
      </c>
      <c r="F735">
        <v>658</v>
      </c>
      <c r="G735">
        <v>13</v>
      </c>
      <c r="H735">
        <v>26</v>
      </c>
      <c r="I735">
        <v>17108</v>
      </c>
      <c r="J735">
        <v>855.40000000000009</v>
      </c>
      <c r="K735">
        <v>16252.6</v>
      </c>
      <c r="L735">
        <v>8554</v>
      </c>
      <c r="M735">
        <v>7698.6</v>
      </c>
      <c r="N735">
        <v>45709</v>
      </c>
      <c r="O735">
        <v>2</v>
      </c>
      <c r="P735" t="s">
        <v>52</v>
      </c>
      <c r="Q735">
        <v>2025</v>
      </c>
    </row>
    <row r="736" spans="1:17" x14ac:dyDescent="0.3">
      <c r="A736" t="s">
        <v>16</v>
      </c>
      <c r="B736" t="s">
        <v>20</v>
      </c>
      <c r="C736" t="s">
        <v>29</v>
      </c>
      <c r="D736" t="s">
        <v>76</v>
      </c>
      <c r="E736" t="s">
        <v>19</v>
      </c>
      <c r="F736">
        <v>394</v>
      </c>
      <c r="G736">
        <v>11</v>
      </c>
      <c r="H736">
        <v>30</v>
      </c>
      <c r="I736">
        <v>11820</v>
      </c>
      <c r="J736">
        <v>591</v>
      </c>
      <c r="K736">
        <v>11229</v>
      </c>
      <c r="L736">
        <v>4334</v>
      </c>
      <c r="M736">
        <v>6895</v>
      </c>
      <c r="N736">
        <v>45465</v>
      </c>
      <c r="O736">
        <v>6</v>
      </c>
      <c r="P736" t="s">
        <v>45</v>
      </c>
      <c r="Q736">
        <v>2024</v>
      </c>
    </row>
    <row r="737" spans="1:17" x14ac:dyDescent="0.3">
      <c r="A737" t="s">
        <v>25</v>
      </c>
      <c r="B737" t="s">
        <v>20</v>
      </c>
      <c r="C737" t="s">
        <v>29</v>
      </c>
      <c r="D737" t="s">
        <v>74</v>
      </c>
      <c r="E737" t="s">
        <v>19</v>
      </c>
      <c r="F737">
        <v>633</v>
      </c>
      <c r="G737">
        <v>13</v>
      </c>
      <c r="H737">
        <v>26</v>
      </c>
      <c r="I737">
        <v>16458</v>
      </c>
      <c r="J737">
        <v>822.90000000000009</v>
      </c>
      <c r="K737">
        <v>15635.1</v>
      </c>
      <c r="L737">
        <v>8229</v>
      </c>
      <c r="M737">
        <v>7406.1</v>
      </c>
      <c r="N737">
        <v>45709</v>
      </c>
      <c r="O737">
        <v>2</v>
      </c>
      <c r="P737" t="s">
        <v>52</v>
      </c>
      <c r="Q737">
        <v>2025</v>
      </c>
    </row>
    <row r="738" spans="1:17" x14ac:dyDescent="0.3">
      <c r="A738" t="s">
        <v>26</v>
      </c>
      <c r="B738" t="s">
        <v>36</v>
      </c>
      <c r="C738" t="s">
        <v>29</v>
      </c>
      <c r="D738" t="s">
        <v>78</v>
      </c>
      <c r="E738" t="s">
        <v>19</v>
      </c>
      <c r="F738">
        <v>791</v>
      </c>
      <c r="G738">
        <v>12</v>
      </c>
      <c r="H738">
        <v>36</v>
      </c>
      <c r="I738">
        <v>28476</v>
      </c>
      <c r="J738">
        <v>1423.8000000000002</v>
      </c>
      <c r="K738">
        <v>27052.2</v>
      </c>
      <c r="L738">
        <v>9492</v>
      </c>
      <c r="M738">
        <v>17560.2</v>
      </c>
      <c r="N738">
        <v>45400</v>
      </c>
      <c r="O738">
        <v>4</v>
      </c>
      <c r="P738" t="s">
        <v>75</v>
      </c>
      <c r="Q738">
        <v>2024</v>
      </c>
    </row>
    <row r="739" spans="1:17" x14ac:dyDescent="0.3">
      <c r="A739" t="s">
        <v>26</v>
      </c>
      <c r="B739" t="s">
        <v>17</v>
      </c>
      <c r="C739" t="s">
        <v>29</v>
      </c>
      <c r="D739" t="s">
        <v>79</v>
      </c>
      <c r="E739" t="s">
        <v>19</v>
      </c>
      <c r="F739">
        <v>528</v>
      </c>
      <c r="G739">
        <v>16</v>
      </c>
      <c r="H739">
        <v>28</v>
      </c>
      <c r="I739">
        <v>14784</v>
      </c>
      <c r="J739">
        <v>739.2</v>
      </c>
      <c r="K739">
        <v>14044.8</v>
      </c>
      <c r="L739">
        <v>8448</v>
      </c>
      <c r="M739">
        <v>5596.7999999999993</v>
      </c>
      <c r="N739">
        <v>45706</v>
      </c>
      <c r="O739">
        <v>2</v>
      </c>
      <c r="P739" t="s">
        <v>52</v>
      </c>
      <c r="Q739">
        <v>2025</v>
      </c>
    </row>
    <row r="740" spans="1:17" x14ac:dyDescent="0.3">
      <c r="A740" t="s">
        <v>27</v>
      </c>
      <c r="B740" t="s">
        <v>17</v>
      </c>
      <c r="C740" t="s">
        <v>30</v>
      </c>
      <c r="D740" t="s">
        <v>80</v>
      </c>
      <c r="E740" t="s">
        <v>19</v>
      </c>
      <c r="F740">
        <v>465</v>
      </c>
      <c r="G740">
        <v>16</v>
      </c>
      <c r="H740">
        <v>16</v>
      </c>
      <c r="I740">
        <v>7440</v>
      </c>
      <c r="J740">
        <v>372</v>
      </c>
      <c r="K740">
        <v>7068</v>
      </c>
      <c r="L740">
        <v>7440</v>
      </c>
      <c r="M740">
        <v>-372</v>
      </c>
      <c r="N740">
        <v>45478</v>
      </c>
      <c r="O740">
        <v>7</v>
      </c>
      <c r="P740" t="s">
        <v>48</v>
      </c>
      <c r="Q740">
        <v>2024</v>
      </c>
    </row>
    <row r="741" spans="1:17" x14ac:dyDescent="0.3">
      <c r="A741" t="s">
        <v>25</v>
      </c>
      <c r="B741" t="s">
        <v>20</v>
      </c>
      <c r="C741" t="s">
        <v>30</v>
      </c>
      <c r="D741" t="s">
        <v>81</v>
      </c>
      <c r="E741" t="s">
        <v>19</v>
      </c>
      <c r="F741">
        <v>643</v>
      </c>
      <c r="G741">
        <v>15</v>
      </c>
      <c r="H741">
        <v>25</v>
      </c>
      <c r="I741">
        <v>16075</v>
      </c>
      <c r="J741">
        <v>803.75</v>
      </c>
      <c r="K741">
        <v>15271.25</v>
      </c>
      <c r="L741">
        <v>9645</v>
      </c>
      <c r="M741">
        <v>5626.25</v>
      </c>
      <c r="N741">
        <v>45171</v>
      </c>
      <c r="O741">
        <v>9</v>
      </c>
      <c r="P741" t="s">
        <v>40</v>
      </c>
      <c r="Q741">
        <v>2023</v>
      </c>
    </row>
    <row r="742" spans="1:17" x14ac:dyDescent="0.3">
      <c r="A742" t="s">
        <v>21</v>
      </c>
      <c r="B742" t="s">
        <v>22</v>
      </c>
      <c r="C742" t="s">
        <v>30</v>
      </c>
      <c r="D742" t="s">
        <v>82</v>
      </c>
      <c r="E742" t="s">
        <v>19</v>
      </c>
      <c r="F742">
        <v>592</v>
      </c>
      <c r="G742">
        <v>14</v>
      </c>
      <c r="H742">
        <v>30</v>
      </c>
      <c r="I742">
        <v>17760</v>
      </c>
      <c r="J742">
        <v>888</v>
      </c>
      <c r="K742">
        <v>16872</v>
      </c>
      <c r="L742">
        <v>8288</v>
      </c>
      <c r="M742">
        <v>8584</v>
      </c>
      <c r="N742">
        <v>45122</v>
      </c>
      <c r="O742">
        <v>7</v>
      </c>
      <c r="P742" t="s">
        <v>48</v>
      </c>
      <c r="Q742">
        <v>2023</v>
      </c>
    </row>
    <row r="743" spans="1:17" x14ac:dyDescent="0.3">
      <c r="A743" t="s">
        <v>21</v>
      </c>
      <c r="B743" t="s">
        <v>20</v>
      </c>
      <c r="C743" t="s">
        <v>30</v>
      </c>
      <c r="D743" t="s">
        <v>83</v>
      </c>
      <c r="E743" t="s">
        <v>19</v>
      </c>
      <c r="F743">
        <v>720</v>
      </c>
      <c r="G743">
        <v>14</v>
      </c>
      <c r="H743">
        <v>31</v>
      </c>
      <c r="I743">
        <v>22320</v>
      </c>
      <c r="J743">
        <v>1116</v>
      </c>
      <c r="K743">
        <v>21204</v>
      </c>
      <c r="L743">
        <v>10080</v>
      </c>
      <c r="M743">
        <v>11124</v>
      </c>
      <c r="N743">
        <v>45681</v>
      </c>
      <c r="O743">
        <v>1</v>
      </c>
      <c r="P743" t="s">
        <v>58</v>
      </c>
      <c r="Q743">
        <v>2025</v>
      </c>
    </row>
    <row r="744" spans="1:17" x14ac:dyDescent="0.3">
      <c r="A744" t="s">
        <v>16</v>
      </c>
      <c r="B744" t="s">
        <v>22</v>
      </c>
      <c r="C744" t="s">
        <v>30</v>
      </c>
      <c r="D744" t="s">
        <v>84</v>
      </c>
      <c r="E744" t="s">
        <v>19</v>
      </c>
      <c r="F744">
        <v>99</v>
      </c>
      <c r="G744">
        <v>20</v>
      </c>
      <c r="H744">
        <v>23</v>
      </c>
      <c r="I744">
        <v>2277</v>
      </c>
      <c r="J744">
        <v>113.85000000000001</v>
      </c>
      <c r="K744">
        <v>2163.15</v>
      </c>
      <c r="L744">
        <v>1980</v>
      </c>
      <c r="M744">
        <v>183.15000000000009</v>
      </c>
      <c r="N744">
        <v>45705</v>
      </c>
      <c r="O744">
        <v>2</v>
      </c>
      <c r="P744" t="s">
        <v>52</v>
      </c>
      <c r="Q744">
        <v>2025</v>
      </c>
    </row>
    <row r="745" spans="1:17" x14ac:dyDescent="0.3">
      <c r="A745" t="s">
        <v>27</v>
      </c>
      <c r="B745" t="s">
        <v>22</v>
      </c>
      <c r="C745" t="s">
        <v>30</v>
      </c>
      <c r="D745" t="s">
        <v>85</v>
      </c>
      <c r="E745" t="s">
        <v>19</v>
      </c>
      <c r="F745">
        <v>547</v>
      </c>
      <c r="G745">
        <v>18</v>
      </c>
      <c r="H745">
        <v>30</v>
      </c>
      <c r="I745">
        <v>16410</v>
      </c>
      <c r="J745">
        <v>820.5</v>
      </c>
      <c r="K745">
        <v>15589.5</v>
      </c>
      <c r="L745">
        <v>9846</v>
      </c>
      <c r="M745">
        <v>5743.5</v>
      </c>
      <c r="N745">
        <v>45644</v>
      </c>
      <c r="O745">
        <v>12</v>
      </c>
      <c r="P745" t="s">
        <v>77</v>
      </c>
      <c r="Q745">
        <v>2024</v>
      </c>
    </row>
    <row r="746" spans="1:17" x14ac:dyDescent="0.3">
      <c r="A746" t="s">
        <v>16</v>
      </c>
      <c r="B746" t="s">
        <v>17</v>
      </c>
      <c r="C746" t="s">
        <v>30</v>
      </c>
      <c r="D746" t="s">
        <v>86</v>
      </c>
      <c r="E746" t="s">
        <v>19</v>
      </c>
      <c r="F746">
        <v>304</v>
      </c>
      <c r="G746">
        <v>15</v>
      </c>
      <c r="H746">
        <v>36</v>
      </c>
      <c r="I746">
        <v>10944</v>
      </c>
      <c r="J746">
        <v>547.20000000000005</v>
      </c>
      <c r="K746">
        <v>10396.799999999999</v>
      </c>
      <c r="L746">
        <v>4560</v>
      </c>
      <c r="M746">
        <v>5836.7999999999993</v>
      </c>
      <c r="N746">
        <v>45652</v>
      </c>
      <c r="O746">
        <v>12</v>
      </c>
      <c r="P746" t="s">
        <v>77</v>
      </c>
      <c r="Q746">
        <v>2024</v>
      </c>
    </row>
    <row r="747" spans="1:17" x14ac:dyDescent="0.3">
      <c r="A747" t="s">
        <v>16</v>
      </c>
      <c r="B747" t="s">
        <v>22</v>
      </c>
      <c r="C747" t="s">
        <v>31</v>
      </c>
      <c r="D747" t="s">
        <v>87</v>
      </c>
      <c r="E747" t="s">
        <v>19</v>
      </c>
      <c r="F747">
        <v>103</v>
      </c>
      <c r="G747">
        <v>19</v>
      </c>
      <c r="H747">
        <v>19</v>
      </c>
      <c r="I747">
        <v>1957</v>
      </c>
      <c r="J747">
        <v>97.850000000000009</v>
      </c>
      <c r="K747">
        <v>1859.15</v>
      </c>
      <c r="L747">
        <v>1957</v>
      </c>
      <c r="M747">
        <v>-97.849999999999909</v>
      </c>
      <c r="N747">
        <v>45726</v>
      </c>
      <c r="O747">
        <v>3</v>
      </c>
      <c r="P747" t="s">
        <v>38</v>
      </c>
      <c r="Q747">
        <v>2025</v>
      </c>
    </row>
    <row r="748" spans="1:17" x14ac:dyDescent="0.3">
      <c r="A748" t="s">
        <v>25</v>
      </c>
      <c r="B748" t="s">
        <v>36</v>
      </c>
      <c r="C748" t="s">
        <v>31</v>
      </c>
      <c r="D748" t="s">
        <v>88</v>
      </c>
      <c r="E748" t="s">
        <v>19</v>
      </c>
      <c r="F748">
        <v>539</v>
      </c>
      <c r="G748">
        <v>15</v>
      </c>
      <c r="H748">
        <v>34</v>
      </c>
      <c r="I748">
        <v>18326</v>
      </c>
      <c r="J748">
        <v>916.30000000000007</v>
      </c>
      <c r="K748">
        <v>17409.7</v>
      </c>
      <c r="L748">
        <v>8085</v>
      </c>
      <c r="M748">
        <v>9324.7000000000007</v>
      </c>
      <c r="N748">
        <v>45704</v>
      </c>
      <c r="O748">
        <v>2</v>
      </c>
      <c r="P748" t="s">
        <v>52</v>
      </c>
      <c r="Q748">
        <v>2025</v>
      </c>
    </row>
    <row r="749" spans="1:17" x14ac:dyDescent="0.3">
      <c r="A749" t="s">
        <v>26</v>
      </c>
      <c r="B749" t="s">
        <v>20</v>
      </c>
      <c r="C749" t="s">
        <v>31</v>
      </c>
      <c r="D749" t="s">
        <v>89</v>
      </c>
      <c r="E749" t="s">
        <v>19</v>
      </c>
      <c r="F749">
        <v>645</v>
      </c>
      <c r="G749">
        <v>10</v>
      </c>
      <c r="H749">
        <v>19</v>
      </c>
      <c r="I749">
        <v>12255</v>
      </c>
      <c r="J749">
        <v>612.75</v>
      </c>
      <c r="K749">
        <v>11642.25</v>
      </c>
      <c r="L749">
        <v>6450</v>
      </c>
      <c r="M749">
        <v>5192.25</v>
      </c>
      <c r="N749">
        <v>45202</v>
      </c>
      <c r="O749">
        <v>10</v>
      </c>
      <c r="P749" t="s">
        <v>55</v>
      </c>
      <c r="Q749">
        <v>2023</v>
      </c>
    </row>
    <row r="750" spans="1:17" x14ac:dyDescent="0.3">
      <c r="A750" t="s">
        <v>16</v>
      </c>
      <c r="B750" t="s">
        <v>22</v>
      </c>
      <c r="C750" t="s">
        <v>31</v>
      </c>
      <c r="D750" t="s">
        <v>87</v>
      </c>
      <c r="E750" t="s">
        <v>19</v>
      </c>
      <c r="F750">
        <v>77</v>
      </c>
      <c r="G750">
        <v>19</v>
      </c>
      <c r="H750">
        <v>19</v>
      </c>
      <c r="I750">
        <v>1463</v>
      </c>
      <c r="J750">
        <v>73.150000000000006</v>
      </c>
      <c r="K750">
        <v>1389.85</v>
      </c>
      <c r="L750">
        <v>1463</v>
      </c>
      <c r="M750">
        <v>-73.150000000000091</v>
      </c>
      <c r="N750">
        <v>45559</v>
      </c>
      <c r="O750">
        <v>9</v>
      </c>
      <c r="P750" t="s">
        <v>40</v>
      </c>
      <c r="Q750">
        <v>2024</v>
      </c>
    </row>
    <row r="751" spans="1:17" x14ac:dyDescent="0.3">
      <c r="A751" t="s">
        <v>16</v>
      </c>
      <c r="B751" t="s">
        <v>20</v>
      </c>
      <c r="C751" t="s">
        <v>31</v>
      </c>
      <c r="D751" t="s">
        <v>90</v>
      </c>
      <c r="E751" t="s">
        <v>19</v>
      </c>
      <c r="F751">
        <v>44</v>
      </c>
      <c r="G751">
        <v>19</v>
      </c>
      <c r="H751">
        <v>17</v>
      </c>
      <c r="I751">
        <v>748</v>
      </c>
      <c r="J751">
        <v>7.48</v>
      </c>
      <c r="K751">
        <v>740.52</v>
      </c>
      <c r="L751">
        <v>836</v>
      </c>
      <c r="M751">
        <v>-95.480000000000018</v>
      </c>
      <c r="N751">
        <v>45430</v>
      </c>
      <c r="O751">
        <v>5</v>
      </c>
      <c r="P751" t="s">
        <v>46</v>
      </c>
      <c r="Q751">
        <v>2024</v>
      </c>
    </row>
    <row r="752" spans="1:17" x14ac:dyDescent="0.3">
      <c r="A752" t="s">
        <v>25</v>
      </c>
      <c r="B752" t="s">
        <v>36</v>
      </c>
      <c r="C752" t="s">
        <v>31</v>
      </c>
      <c r="D752" t="s">
        <v>88</v>
      </c>
      <c r="E752" t="s">
        <v>19</v>
      </c>
      <c r="F752">
        <v>141</v>
      </c>
      <c r="G752">
        <v>15</v>
      </c>
      <c r="H752">
        <v>34</v>
      </c>
      <c r="I752">
        <v>4794</v>
      </c>
      <c r="J752">
        <v>239.70000000000002</v>
      </c>
      <c r="K752">
        <v>4554.3</v>
      </c>
      <c r="L752">
        <v>2115</v>
      </c>
      <c r="M752">
        <v>2439.3000000000002</v>
      </c>
      <c r="N752">
        <v>45062</v>
      </c>
      <c r="O752">
        <v>5</v>
      </c>
      <c r="P752" t="s">
        <v>46</v>
      </c>
      <c r="Q752">
        <v>2023</v>
      </c>
    </row>
    <row r="753" spans="1:17" x14ac:dyDescent="0.3">
      <c r="A753" t="s">
        <v>16</v>
      </c>
      <c r="B753" t="s">
        <v>36</v>
      </c>
      <c r="C753" t="s">
        <v>31</v>
      </c>
      <c r="D753" t="s">
        <v>91</v>
      </c>
      <c r="E753" t="s">
        <v>19</v>
      </c>
      <c r="F753">
        <v>939</v>
      </c>
      <c r="G753">
        <v>10</v>
      </c>
      <c r="H753">
        <v>19</v>
      </c>
      <c r="I753">
        <v>17841</v>
      </c>
      <c r="J753">
        <v>892.05000000000007</v>
      </c>
      <c r="K753">
        <v>16948.95</v>
      </c>
      <c r="L753">
        <v>9390</v>
      </c>
      <c r="M753">
        <v>7558.9500000000007</v>
      </c>
      <c r="N753">
        <v>45157</v>
      </c>
      <c r="O753">
        <v>8</v>
      </c>
      <c r="P753" t="s">
        <v>62</v>
      </c>
      <c r="Q753">
        <v>2023</v>
      </c>
    </row>
    <row r="754" spans="1:17" x14ac:dyDescent="0.3">
      <c r="A754" t="s">
        <v>21</v>
      </c>
      <c r="B754" t="s">
        <v>36</v>
      </c>
      <c r="C754" t="s">
        <v>31</v>
      </c>
      <c r="D754" t="s">
        <v>92</v>
      </c>
      <c r="E754" t="s">
        <v>19</v>
      </c>
      <c r="F754">
        <v>652</v>
      </c>
      <c r="G754">
        <v>10</v>
      </c>
      <c r="H754">
        <v>20</v>
      </c>
      <c r="I754">
        <v>13040</v>
      </c>
      <c r="J754">
        <v>652</v>
      </c>
      <c r="K754">
        <v>12388</v>
      </c>
      <c r="L754">
        <v>6520</v>
      </c>
      <c r="M754">
        <v>5868</v>
      </c>
      <c r="N754">
        <v>45179</v>
      </c>
      <c r="O754">
        <v>9</v>
      </c>
      <c r="P754" t="s">
        <v>40</v>
      </c>
      <c r="Q754">
        <v>2023</v>
      </c>
    </row>
    <row r="755" spans="1:17" x14ac:dyDescent="0.3">
      <c r="A755" t="s">
        <v>16</v>
      </c>
      <c r="B755" t="s">
        <v>22</v>
      </c>
      <c r="C755" t="s">
        <v>28</v>
      </c>
      <c r="D755" t="s">
        <v>93</v>
      </c>
      <c r="E755" t="s">
        <v>32</v>
      </c>
      <c r="F755">
        <v>181</v>
      </c>
      <c r="G755">
        <v>12</v>
      </c>
      <c r="H755">
        <v>27</v>
      </c>
      <c r="I755">
        <v>4887</v>
      </c>
      <c r="J755">
        <v>244.35000000000002</v>
      </c>
      <c r="K755">
        <v>4642.6499999999996</v>
      </c>
      <c r="L755">
        <v>2172</v>
      </c>
      <c r="M755">
        <v>2470.6499999999996</v>
      </c>
      <c r="N755">
        <v>45340</v>
      </c>
      <c r="O755">
        <v>2</v>
      </c>
      <c r="P755" t="s">
        <v>52</v>
      </c>
      <c r="Q755">
        <v>2024</v>
      </c>
    </row>
    <row r="756" spans="1:17" x14ac:dyDescent="0.3">
      <c r="A756" t="s">
        <v>21</v>
      </c>
      <c r="B756" t="s">
        <v>22</v>
      </c>
      <c r="C756" t="s">
        <v>28</v>
      </c>
      <c r="D756" t="s">
        <v>67</v>
      </c>
      <c r="E756" t="s">
        <v>32</v>
      </c>
      <c r="F756">
        <v>381</v>
      </c>
      <c r="G756">
        <v>16</v>
      </c>
      <c r="H756">
        <v>27</v>
      </c>
      <c r="I756">
        <v>10287</v>
      </c>
      <c r="J756">
        <v>514.35</v>
      </c>
      <c r="K756">
        <v>9772.65</v>
      </c>
      <c r="L756">
        <v>6096</v>
      </c>
      <c r="M756">
        <v>3676.6499999999996</v>
      </c>
      <c r="N756">
        <v>45037</v>
      </c>
      <c r="O756">
        <v>4</v>
      </c>
      <c r="P756" t="s">
        <v>75</v>
      </c>
      <c r="Q756">
        <v>2023</v>
      </c>
    </row>
    <row r="757" spans="1:17" x14ac:dyDescent="0.3">
      <c r="A757" t="s">
        <v>16</v>
      </c>
      <c r="B757" t="s">
        <v>22</v>
      </c>
      <c r="C757" t="s">
        <v>28</v>
      </c>
      <c r="D757" t="s">
        <v>93</v>
      </c>
      <c r="E757" t="s">
        <v>32</v>
      </c>
      <c r="F757">
        <v>986</v>
      </c>
      <c r="G757">
        <v>12</v>
      </c>
      <c r="H757">
        <v>27</v>
      </c>
      <c r="I757">
        <v>26622</v>
      </c>
      <c r="J757">
        <v>1331.1000000000001</v>
      </c>
      <c r="K757">
        <v>25290.9</v>
      </c>
      <c r="L757">
        <v>11832</v>
      </c>
      <c r="M757">
        <v>13458.900000000001</v>
      </c>
      <c r="N757">
        <v>45184</v>
      </c>
      <c r="O757">
        <v>9</v>
      </c>
      <c r="P757" t="s">
        <v>40</v>
      </c>
      <c r="Q757">
        <v>2023</v>
      </c>
    </row>
    <row r="758" spans="1:17" x14ac:dyDescent="0.3">
      <c r="A758" t="s">
        <v>16</v>
      </c>
      <c r="B758" t="s">
        <v>22</v>
      </c>
      <c r="C758" t="s">
        <v>29</v>
      </c>
      <c r="D758" t="s">
        <v>94</v>
      </c>
      <c r="E758" t="s">
        <v>32</v>
      </c>
      <c r="F758">
        <v>201</v>
      </c>
      <c r="G758">
        <v>19</v>
      </c>
      <c r="H758">
        <v>22</v>
      </c>
      <c r="I758">
        <v>4422</v>
      </c>
      <c r="J758">
        <v>221.10000000000002</v>
      </c>
      <c r="K758">
        <v>4200.8999999999996</v>
      </c>
      <c r="L758">
        <v>3819</v>
      </c>
      <c r="M758">
        <v>381.89999999999964</v>
      </c>
      <c r="N758">
        <v>45752</v>
      </c>
      <c r="O758">
        <v>4</v>
      </c>
      <c r="P758" t="s">
        <v>75</v>
      </c>
      <c r="Q758">
        <v>2025</v>
      </c>
    </row>
    <row r="759" spans="1:17" x14ac:dyDescent="0.3">
      <c r="A759" t="s">
        <v>16</v>
      </c>
      <c r="B759" t="s">
        <v>17</v>
      </c>
      <c r="C759" t="s">
        <v>30</v>
      </c>
      <c r="D759" t="s">
        <v>86</v>
      </c>
      <c r="E759" t="s">
        <v>32</v>
      </c>
      <c r="F759">
        <v>733</v>
      </c>
      <c r="G759">
        <v>15</v>
      </c>
      <c r="H759">
        <v>36</v>
      </c>
      <c r="I759">
        <v>26388</v>
      </c>
      <c r="J759">
        <v>1319.4</v>
      </c>
      <c r="K759">
        <v>25068.6</v>
      </c>
      <c r="L759">
        <v>10995</v>
      </c>
      <c r="M759">
        <v>14073.599999999999</v>
      </c>
      <c r="N759">
        <v>45619</v>
      </c>
      <c r="O759">
        <v>11</v>
      </c>
      <c r="P759" t="s">
        <v>43</v>
      </c>
      <c r="Q759">
        <v>2024</v>
      </c>
    </row>
    <row r="760" spans="1:17" x14ac:dyDescent="0.3">
      <c r="A760" t="s">
        <v>25</v>
      </c>
      <c r="B760" t="s">
        <v>36</v>
      </c>
      <c r="C760" t="s">
        <v>18</v>
      </c>
      <c r="D760" t="s">
        <v>95</v>
      </c>
      <c r="E760" t="s">
        <v>32</v>
      </c>
      <c r="F760">
        <v>660</v>
      </c>
      <c r="G760">
        <v>13</v>
      </c>
      <c r="H760">
        <v>23</v>
      </c>
      <c r="I760">
        <v>15180</v>
      </c>
      <c r="J760">
        <v>759</v>
      </c>
      <c r="K760">
        <v>14421</v>
      </c>
      <c r="L760">
        <v>8580</v>
      </c>
      <c r="M760">
        <v>5841</v>
      </c>
      <c r="N760">
        <v>45623</v>
      </c>
      <c r="O760">
        <v>11</v>
      </c>
      <c r="P760" t="s">
        <v>43</v>
      </c>
      <c r="Q760">
        <v>2024</v>
      </c>
    </row>
    <row r="761" spans="1:17" x14ac:dyDescent="0.3">
      <c r="A761" t="s">
        <v>16</v>
      </c>
      <c r="B761" t="s">
        <v>23</v>
      </c>
      <c r="C761" t="s">
        <v>18</v>
      </c>
      <c r="D761" t="s">
        <v>96</v>
      </c>
      <c r="E761" t="s">
        <v>32</v>
      </c>
      <c r="F761">
        <v>843</v>
      </c>
      <c r="G761">
        <v>14</v>
      </c>
      <c r="H761">
        <v>35</v>
      </c>
      <c r="I761">
        <v>29505</v>
      </c>
      <c r="J761">
        <v>1475.25</v>
      </c>
      <c r="K761">
        <v>28029.75</v>
      </c>
      <c r="L761">
        <v>11802</v>
      </c>
      <c r="M761">
        <v>16227.75</v>
      </c>
      <c r="N761">
        <v>45700</v>
      </c>
      <c r="O761">
        <v>2</v>
      </c>
      <c r="P761" t="s">
        <v>52</v>
      </c>
      <c r="Q761">
        <v>2025</v>
      </c>
    </row>
    <row r="762" spans="1:17" x14ac:dyDescent="0.3">
      <c r="A762" t="s">
        <v>16</v>
      </c>
      <c r="B762" t="s">
        <v>36</v>
      </c>
      <c r="C762" t="s">
        <v>18</v>
      </c>
      <c r="D762" t="s">
        <v>97</v>
      </c>
      <c r="E762" t="s">
        <v>32</v>
      </c>
      <c r="F762">
        <v>389</v>
      </c>
      <c r="G762">
        <v>11</v>
      </c>
      <c r="H762">
        <v>19</v>
      </c>
      <c r="I762">
        <v>7391</v>
      </c>
      <c r="J762">
        <v>369.55</v>
      </c>
      <c r="K762">
        <v>7021.45</v>
      </c>
      <c r="L762">
        <v>4279</v>
      </c>
      <c r="M762">
        <v>2742.45</v>
      </c>
      <c r="N762">
        <v>45700</v>
      </c>
      <c r="O762">
        <v>2</v>
      </c>
      <c r="P762" t="s">
        <v>52</v>
      </c>
      <c r="Q762">
        <v>2025</v>
      </c>
    </row>
    <row r="763" spans="1:17" x14ac:dyDescent="0.3">
      <c r="A763" t="s">
        <v>25</v>
      </c>
      <c r="B763" t="s">
        <v>17</v>
      </c>
      <c r="C763" t="s">
        <v>18</v>
      </c>
      <c r="D763" t="s">
        <v>98</v>
      </c>
      <c r="E763" t="s">
        <v>32</v>
      </c>
      <c r="F763">
        <v>731</v>
      </c>
      <c r="G763">
        <v>20</v>
      </c>
      <c r="H763">
        <v>18</v>
      </c>
      <c r="I763">
        <v>13158</v>
      </c>
      <c r="J763">
        <v>657.90000000000009</v>
      </c>
      <c r="K763">
        <v>12500.1</v>
      </c>
      <c r="L763">
        <v>14620</v>
      </c>
      <c r="M763">
        <v>-2119.8999999999996</v>
      </c>
      <c r="N763">
        <v>45644</v>
      </c>
      <c r="O763">
        <v>12</v>
      </c>
      <c r="P763" t="s">
        <v>77</v>
      </c>
      <c r="Q763">
        <v>2024</v>
      </c>
    </row>
    <row r="764" spans="1:17" x14ac:dyDescent="0.3">
      <c r="A764" t="s">
        <v>26</v>
      </c>
      <c r="B764" t="s">
        <v>36</v>
      </c>
      <c r="C764" t="s">
        <v>18</v>
      </c>
      <c r="D764" t="s">
        <v>99</v>
      </c>
      <c r="E764" t="s">
        <v>32</v>
      </c>
      <c r="F764">
        <v>648</v>
      </c>
      <c r="G764">
        <v>17</v>
      </c>
      <c r="H764">
        <v>37</v>
      </c>
      <c r="I764">
        <v>23976</v>
      </c>
      <c r="J764">
        <v>1198.8</v>
      </c>
      <c r="K764">
        <v>22777.200000000001</v>
      </c>
      <c r="L764">
        <v>11016</v>
      </c>
      <c r="M764">
        <v>11761.2</v>
      </c>
      <c r="N764">
        <v>45421</v>
      </c>
      <c r="O764">
        <v>5</v>
      </c>
      <c r="P764" t="s">
        <v>46</v>
      </c>
      <c r="Q764">
        <v>2024</v>
      </c>
    </row>
    <row r="765" spans="1:17" x14ac:dyDescent="0.3">
      <c r="A765" t="s">
        <v>25</v>
      </c>
      <c r="B765" t="s">
        <v>22</v>
      </c>
      <c r="C765" t="s">
        <v>18</v>
      </c>
      <c r="D765" t="s">
        <v>100</v>
      </c>
      <c r="E765" t="s">
        <v>32</v>
      </c>
      <c r="F765">
        <v>916</v>
      </c>
      <c r="G765">
        <v>19</v>
      </c>
      <c r="H765">
        <v>20</v>
      </c>
      <c r="I765">
        <v>18320</v>
      </c>
      <c r="J765">
        <v>916</v>
      </c>
      <c r="K765">
        <v>17404</v>
      </c>
      <c r="L765">
        <v>17404</v>
      </c>
      <c r="M765">
        <v>0</v>
      </c>
      <c r="N765">
        <v>45680</v>
      </c>
      <c r="O765">
        <v>1</v>
      </c>
      <c r="P765" t="s">
        <v>58</v>
      </c>
      <c r="Q765">
        <v>2025</v>
      </c>
    </row>
    <row r="766" spans="1:17" x14ac:dyDescent="0.3">
      <c r="A766" t="s">
        <v>25</v>
      </c>
      <c r="B766" t="s">
        <v>20</v>
      </c>
      <c r="C766" t="s">
        <v>18</v>
      </c>
      <c r="D766" t="s">
        <v>101</v>
      </c>
      <c r="E766" t="s">
        <v>32</v>
      </c>
      <c r="F766">
        <v>849</v>
      </c>
      <c r="G766">
        <v>10</v>
      </c>
      <c r="H766">
        <v>34</v>
      </c>
      <c r="I766">
        <v>28866</v>
      </c>
      <c r="J766">
        <v>1443.3000000000002</v>
      </c>
      <c r="K766">
        <v>27422.7</v>
      </c>
      <c r="L766">
        <v>8490</v>
      </c>
      <c r="M766">
        <v>18932.7</v>
      </c>
      <c r="N766">
        <v>45187</v>
      </c>
      <c r="O766">
        <v>9</v>
      </c>
      <c r="P766" t="s">
        <v>40</v>
      </c>
      <c r="Q766">
        <v>2023</v>
      </c>
    </row>
    <row r="767" spans="1:17" x14ac:dyDescent="0.3">
      <c r="A767" t="s">
        <v>27</v>
      </c>
      <c r="B767" t="s">
        <v>23</v>
      </c>
      <c r="C767" t="s">
        <v>18</v>
      </c>
      <c r="D767" t="s">
        <v>102</v>
      </c>
      <c r="E767" t="s">
        <v>32</v>
      </c>
      <c r="F767">
        <v>68</v>
      </c>
      <c r="G767">
        <v>16</v>
      </c>
      <c r="H767">
        <v>37</v>
      </c>
      <c r="I767">
        <v>2516</v>
      </c>
      <c r="J767">
        <v>125.80000000000001</v>
      </c>
      <c r="K767">
        <v>2390.1999999999998</v>
      </c>
      <c r="L767">
        <v>1088</v>
      </c>
      <c r="M767">
        <v>1302.1999999999998</v>
      </c>
      <c r="N767">
        <v>45446</v>
      </c>
      <c r="O767">
        <v>6</v>
      </c>
      <c r="P767" t="s">
        <v>45</v>
      </c>
      <c r="Q767">
        <v>2024</v>
      </c>
    </row>
    <row r="768" spans="1:17" x14ac:dyDescent="0.3">
      <c r="A768" t="s">
        <v>16</v>
      </c>
      <c r="B768" t="s">
        <v>23</v>
      </c>
      <c r="C768" t="s">
        <v>18</v>
      </c>
      <c r="D768" t="s">
        <v>96</v>
      </c>
      <c r="E768" t="s">
        <v>32</v>
      </c>
      <c r="F768">
        <v>695</v>
      </c>
      <c r="G768">
        <v>14</v>
      </c>
      <c r="H768">
        <v>35</v>
      </c>
      <c r="I768">
        <v>24325</v>
      </c>
      <c r="J768">
        <v>1216.25</v>
      </c>
      <c r="K768">
        <v>23108.75</v>
      </c>
      <c r="L768">
        <v>9730</v>
      </c>
      <c r="M768">
        <v>13378.75</v>
      </c>
      <c r="N768">
        <v>45387</v>
      </c>
      <c r="O768">
        <v>4</v>
      </c>
      <c r="P768" t="s">
        <v>75</v>
      </c>
      <c r="Q768">
        <v>2024</v>
      </c>
    </row>
    <row r="769" spans="1:17" x14ac:dyDescent="0.3">
      <c r="A769" t="s">
        <v>16</v>
      </c>
      <c r="B769" t="s">
        <v>22</v>
      </c>
      <c r="C769" t="s">
        <v>18</v>
      </c>
      <c r="D769" t="s">
        <v>103</v>
      </c>
      <c r="E769" t="s">
        <v>32</v>
      </c>
      <c r="F769">
        <v>472</v>
      </c>
      <c r="G769">
        <v>11</v>
      </c>
      <c r="H769">
        <v>20</v>
      </c>
      <c r="I769">
        <v>9440</v>
      </c>
      <c r="J769">
        <v>472</v>
      </c>
      <c r="K769">
        <v>8968</v>
      </c>
      <c r="L769">
        <v>5192</v>
      </c>
      <c r="M769">
        <v>3776</v>
      </c>
      <c r="N769">
        <v>45075</v>
      </c>
      <c r="O769">
        <v>5</v>
      </c>
      <c r="P769" t="s">
        <v>46</v>
      </c>
      <c r="Q769">
        <v>2023</v>
      </c>
    </row>
    <row r="770" spans="1:17" x14ac:dyDescent="0.3">
      <c r="A770" t="s">
        <v>21</v>
      </c>
      <c r="B770" t="s">
        <v>23</v>
      </c>
      <c r="C770" t="s">
        <v>24</v>
      </c>
      <c r="D770" t="s">
        <v>53</v>
      </c>
      <c r="E770" t="s">
        <v>32</v>
      </c>
      <c r="F770">
        <v>98</v>
      </c>
      <c r="G770">
        <v>16</v>
      </c>
      <c r="H770">
        <v>18</v>
      </c>
      <c r="I770">
        <v>1764</v>
      </c>
      <c r="J770">
        <v>88.2</v>
      </c>
      <c r="K770">
        <v>1675.8</v>
      </c>
      <c r="L770">
        <v>1568</v>
      </c>
      <c r="M770">
        <v>107.79999999999995</v>
      </c>
      <c r="N770">
        <v>45542</v>
      </c>
      <c r="O770">
        <v>9</v>
      </c>
      <c r="P770" t="s">
        <v>40</v>
      </c>
      <c r="Q770">
        <v>2024</v>
      </c>
    </row>
    <row r="771" spans="1:17" x14ac:dyDescent="0.3">
      <c r="A771" t="s">
        <v>27</v>
      </c>
      <c r="B771" t="s">
        <v>36</v>
      </c>
      <c r="C771" t="s">
        <v>24</v>
      </c>
      <c r="D771" t="s">
        <v>104</v>
      </c>
      <c r="E771" t="s">
        <v>32</v>
      </c>
      <c r="F771">
        <v>201</v>
      </c>
      <c r="G771">
        <v>11</v>
      </c>
      <c r="H771">
        <v>30</v>
      </c>
      <c r="I771">
        <v>6030</v>
      </c>
      <c r="J771">
        <v>301.5</v>
      </c>
      <c r="K771">
        <v>5728.5</v>
      </c>
      <c r="L771">
        <v>2211</v>
      </c>
      <c r="M771">
        <v>3517.5</v>
      </c>
      <c r="N771">
        <v>45755</v>
      </c>
      <c r="O771">
        <v>4</v>
      </c>
      <c r="P771" t="s">
        <v>75</v>
      </c>
      <c r="Q771">
        <v>2025</v>
      </c>
    </row>
    <row r="772" spans="1:17" x14ac:dyDescent="0.3">
      <c r="A772" t="s">
        <v>16</v>
      </c>
      <c r="B772" t="s">
        <v>22</v>
      </c>
      <c r="C772" t="s">
        <v>24</v>
      </c>
      <c r="D772" t="s">
        <v>50</v>
      </c>
      <c r="E772" t="s">
        <v>32</v>
      </c>
      <c r="F772">
        <v>93</v>
      </c>
      <c r="G772">
        <v>12</v>
      </c>
      <c r="H772">
        <v>35</v>
      </c>
      <c r="I772">
        <v>3255</v>
      </c>
      <c r="J772">
        <v>162.75</v>
      </c>
      <c r="K772">
        <v>3092.25</v>
      </c>
      <c r="L772">
        <v>1116</v>
      </c>
      <c r="M772">
        <v>1976.25</v>
      </c>
      <c r="N772">
        <v>45113</v>
      </c>
      <c r="O772">
        <v>7</v>
      </c>
      <c r="P772" t="s">
        <v>48</v>
      </c>
      <c r="Q772">
        <v>2023</v>
      </c>
    </row>
    <row r="773" spans="1:17" x14ac:dyDescent="0.3">
      <c r="A773" t="s">
        <v>16</v>
      </c>
      <c r="B773" t="s">
        <v>17</v>
      </c>
      <c r="C773" t="s">
        <v>24</v>
      </c>
      <c r="D773" t="s">
        <v>105</v>
      </c>
      <c r="E773" t="s">
        <v>32</v>
      </c>
      <c r="F773">
        <v>573</v>
      </c>
      <c r="G773">
        <v>12</v>
      </c>
      <c r="H773">
        <v>26</v>
      </c>
      <c r="I773">
        <v>14898</v>
      </c>
      <c r="J773">
        <v>744.90000000000009</v>
      </c>
      <c r="K773">
        <v>14153.1</v>
      </c>
      <c r="L773">
        <v>6876</v>
      </c>
      <c r="M773">
        <v>7277.1</v>
      </c>
      <c r="N773">
        <v>45486</v>
      </c>
      <c r="O773">
        <v>7</v>
      </c>
      <c r="P773" t="s">
        <v>48</v>
      </c>
      <c r="Q773">
        <v>2024</v>
      </c>
    </row>
    <row r="774" spans="1:17" x14ac:dyDescent="0.3">
      <c r="A774" t="s">
        <v>27</v>
      </c>
      <c r="B774" t="s">
        <v>36</v>
      </c>
      <c r="C774" t="s">
        <v>24</v>
      </c>
      <c r="D774" t="s">
        <v>104</v>
      </c>
      <c r="E774" t="s">
        <v>32</v>
      </c>
      <c r="F774">
        <v>748</v>
      </c>
      <c r="G774">
        <v>11</v>
      </c>
      <c r="H774">
        <v>30</v>
      </c>
      <c r="I774">
        <v>22440</v>
      </c>
      <c r="J774">
        <v>1122</v>
      </c>
      <c r="K774">
        <v>21318</v>
      </c>
      <c r="L774">
        <v>8228</v>
      </c>
      <c r="M774">
        <v>13090</v>
      </c>
      <c r="N774">
        <v>45636</v>
      </c>
      <c r="O774">
        <v>12</v>
      </c>
      <c r="P774" t="s">
        <v>77</v>
      </c>
      <c r="Q774">
        <v>2024</v>
      </c>
    </row>
    <row r="775" spans="1:17" x14ac:dyDescent="0.3">
      <c r="A775" t="s">
        <v>26</v>
      </c>
      <c r="B775" t="s">
        <v>36</v>
      </c>
      <c r="C775" t="s">
        <v>24</v>
      </c>
      <c r="D775" t="s">
        <v>106</v>
      </c>
      <c r="E775" t="s">
        <v>32</v>
      </c>
      <c r="F775">
        <v>409</v>
      </c>
      <c r="G775">
        <v>17</v>
      </c>
      <c r="H775">
        <v>36</v>
      </c>
      <c r="I775">
        <v>14724</v>
      </c>
      <c r="J775">
        <v>736.2</v>
      </c>
      <c r="K775">
        <v>13987.8</v>
      </c>
      <c r="L775">
        <v>6953</v>
      </c>
      <c r="M775">
        <v>7034.7999999999993</v>
      </c>
      <c r="N775">
        <v>45723</v>
      </c>
      <c r="O775">
        <v>3</v>
      </c>
      <c r="P775" t="s">
        <v>38</v>
      </c>
      <c r="Q775">
        <v>2025</v>
      </c>
    </row>
    <row r="776" spans="1:17" x14ac:dyDescent="0.3">
      <c r="A776" t="s">
        <v>21</v>
      </c>
      <c r="B776" t="s">
        <v>36</v>
      </c>
      <c r="C776" t="s">
        <v>28</v>
      </c>
      <c r="D776" t="s">
        <v>107</v>
      </c>
      <c r="E776" t="s">
        <v>32</v>
      </c>
      <c r="F776">
        <v>613</v>
      </c>
      <c r="G776">
        <v>13</v>
      </c>
      <c r="H776">
        <v>31</v>
      </c>
      <c r="I776">
        <v>19003</v>
      </c>
      <c r="J776">
        <v>950.15000000000009</v>
      </c>
      <c r="K776">
        <v>18052.849999999999</v>
      </c>
      <c r="L776">
        <v>7969</v>
      </c>
      <c r="M776">
        <v>10083.849999999999</v>
      </c>
      <c r="N776">
        <v>45071</v>
      </c>
      <c r="O776">
        <v>5</v>
      </c>
      <c r="P776" t="s">
        <v>46</v>
      </c>
      <c r="Q776">
        <v>2023</v>
      </c>
    </row>
    <row r="777" spans="1:17" x14ac:dyDescent="0.3">
      <c r="A777" t="s">
        <v>16</v>
      </c>
      <c r="B777" t="s">
        <v>36</v>
      </c>
      <c r="C777" t="s">
        <v>28</v>
      </c>
      <c r="D777" t="s">
        <v>69</v>
      </c>
      <c r="E777" t="s">
        <v>32</v>
      </c>
      <c r="F777">
        <v>727</v>
      </c>
      <c r="G777">
        <v>20</v>
      </c>
      <c r="H777">
        <v>25</v>
      </c>
      <c r="I777">
        <v>18175</v>
      </c>
      <c r="J777">
        <v>908.75</v>
      </c>
      <c r="K777">
        <v>17266.25</v>
      </c>
      <c r="L777">
        <v>14540</v>
      </c>
      <c r="M777">
        <v>2726.25</v>
      </c>
      <c r="N777">
        <v>45252</v>
      </c>
      <c r="O777">
        <v>11</v>
      </c>
      <c r="P777" t="s">
        <v>43</v>
      </c>
      <c r="Q777">
        <v>2023</v>
      </c>
    </row>
    <row r="778" spans="1:17" x14ac:dyDescent="0.3">
      <c r="A778" t="s">
        <v>26</v>
      </c>
      <c r="B778" t="s">
        <v>36</v>
      </c>
      <c r="C778" t="s">
        <v>28</v>
      </c>
      <c r="D778" t="s">
        <v>108</v>
      </c>
      <c r="E778" t="s">
        <v>32</v>
      </c>
      <c r="F778">
        <v>357</v>
      </c>
      <c r="G778">
        <v>10</v>
      </c>
      <c r="H778">
        <v>31</v>
      </c>
      <c r="I778">
        <v>11067</v>
      </c>
      <c r="J778">
        <v>553.35</v>
      </c>
      <c r="K778">
        <v>10513.65</v>
      </c>
      <c r="L778">
        <v>3570</v>
      </c>
      <c r="M778">
        <v>6943.65</v>
      </c>
      <c r="N778">
        <v>45490</v>
      </c>
      <c r="O778">
        <v>7</v>
      </c>
      <c r="P778" t="s">
        <v>48</v>
      </c>
      <c r="Q778">
        <v>2024</v>
      </c>
    </row>
    <row r="779" spans="1:17" x14ac:dyDescent="0.3">
      <c r="A779" t="s">
        <v>26</v>
      </c>
      <c r="B779" t="s">
        <v>22</v>
      </c>
      <c r="C779" t="s">
        <v>28</v>
      </c>
      <c r="D779" t="s">
        <v>109</v>
      </c>
      <c r="E779" t="s">
        <v>32</v>
      </c>
      <c r="F779">
        <v>180</v>
      </c>
      <c r="G779">
        <v>20</v>
      </c>
      <c r="H779">
        <v>21</v>
      </c>
      <c r="I779">
        <v>3780</v>
      </c>
      <c r="J779">
        <v>189</v>
      </c>
      <c r="K779">
        <v>3591</v>
      </c>
      <c r="L779">
        <v>3600</v>
      </c>
      <c r="M779">
        <v>-9</v>
      </c>
      <c r="N779">
        <v>45467</v>
      </c>
      <c r="O779">
        <v>6</v>
      </c>
      <c r="P779" t="s">
        <v>45</v>
      </c>
      <c r="Q779">
        <v>2024</v>
      </c>
    </row>
    <row r="780" spans="1:17" x14ac:dyDescent="0.3">
      <c r="A780" t="s">
        <v>26</v>
      </c>
      <c r="B780" t="s">
        <v>23</v>
      </c>
      <c r="C780" t="s">
        <v>28</v>
      </c>
      <c r="D780" t="s">
        <v>110</v>
      </c>
      <c r="E780" t="s">
        <v>32</v>
      </c>
      <c r="F780">
        <v>449</v>
      </c>
      <c r="G780">
        <v>20</v>
      </c>
      <c r="H780">
        <v>25</v>
      </c>
      <c r="I780">
        <v>11225</v>
      </c>
      <c r="J780">
        <v>561.25</v>
      </c>
      <c r="K780">
        <v>10663.75</v>
      </c>
      <c r="L780">
        <v>8980</v>
      </c>
      <c r="M780">
        <v>1683.75</v>
      </c>
      <c r="N780">
        <v>45143</v>
      </c>
      <c r="O780">
        <v>8</v>
      </c>
      <c r="P780" t="s">
        <v>62</v>
      </c>
      <c r="Q780">
        <v>2023</v>
      </c>
    </row>
    <row r="781" spans="1:17" x14ac:dyDescent="0.3">
      <c r="A781" t="s">
        <v>21</v>
      </c>
      <c r="B781" t="s">
        <v>20</v>
      </c>
      <c r="C781" t="s">
        <v>28</v>
      </c>
      <c r="D781" t="s">
        <v>111</v>
      </c>
      <c r="E781" t="s">
        <v>32</v>
      </c>
      <c r="F781">
        <v>115</v>
      </c>
      <c r="G781">
        <v>16</v>
      </c>
      <c r="H781">
        <v>27</v>
      </c>
      <c r="I781">
        <v>3105</v>
      </c>
      <c r="J781">
        <v>155.25</v>
      </c>
      <c r="K781">
        <v>2949.75</v>
      </c>
      <c r="L781">
        <v>1840</v>
      </c>
      <c r="M781">
        <v>1109.75</v>
      </c>
      <c r="N781">
        <v>45391</v>
      </c>
      <c r="O781">
        <v>4</v>
      </c>
      <c r="P781" t="s">
        <v>75</v>
      </c>
      <c r="Q781">
        <v>2024</v>
      </c>
    </row>
    <row r="782" spans="1:17" x14ac:dyDescent="0.3">
      <c r="A782" t="s">
        <v>25</v>
      </c>
      <c r="B782" t="s">
        <v>20</v>
      </c>
      <c r="C782" t="s">
        <v>28</v>
      </c>
      <c r="D782" t="s">
        <v>65</v>
      </c>
      <c r="E782" t="s">
        <v>32</v>
      </c>
      <c r="F782">
        <v>148</v>
      </c>
      <c r="G782">
        <v>16</v>
      </c>
      <c r="H782">
        <v>24</v>
      </c>
      <c r="I782">
        <v>3552</v>
      </c>
      <c r="J782">
        <v>177.60000000000002</v>
      </c>
      <c r="K782">
        <v>3374.4</v>
      </c>
      <c r="L782">
        <v>2368</v>
      </c>
      <c r="M782">
        <v>1006.4000000000001</v>
      </c>
      <c r="N782">
        <v>45387</v>
      </c>
      <c r="O782">
        <v>4</v>
      </c>
      <c r="P782" t="s">
        <v>75</v>
      </c>
      <c r="Q782">
        <v>2024</v>
      </c>
    </row>
    <row r="783" spans="1:17" x14ac:dyDescent="0.3">
      <c r="A783" t="s">
        <v>27</v>
      </c>
      <c r="B783" t="s">
        <v>36</v>
      </c>
      <c r="C783" t="s">
        <v>28</v>
      </c>
      <c r="D783" t="s">
        <v>112</v>
      </c>
      <c r="E783" t="s">
        <v>32</v>
      </c>
      <c r="F783">
        <v>107</v>
      </c>
      <c r="G783">
        <v>10</v>
      </c>
      <c r="H783">
        <v>19</v>
      </c>
      <c r="I783">
        <v>2033</v>
      </c>
      <c r="J783">
        <v>101.65</v>
      </c>
      <c r="K783">
        <v>1931.35</v>
      </c>
      <c r="L783">
        <v>1070</v>
      </c>
      <c r="M783">
        <v>861.34999999999991</v>
      </c>
      <c r="N783">
        <v>45083</v>
      </c>
      <c r="O783">
        <v>6</v>
      </c>
      <c r="P783" t="s">
        <v>45</v>
      </c>
      <c r="Q783">
        <v>2023</v>
      </c>
    </row>
    <row r="784" spans="1:17" x14ac:dyDescent="0.3">
      <c r="A784" t="s">
        <v>16</v>
      </c>
      <c r="B784" t="s">
        <v>22</v>
      </c>
      <c r="C784" t="s">
        <v>28</v>
      </c>
      <c r="D784" t="s">
        <v>93</v>
      </c>
      <c r="E784" t="s">
        <v>32</v>
      </c>
      <c r="F784">
        <v>486</v>
      </c>
      <c r="G784">
        <v>12</v>
      </c>
      <c r="H784">
        <v>27</v>
      </c>
      <c r="I784">
        <v>13122</v>
      </c>
      <c r="J784">
        <v>656.1</v>
      </c>
      <c r="K784">
        <v>12465.9</v>
      </c>
      <c r="L784">
        <v>5832</v>
      </c>
      <c r="M784">
        <v>6633.9</v>
      </c>
      <c r="N784">
        <v>45264</v>
      </c>
      <c r="O784">
        <v>12</v>
      </c>
      <c r="P784" t="s">
        <v>77</v>
      </c>
      <c r="Q784">
        <v>2023</v>
      </c>
    </row>
    <row r="785" spans="1:17" x14ac:dyDescent="0.3">
      <c r="A785" t="s">
        <v>16</v>
      </c>
      <c r="B785" t="s">
        <v>22</v>
      </c>
      <c r="C785" t="s">
        <v>29</v>
      </c>
      <c r="D785" t="s">
        <v>94</v>
      </c>
      <c r="E785" t="s">
        <v>32</v>
      </c>
      <c r="F785">
        <v>120</v>
      </c>
      <c r="G785">
        <v>19</v>
      </c>
      <c r="H785">
        <v>22</v>
      </c>
      <c r="I785">
        <v>2640</v>
      </c>
      <c r="J785">
        <v>132</v>
      </c>
      <c r="K785">
        <v>2508</v>
      </c>
      <c r="L785">
        <v>2280</v>
      </c>
      <c r="M785">
        <v>228</v>
      </c>
      <c r="N785">
        <v>45162</v>
      </c>
      <c r="O785">
        <v>8</v>
      </c>
      <c r="P785" t="s">
        <v>62</v>
      </c>
      <c r="Q785">
        <v>2023</v>
      </c>
    </row>
    <row r="786" spans="1:17" x14ac:dyDescent="0.3">
      <c r="A786" t="s">
        <v>16</v>
      </c>
      <c r="B786" t="s">
        <v>23</v>
      </c>
      <c r="C786" t="s">
        <v>29</v>
      </c>
      <c r="D786" t="s">
        <v>72</v>
      </c>
      <c r="E786" t="s">
        <v>32</v>
      </c>
      <c r="F786">
        <v>244</v>
      </c>
      <c r="G786">
        <v>18</v>
      </c>
      <c r="H786">
        <v>33</v>
      </c>
      <c r="I786">
        <v>8052</v>
      </c>
      <c r="J786">
        <v>402.6</v>
      </c>
      <c r="K786">
        <v>7649.4</v>
      </c>
      <c r="L786">
        <v>4392</v>
      </c>
      <c r="M786">
        <v>3257.3999999999996</v>
      </c>
      <c r="N786">
        <v>45303</v>
      </c>
      <c r="O786">
        <v>1</v>
      </c>
      <c r="P786" t="s">
        <v>58</v>
      </c>
      <c r="Q786">
        <v>2024</v>
      </c>
    </row>
    <row r="787" spans="1:17" x14ac:dyDescent="0.3">
      <c r="A787" t="s">
        <v>26</v>
      </c>
      <c r="B787" t="s">
        <v>17</v>
      </c>
      <c r="C787" t="s">
        <v>29</v>
      </c>
      <c r="D787" t="s">
        <v>79</v>
      </c>
      <c r="E787" t="s">
        <v>32</v>
      </c>
      <c r="F787">
        <v>490</v>
      </c>
      <c r="G787">
        <v>16</v>
      </c>
      <c r="H787">
        <v>28</v>
      </c>
      <c r="I787">
        <v>13720</v>
      </c>
      <c r="J787">
        <v>686</v>
      </c>
      <c r="K787">
        <v>13034</v>
      </c>
      <c r="L787">
        <v>7840</v>
      </c>
      <c r="M787">
        <v>5194</v>
      </c>
      <c r="N787">
        <v>45219</v>
      </c>
      <c r="O787">
        <v>10</v>
      </c>
      <c r="P787" t="s">
        <v>55</v>
      </c>
      <c r="Q787">
        <v>2023</v>
      </c>
    </row>
    <row r="788" spans="1:17" x14ac:dyDescent="0.3">
      <c r="A788" t="s">
        <v>26</v>
      </c>
      <c r="B788" t="s">
        <v>36</v>
      </c>
      <c r="C788" t="s">
        <v>29</v>
      </c>
      <c r="D788" t="s">
        <v>78</v>
      </c>
      <c r="E788" t="s">
        <v>32</v>
      </c>
      <c r="F788">
        <v>691</v>
      </c>
      <c r="G788">
        <v>12</v>
      </c>
      <c r="H788">
        <v>36</v>
      </c>
      <c r="I788">
        <v>24876</v>
      </c>
      <c r="J788">
        <v>1243.8000000000002</v>
      </c>
      <c r="K788">
        <v>23632.2</v>
      </c>
      <c r="L788">
        <v>8292</v>
      </c>
      <c r="M788">
        <v>15340.2</v>
      </c>
      <c r="N788">
        <v>45692</v>
      </c>
      <c r="O788">
        <v>2</v>
      </c>
      <c r="P788" t="s">
        <v>52</v>
      </c>
      <c r="Q788">
        <v>2025</v>
      </c>
    </row>
    <row r="789" spans="1:17" x14ac:dyDescent="0.3">
      <c r="A789" t="s">
        <v>16</v>
      </c>
      <c r="B789" t="s">
        <v>17</v>
      </c>
      <c r="C789" t="s">
        <v>29</v>
      </c>
      <c r="D789" t="s">
        <v>113</v>
      </c>
      <c r="E789" t="s">
        <v>32</v>
      </c>
      <c r="F789">
        <v>963</v>
      </c>
      <c r="G789">
        <v>18</v>
      </c>
      <c r="H789">
        <v>23</v>
      </c>
      <c r="I789">
        <v>22149</v>
      </c>
      <c r="J789">
        <v>1107.45</v>
      </c>
      <c r="K789">
        <v>21041.55</v>
      </c>
      <c r="L789">
        <v>17334</v>
      </c>
      <c r="M789">
        <v>3707.5499999999993</v>
      </c>
      <c r="N789">
        <v>45029</v>
      </c>
      <c r="O789">
        <v>4</v>
      </c>
      <c r="P789" t="s">
        <v>75</v>
      </c>
      <c r="Q789">
        <v>2023</v>
      </c>
    </row>
    <row r="790" spans="1:17" x14ac:dyDescent="0.3">
      <c r="A790" t="s">
        <v>16</v>
      </c>
      <c r="B790" t="s">
        <v>20</v>
      </c>
      <c r="C790" t="s">
        <v>30</v>
      </c>
      <c r="D790" t="s">
        <v>114</v>
      </c>
      <c r="E790" t="s">
        <v>32</v>
      </c>
      <c r="F790">
        <v>362</v>
      </c>
      <c r="G790">
        <v>13</v>
      </c>
      <c r="H790">
        <v>38</v>
      </c>
      <c r="I790">
        <v>13756</v>
      </c>
      <c r="J790">
        <v>687.80000000000007</v>
      </c>
      <c r="K790">
        <v>13068.2</v>
      </c>
      <c r="L790">
        <v>4706</v>
      </c>
      <c r="M790">
        <v>8362.2000000000007</v>
      </c>
      <c r="N790">
        <v>45650</v>
      </c>
      <c r="O790">
        <v>12</v>
      </c>
      <c r="P790" t="s">
        <v>77</v>
      </c>
      <c r="Q790">
        <v>2024</v>
      </c>
    </row>
    <row r="791" spans="1:17" x14ac:dyDescent="0.3">
      <c r="A791" t="s">
        <v>16</v>
      </c>
      <c r="B791" t="s">
        <v>17</v>
      </c>
      <c r="C791" t="s">
        <v>30</v>
      </c>
      <c r="D791" t="s">
        <v>86</v>
      </c>
      <c r="E791" t="s">
        <v>32</v>
      </c>
      <c r="F791">
        <v>616</v>
      </c>
      <c r="G791">
        <v>15</v>
      </c>
      <c r="H791">
        <v>36</v>
      </c>
      <c r="I791">
        <v>22176</v>
      </c>
      <c r="J791">
        <v>1108.8</v>
      </c>
      <c r="K791">
        <v>21067.200000000001</v>
      </c>
      <c r="L791">
        <v>9240</v>
      </c>
      <c r="M791">
        <v>11827.2</v>
      </c>
      <c r="N791">
        <v>45382</v>
      </c>
      <c r="O791">
        <v>3</v>
      </c>
      <c r="P791" t="s">
        <v>38</v>
      </c>
      <c r="Q791">
        <v>2024</v>
      </c>
    </row>
    <row r="792" spans="1:17" x14ac:dyDescent="0.3">
      <c r="A792" t="s">
        <v>26</v>
      </c>
      <c r="B792" t="s">
        <v>36</v>
      </c>
      <c r="C792" t="s">
        <v>30</v>
      </c>
      <c r="D792" t="s">
        <v>115</v>
      </c>
      <c r="E792" t="s">
        <v>32</v>
      </c>
      <c r="F792">
        <v>736</v>
      </c>
      <c r="G792">
        <v>13</v>
      </c>
      <c r="H792">
        <v>16</v>
      </c>
      <c r="I792">
        <v>11776</v>
      </c>
      <c r="J792">
        <v>588.80000000000007</v>
      </c>
      <c r="K792">
        <v>11187.2</v>
      </c>
      <c r="L792">
        <v>9568</v>
      </c>
      <c r="M792">
        <v>1619.2000000000007</v>
      </c>
      <c r="N792">
        <v>45303</v>
      </c>
      <c r="O792">
        <v>1</v>
      </c>
      <c r="P792" t="s">
        <v>58</v>
      </c>
      <c r="Q792">
        <v>2024</v>
      </c>
    </row>
    <row r="793" spans="1:17" x14ac:dyDescent="0.3">
      <c r="A793" t="s">
        <v>26</v>
      </c>
      <c r="B793" t="s">
        <v>22</v>
      </c>
      <c r="C793" t="s">
        <v>30</v>
      </c>
      <c r="D793" t="s">
        <v>116</v>
      </c>
      <c r="E793" t="s">
        <v>32</v>
      </c>
      <c r="F793">
        <v>838</v>
      </c>
      <c r="G793">
        <v>12</v>
      </c>
      <c r="H793">
        <v>21</v>
      </c>
      <c r="I793">
        <v>17598</v>
      </c>
      <c r="J793">
        <v>879.90000000000009</v>
      </c>
      <c r="K793">
        <v>16718.099999999999</v>
      </c>
      <c r="L793">
        <v>10056</v>
      </c>
      <c r="M793">
        <v>6662.0999999999985</v>
      </c>
      <c r="N793">
        <v>45207</v>
      </c>
      <c r="O793">
        <v>10</v>
      </c>
      <c r="P793" t="s">
        <v>55</v>
      </c>
      <c r="Q793">
        <v>2023</v>
      </c>
    </row>
    <row r="794" spans="1:17" x14ac:dyDescent="0.3">
      <c r="A794" t="s">
        <v>27</v>
      </c>
      <c r="B794" t="s">
        <v>20</v>
      </c>
      <c r="C794" t="s">
        <v>30</v>
      </c>
      <c r="D794" t="s">
        <v>117</v>
      </c>
      <c r="E794" t="s">
        <v>32</v>
      </c>
      <c r="F794">
        <v>27</v>
      </c>
      <c r="G794">
        <v>13</v>
      </c>
      <c r="H794">
        <v>16</v>
      </c>
      <c r="I794">
        <v>432</v>
      </c>
      <c r="J794">
        <v>4.32</v>
      </c>
      <c r="K794">
        <v>427.68</v>
      </c>
      <c r="L794">
        <v>351</v>
      </c>
      <c r="M794">
        <v>76.680000000000007</v>
      </c>
      <c r="N794">
        <v>45630</v>
      </c>
      <c r="O794">
        <v>12</v>
      </c>
      <c r="P794" t="s">
        <v>77</v>
      </c>
      <c r="Q794">
        <v>2024</v>
      </c>
    </row>
    <row r="795" spans="1:17" x14ac:dyDescent="0.3">
      <c r="A795" t="s">
        <v>27</v>
      </c>
      <c r="B795" t="s">
        <v>23</v>
      </c>
      <c r="C795" t="s">
        <v>30</v>
      </c>
      <c r="D795" t="s">
        <v>118</v>
      </c>
      <c r="E795" t="s">
        <v>32</v>
      </c>
      <c r="F795">
        <v>468</v>
      </c>
      <c r="G795">
        <v>10</v>
      </c>
      <c r="H795">
        <v>19</v>
      </c>
      <c r="I795">
        <v>8892</v>
      </c>
      <c r="J795">
        <v>444.6</v>
      </c>
      <c r="K795">
        <v>8447.4</v>
      </c>
      <c r="L795">
        <v>4680</v>
      </c>
      <c r="M795">
        <v>3767.3999999999996</v>
      </c>
      <c r="N795">
        <v>45632</v>
      </c>
      <c r="O795">
        <v>12</v>
      </c>
      <c r="P795" t="s">
        <v>77</v>
      </c>
      <c r="Q795">
        <v>2024</v>
      </c>
    </row>
    <row r="796" spans="1:17" x14ac:dyDescent="0.3">
      <c r="A796" t="s">
        <v>16</v>
      </c>
      <c r="B796" t="s">
        <v>23</v>
      </c>
      <c r="C796" t="s">
        <v>30</v>
      </c>
      <c r="D796" t="s">
        <v>119</v>
      </c>
      <c r="E796" t="s">
        <v>32</v>
      </c>
      <c r="F796">
        <v>549</v>
      </c>
      <c r="G796">
        <v>18</v>
      </c>
      <c r="H796">
        <v>19</v>
      </c>
      <c r="I796">
        <v>10431</v>
      </c>
      <c r="J796">
        <v>521.55000000000007</v>
      </c>
      <c r="K796">
        <v>9909.4500000000007</v>
      </c>
      <c r="L796">
        <v>9882</v>
      </c>
      <c r="M796">
        <v>27.450000000000728</v>
      </c>
      <c r="N796">
        <v>45362</v>
      </c>
      <c r="O796">
        <v>3</v>
      </c>
      <c r="P796" t="s">
        <v>38</v>
      </c>
      <c r="Q796">
        <v>2024</v>
      </c>
    </row>
    <row r="797" spans="1:17" x14ac:dyDescent="0.3">
      <c r="A797" t="s">
        <v>26</v>
      </c>
      <c r="B797" t="s">
        <v>22</v>
      </c>
      <c r="C797" t="s">
        <v>30</v>
      </c>
      <c r="D797" t="s">
        <v>116</v>
      </c>
      <c r="E797" t="s">
        <v>32</v>
      </c>
      <c r="F797">
        <v>236</v>
      </c>
      <c r="G797">
        <v>12</v>
      </c>
      <c r="H797">
        <v>21</v>
      </c>
      <c r="I797">
        <v>4956</v>
      </c>
      <c r="J797">
        <v>247.8</v>
      </c>
      <c r="K797">
        <v>4708.2</v>
      </c>
      <c r="L797">
        <v>2832</v>
      </c>
      <c r="M797">
        <v>1876.1999999999998</v>
      </c>
      <c r="N797">
        <v>45353</v>
      </c>
      <c r="O797">
        <v>3</v>
      </c>
      <c r="P797" t="s">
        <v>38</v>
      </c>
      <c r="Q797">
        <v>2024</v>
      </c>
    </row>
    <row r="798" spans="1:17" x14ac:dyDescent="0.3">
      <c r="A798" t="s">
        <v>25</v>
      </c>
      <c r="B798" t="s">
        <v>36</v>
      </c>
      <c r="C798" t="s">
        <v>31</v>
      </c>
      <c r="D798" t="s">
        <v>88</v>
      </c>
      <c r="E798" t="s">
        <v>32</v>
      </c>
      <c r="F798">
        <v>285</v>
      </c>
      <c r="G798">
        <v>15</v>
      </c>
      <c r="H798">
        <v>34</v>
      </c>
      <c r="I798">
        <v>9690</v>
      </c>
      <c r="J798">
        <v>484.5</v>
      </c>
      <c r="K798">
        <v>9205.5</v>
      </c>
      <c r="L798">
        <v>4275</v>
      </c>
      <c r="M798">
        <v>4930.5</v>
      </c>
      <c r="N798">
        <v>45602</v>
      </c>
      <c r="O798">
        <v>11</v>
      </c>
      <c r="P798" t="s">
        <v>43</v>
      </c>
      <c r="Q798">
        <v>2024</v>
      </c>
    </row>
    <row r="799" spans="1:17" x14ac:dyDescent="0.3">
      <c r="A799" t="s">
        <v>21</v>
      </c>
      <c r="B799" t="s">
        <v>22</v>
      </c>
      <c r="C799" t="s">
        <v>31</v>
      </c>
      <c r="D799" t="s">
        <v>120</v>
      </c>
      <c r="E799" t="s">
        <v>32</v>
      </c>
      <c r="F799">
        <v>739</v>
      </c>
      <c r="G799">
        <v>13</v>
      </c>
      <c r="H799">
        <v>37</v>
      </c>
      <c r="I799">
        <v>27343</v>
      </c>
      <c r="J799">
        <v>1367.15</v>
      </c>
      <c r="K799">
        <v>25975.85</v>
      </c>
      <c r="L799">
        <v>9607</v>
      </c>
      <c r="M799">
        <v>16368.849999999999</v>
      </c>
      <c r="N799">
        <v>45607</v>
      </c>
      <c r="O799">
        <v>11</v>
      </c>
      <c r="P799" t="s">
        <v>43</v>
      </c>
      <c r="Q799">
        <v>2024</v>
      </c>
    </row>
    <row r="800" spans="1:17" x14ac:dyDescent="0.3">
      <c r="A800" t="s">
        <v>26</v>
      </c>
      <c r="B800" t="s">
        <v>17</v>
      </c>
      <c r="C800" t="s">
        <v>18</v>
      </c>
      <c r="D800" t="s">
        <v>121</v>
      </c>
      <c r="E800" t="s">
        <v>32</v>
      </c>
      <c r="F800">
        <v>659</v>
      </c>
      <c r="G800">
        <v>20</v>
      </c>
      <c r="H800">
        <v>24</v>
      </c>
      <c r="I800">
        <v>15816</v>
      </c>
      <c r="J800">
        <v>790.80000000000007</v>
      </c>
      <c r="K800">
        <v>15025.2</v>
      </c>
      <c r="L800">
        <v>13180</v>
      </c>
      <c r="M800">
        <v>1845.2000000000007</v>
      </c>
      <c r="N800">
        <v>45049</v>
      </c>
      <c r="O800">
        <v>5</v>
      </c>
      <c r="P800" t="s">
        <v>46</v>
      </c>
      <c r="Q800">
        <v>2023</v>
      </c>
    </row>
    <row r="801" spans="1:17" x14ac:dyDescent="0.3">
      <c r="A801" t="s">
        <v>25</v>
      </c>
      <c r="B801" t="s">
        <v>17</v>
      </c>
      <c r="C801" t="s">
        <v>18</v>
      </c>
      <c r="D801" t="s">
        <v>98</v>
      </c>
      <c r="E801" t="s">
        <v>32</v>
      </c>
      <c r="F801">
        <v>673</v>
      </c>
      <c r="G801">
        <v>20</v>
      </c>
      <c r="H801">
        <v>18</v>
      </c>
      <c r="I801">
        <v>12114</v>
      </c>
      <c r="J801">
        <v>605.70000000000005</v>
      </c>
      <c r="K801">
        <v>11508.3</v>
      </c>
      <c r="L801">
        <v>13460</v>
      </c>
      <c r="M801">
        <v>-1951.7000000000007</v>
      </c>
      <c r="N801">
        <v>45160</v>
      </c>
      <c r="O801">
        <v>8</v>
      </c>
      <c r="P801" t="s">
        <v>62</v>
      </c>
      <c r="Q801">
        <v>2023</v>
      </c>
    </row>
    <row r="802" spans="1:17" x14ac:dyDescent="0.3">
      <c r="A802" t="s">
        <v>27</v>
      </c>
      <c r="B802" t="s">
        <v>20</v>
      </c>
      <c r="C802" t="s">
        <v>18</v>
      </c>
      <c r="D802" t="s">
        <v>122</v>
      </c>
      <c r="E802" t="s">
        <v>32</v>
      </c>
      <c r="F802">
        <v>898</v>
      </c>
      <c r="G802">
        <v>15</v>
      </c>
      <c r="H802">
        <v>33</v>
      </c>
      <c r="I802">
        <v>29634</v>
      </c>
      <c r="J802">
        <v>1481.7</v>
      </c>
      <c r="K802">
        <v>28152.3</v>
      </c>
      <c r="L802">
        <v>13470</v>
      </c>
      <c r="M802">
        <v>14682.3</v>
      </c>
      <c r="N802">
        <v>45385</v>
      </c>
      <c r="O802">
        <v>4</v>
      </c>
      <c r="P802" t="s">
        <v>75</v>
      </c>
      <c r="Q802">
        <v>2024</v>
      </c>
    </row>
    <row r="803" spans="1:17" x14ac:dyDescent="0.3">
      <c r="A803" t="s">
        <v>16</v>
      </c>
      <c r="B803" t="s">
        <v>22</v>
      </c>
      <c r="C803" t="s">
        <v>18</v>
      </c>
      <c r="D803" t="s">
        <v>103</v>
      </c>
      <c r="E803" t="s">
        <v>32</v>
      </c>
      <c r="F803">
        <v>923</v>
      </c>
      <c r="G803">
        <v>11</v>
      </c>
      <c r="H803">
        <v>20</v>
      </c>
      <c r="I803">
        <v>18460</v>
      </c>
      <c r="J803">
        <v>923</v>
      </c>
      <c r="K803">
        <v>17537</v>
      </c>
      <c r="L803">
        <v>10153</v>
      </c>
      <c r="M803">
        <v>7384</v>
      </c>
      <c r="N803">
        <v>45755</v>
      </c>
      <c r="O803">
        <v>4</v>
      </c>
      <c r="P803" t="s">
        <v>75</v>
      </c>
      <c r="Q803">
        <v>2025</v>
      </c>
    </row>
    <row r="804" spans="1:17" x14ac:dyDescent="0.3">
      <c r="A804" t="s">
        <v>16</v>
      </c>
      <c r="B804" t="s">
        <v>17</v>
      </c>
      <c r="C804" t="s">
        <v>18</v>
      </c>
      <c r="D804" t="s">
        <v>37</v>
      </c>
      <c r="E804" t="s">
        <v>32</v>
      </c>
      <c r="F804">
        <v>479</v>
      </c>
      <c r="G804">
        <v>12</v>
      </c>
      <c r="H804">
        <v>29</v>
      </c>
      <c r="I804">
        <v>13891</v>
      </c>
      <c r="J804">
        <v>694.55000000000007</v>
      </c>
      <c r="K804">
        <v>13196.45</v>
      </c>
      <c r="L804">
        <v>5748</v>
      </c>
      <c r="M804">
        <v>7448.4500000000007</v>
      </c>
      <c r="N804">
        <v>45569</v>
      </c>
      <c r="O804">
        <v>10</v>
      </c>
      <c r="P804" t="s">
        <v>55</v>
      </c>
      <c r="Q804">
        <v>2024</v>
      </c>
    </row>
    <row r="805" spans="1:17" x14ac:dyDescent="0.3">
      <c r="A805" t="s">
        <v>25</v>
      </c>
      <c r="B805" t="s">
        <v>36</v>
      </c>
      <c r="C805" t="s">
        <v>24</v>
      </c>
      <c r="D805" t="s">
        <v>123</v>
      </c>
      <c r="E805" t="s">
        <v>32</v>
      </c>
      <c r="F805">
        <v>554</v>
      </c>
      <c r="G805">
        <v>17</v>
      </c>
      <c r="H805">
        <v>31</v>
      </c>
      <c r="I805">
        <v>17174</v>
      </c>
      <c r="J805">
        <v>858.7</v>
      </c>
      <c r="K805">
        <v>16315.3</v>
      </c>
      <c r="L805">
        <v>9418</v>
      </c>
      <c r="M805">
        <v>6897.2999999999993</v>
      </c>
      <c r="N805">
        <v>45546</v>
      </c>
      <c r="O805">
        <v>9</v>
      </c>
      <c r="P805" t="s">
        <v>40</v>
      </c>
      <c r="Q805">
        <v>2024</v>
      </c>
    </row>
    <row r="806" spans="1:17" x14ac:dyDescent="0.3">
      <c r="A806" t="s">
        <v>16</v>
      </c>
      <c r="B806" t="s">
        <v>36</v>
      </c>
      <c r="C806" t="s">
        <v>24</v>
      </c>
      <c r="D806" t="s">
        <v>124</v>
      </c>
      <c r="E806" t="s">
        <v>32</v>
      </c>
      <c r="F806">
        <v>428</v>
      </c>
      <c r="G806">
        <v>15</v>
      </c>
      <c r="H806">
        <v>34</v>
      </c>
      <c r="I806">
        <v>14552</v>
      </c>
      <c r="J806">
        <v>727.6</v>
      </c>
      <c r="K806">
        <v>13824.4</v>
      </c>
      <c r="L806">
        <v>6420</v>
      </c>
      <c r="M806">
        <v>7404.4</v>
      </c>
      <c r="N806">
        <v>45385</v>
      </c>
      <c r="O806">
        <v>4</v>
      </c>
      <c r="P806" t="s">
        <v>75</v>
      </c>
      <c r="Q806">
        <v>2024</v>
      </c>
    </row>
    <row r="807" spans="1:17" x14ac:dyDescent="0.3">
      <c r="A807" t="s">
        <v>25</v>
      </c>
      <c r="B807" t="s">
        <v>23</v>
      </c>
      <c r="C807" t="s">
        <v>24</v>
      </c>
      <c r="D807" t="s">
        <v>125</v>
      </c>
      <c r="E807" t="s">
        <v>32</v>
      </c>
      <c r="F807">
        <v>220</v>
      </c>
      <c r="G807">
        <v>10</v>
      </c>
      <c r="H807">
        <v>19</v>
      </c>
      <c r="I807">
        <v>4180</v>
      </c>
      <c r="J807">
        <v>209</v>
      </c>
      <c r="K807">
        <v>3971</v>
      </c>
      <c r="L807">
        <v>2200</v>
      </c>
      <c r="M807">
        <v>1771</v>
      </c>
      <c r="N807">
        <v>45618</v>
      </c>
      <c r="O807">
        <v>11</v>
      </c>
      <c r="P807" t="s">
        <v>43</v>
      </c>
      <c r="Q807">
        <v>2024</v>
      </c>
    </row>
    <row r="808" spans="1:17" x14ac:dyDescent="0.3">
      <c r="A808" t="s">
        <v>26</v>
      </c>
      <c r="B808" t="s">
        <v>23</v>
      </c>
      <c r="C808" t="s">
        <v>24</v>
      </c>
      <c r="D808" t="s">
        <v>126</v>
      </c>
      <c r="E808" t="s">
        <v>32</v>
      </c>
      <c r="F808">
        <v>797</v>
      </c>
      <c r="G808">
        <v>19</v>
      </c>
      <c r="H808">
        <v>33</v>
      </c>
      <c r="I808">
        <v>26301</v>
      </c>
      <c r="J808">
        <v>1315.0500000000002</v>
      </c>
      <c r="K808">
        <v>24985.95</v>
      </c>
      <c r="L808">
        <v>15143</v>
      </c>
      <c r="M808">
        <v>9842.9500000000007</v>
      </c>
      <c r="N808">
        <v>45512</v>
      </c>
      <c r="O808">
        <v>8</v>
      </c>
      <c r="P808" t="s">
        <v>62</v>
      </c>
      <c r="Q808">
        <v>2024</v>
      </c>
    </row>
    <row r="809" spans="1:17" x14ac:dyDescent="0.3">
      <c r="A809" t="s">
        <v>21</v>
      </c>
      <c r="B809" t="s">
        <v>17</v>
      </c>
      <c r="C809" t="s">
        <v>28</v>
      </c>
      <c r="D809" t="s">
        <v>71</v>
      </c>
      <c r="E809" t="s">
        <v>32</v>
      </c>
      <c r="F809">
        <v>269</v>
      </c>
      <c r="G809">
        <v>17</v>
      </c>
      <c r="H809">
        <v>25</v>
      </c>
      <c r="I809">
        <v>6725</v>
      </c>
      <c r="J809">
        <v>336.25</v>
      </c>
      <c r="K809">
        <v>6388.75</v>
      </c>
      <c r="L809">
        <v>4573</v>
      </c>
      <c r="M809">
        <v>1815.75</v>
      </c>
      <c r="N809">
        <v>45139</v>
      </c>
      <c r="O809">
        <v>8</v>
      </c>
      <c r="P809" t="s">
        <v>62</v>
      </c>
      <c r="Q809">
        <v>2023</v>
      </c>
    </row>
    <row r="810" spans="1:17" x14ac:dyDescent="0.3">
      <c r="A810" t="s">
        <v>27</v>
      </c>
      <c r="B810" t="s">
        <v>22</v>
      </c>
      <c r="C810" t="s">
        <v>28</v>
      </c>
      <c r="D810" t="s">
        <v>127</v>
      </c>
      <c r="E810" t="s">
        <v>32</v>
      </c>
      <c r="F810">
        <v>75</v>
      </c>
      <c r="G810">
        <v>19</v>
      </c>
      <c r="H810">
        <v>28</v>
      </c>
      <c r="I810">
        <v>2100</v>
      </c>
      <c r="J810">
        <v>105</v>
      </c>
      <c r="K810">
        <v>1995</v>
      </c>
      <c r="L810">
        <v>1425</v>
      </c>
      <c r="M810">
        <v>570</v>
      </c>
      <c r="N810">
        <v>45447</v>
      </c>
      <c r="O810">
        <v>6</v>
      </c>
      <c r="P810" t="s">
        <v>45</v>
      </c>
      <c r="Q810">
        <v>2024</v>
      </c>
    </row>
    <row r="811" spans="1:17" x14ac:dyDescent="0.3">
      <c r="A811" t="s">
        <v>27</v>
      </c>
      <c r="B811" t="s">
        <v>20</v>
      </c>
      <c r="C811" t="s">
        <v>28</v>
      </c>
      <c r="D811" t="s">
        <v>128</v>
      </c>
      <c r="E811" t="s">
        <v>32</v>
      </c>
      <c r="F811">
        <v>607</v>
      </c>
      <c r="G811">
        <v>14</v>
      </c>
      <c r="H811">
        <v>16</v>
      </c>
      <c r="I811">
        <v>9712</v>
      </c>
      <c r="J811">
        <v>485.6</v>
      </c>
      <c r="K811">
        <v>9226.4</v>
      </c>
      <c r="L811">
        <v>8498</v>
      </c>
      <c r="M811">
        <v>728.39999999999964</v>
      </c>
      <c r="N811">
        <v>45476</v>
      </c>
      <c r="O811">
        <v>7</v>
      </c>
      <c r="P811" t="s">
        <v>48</v>
      </c>
      <c r="Q811">
        <v>2024</v>
      </c>
    </row>
    <row r="812" spans="1:17" x14ac:dyDescent="0.3">
      <c r="A812" t="s">
        <v>25</v>
      </c>
      <c r="B812" t="s">
        <v>36</v>
      </c>
      <c r="C812" t="s">
        <v>28</v>
      </c>
      <c r="D812" t="s">
        <v>70</v>
      </c>
      <c r="E812" t="s">
        <v>32</v>
      </c>
      <c r="F812">
        <v>262</v>
      </c>
      <c r="G812">
        <v>15</v>
      </c>
      <c r="H812">
        <v>16</v>
      </c>
      <c r="I812">
        <v>4192</v>
      </c>
      <c r="J812">
        <v>209.60000000000002</v>
      </c>
      <c r="K812">
        <v>3982.4</v>
      </c>
      <c r="L812">
        <v>3930</v>
      </c>
      <c r="M812">
        <v>52.400000000000091</v>
      </c>
      <c r="N812">
        <v>45354</v>
      </c>
      <c r="O812">
        <v>3</v>
      </c>
      <c r="P812" t="s">
        <v>38</v>
      </c>
      <c r="Q812">
        <v>2024</v>
      </c>
    </row>
    <row r="813" spans="1:17" x14ac:dyDescent="0.3">
      <c r="A813" t="s">
        <v>26</v>
      </c>
      <c r="B813" t="s">
        <v>23</v>
      </c>
      <c r="C813" t="s">
        <v>28</v>
      </c>
      <c r="D813" t="s">
        <v>110</v>
      </c>
      <c r="E813" t="s">
        <v>32</v>
      </c>
      <c r="F813">
        <v>466</v>
      </c>
      <c r="G813">
        <v>20</v>
      </c>
      <c r="H813">
        <v>25</v>
      </c>
      <c r="I813">
        <v>11650</v>
      </c>
      <c r="J813">
        <v>582.5</v>
      </c>
      <c r="K813">
        <v>11067.5</v>
      </c>
      <c r="L813">
        <v>9320</v>
      </c>
      <c r="M813">
        <v>1747.5</v>
      </c>
      <c r="N813">
        <v>45313</v>
      </c>
      <c r="O813">
        <v>1</v>
      </c>
      <c r="P813" t="s">
        <v>58</v>
      </c>
      <c r="Q813">
        <v>2024</v>
      </c>
    </row>
    <row r="814" spans="1:17" x14ac:dyDescent="0.3">
      <c r="A814" t="s">
        <v>25</v>
      </c>
      <c r="B814" t="s">
        <v>17</v>
      </c>
      <c r="C814" t="s">
        <v>28</v>
      </c>
      <c r="D814" t="s">
        <v>63</v>
      </c>
      <c r="E814" t="s">
        <v>32</v>
      </c>
      <c r="F814">
        <v>219</v>
      </c>
      <c r="G814">
        <v>11</v>
      </c>
      <c r="H814">
        <v>21</v>
      </c>
      <c r="I814">
        <v>4599</v>
      </c>
      <c r="J814">
        <v>229.95000000000002</v>
      </c>
      <c r="K814">
        <v>4369.05</v>
      </c>
      <c r="L814">
        <v>2409</v>
      </c>
      <c r="M814">
        <v>1960.0500000000002</v>
      </c>
      <c r="N814">
        <v>45394</v>
      </c>
      <c r="O814">
        <v>4</v>
      </c>
      <c r="P814" t="s">
        <v>75</v>
      </c>
      <c r="Q814">
        <v>2024</v>
      </c>
    </row>
    <row r="815" spans="1:17" x14ac:dyDescent="0.3">
      <c r="A815" t="s">
        <v>26</v>
      </c>
      <c r="B815" t="s">
        <v>20</v>
      </c>
      <c r="C815" t="s">
        <v>28</v>
      </c>
      <c r="D815" t="s">
        <v>129</v>
      </c>
      <c r="E815" t="s">
        <v>32</v>
      </c>
      <c r="F815">
        <v>677</v>
      </c>
      <c r="G815">
        <v>12</v>
      </c>
      <c r="H815">
        <v>31</v>
      </c>
      <c r="I815">
        <v>20987</v>
      </c>
      <c r="J815">
        <v>1049.3500000000001</v>
      </c>
      <c r="K815">
        <v>19937.650000000001</v>
      </c>
      <c r="L815">
        <v>8124</v>
      </c>
      <c r="M815">
        <v>11813.650000000001</v>
      </c>
      <c r="N815">
        <v>45508</v>
      </c>
      <c r="O815">
        <v>8</v>
      </c>
      <c r="P815" t="s">
        <v>62</v>
      </c>
      <c r="Q815">
        <v>2024</v>
      </c>
    </row>
    <row r="816" spans="1:17" x14ac:dyDescent="0.3">
      <c r="A816" t="s">
        <v>26</v>
      </c>
      <c r="B816" t="s">
        <v>23</v>
      </c>
      <c r="C816" t="s">
        <v>28</v>
      </c>
      <c r="D816" t="s">
        <v>110</v>
      </c>
      <c r="E816" t="s">
        <v>32</v>
      </c>
      <c r="F816">
        <v>378</v>
      </c>
      <c r="G816">
        <v>20</v>
      </c>
      <c r="H816">
        <v>25</v>
      </c>
      <c r="I816">
        <v>9450</v>
      </c>
      <c r="J816">
        <v>472.5</v>
      </c>
      <c r="K816">
        <v>8977.5</v>
      </c>
      <c r="L816">
        <v>7560</v>
      </c>
      <c r="M816">
        <v>1417.5</v>
      </c>
      <c r="N816">
        <v>45337</v>
      </c>
      <c r="O816">
        <v>2</v>
      </c>
      <c r="P816" t="s">
        <v>52</v>
      </c>
      <c r="Q816">
        <v>2024</v>
      </c>
    </row>
    <row r="817" spans="1:17" x14ac:dyDescent="0.3">
      <c r="A817" t="s">
        <v>25</v>
      </c>
      <c r="B817" t="s">
        <v>22</v>
      </c>
      <c r="C817" t="s">
        <v>28</v>
      </c>
      <c r="D817" t="s">
        <v>130</v>
      </c>
      <c r="E817" t="s">
        <v>32</v>
      </c>
      <c r="F817">
        <v>314</v>
      </c>
      <c r="G817">
        <v>18</v>
      </c>
      <c r="H817">
        <v>27</v>
      </c>
      <c r="I817">
        <v>8478</v>
      </c>
      <c r="J817">
        <v>423.90000000000003</v>
      </c>
      <c r="K817">
        <v>8054.1</v>
      </c>
      <c r="L817">
        <v>5652</v>
      </c>
      <c r="M817">
        <v>2402.1000000000004</v>
      </c>
      <c r="N817">
        <v>45381</v>
      </c>
      <c r="O817">
        <v>3</v>
      </c>
      <c r="P817" t="s">
        <v>38</v>
      </c>
      <c r="Q817">
        <v>2024</v>
      </c>
    </row>
    <row r="818" spans="1:17" x14ac:dyDescent="0.3">
      <c r="A818" t="s">
        <v>27</v>
      </c>
      <c r="B818" t="s">
        <v>17</v>
      </c>
      <c r="C818" t="s">
        <v>28</v>
      </c>
      <c r="D818" t="s">
        <v>131</v>
      </c>
      <c r="E818" t="s">
        <v>32</v>
      </c>
      <c r="F818">
        <v>123</v>
      </c>
      <c r="G818">
        <v>10</v>
      </c>
      <c r="H818">
        <v>23</v>
      </c>
      <c r="I818">
        <v>2829</v>
      </c>
      <c r="J818">
        <v>141.45000000000002</v>
      </c>
      <c r="K818">
        <v>2687.55</v>
      </c>
      <c r="L818">
        <v>1230</v>
      </c>
      <c r="M818">
        <v>1457.5500000000002</v>
      </c>
      <c r="N818">
        <v>45076</v>
      </c>
      <c r="O818">
        <v>5</v>
      </c>
      <c r="P818" t="s">
        <v>46</v>
      </c>
      <c r="Q818">
        <v>2023</v>
      </c>
    </row>
    <row r="819" spans="1:17" x14ac:dyDescent="0.3">
      <c r="A819" t="s">
        <v>16</v>
      </c>
      <c r="B819" t="s">
        <v>17</v>
      </c>
      <c r="C819" t="s">
        <v>28</v>
      </c>
      <c r="D819" t="s">
        <v>60</v>
      </c>
      <c r="E819" t="s">
        <v>32</v>
      </c>
      <c r="F819">
        <v>60</v>
      </c>
      <c r="G819">
        <v>17</v>
      </c>
      <c r="H819">
        <v>38</v>
      </c>
      <c r="I819">
        <v>2280</v>
      </c>
      <c r="J819">
        <v>114</v>
      </c>
      <c r="K819">
        <v>2166</v>
      </c>
      <c r="L819">
        <v>1020</v>
      </c>
      <c r="M819">
        <v>1146</v>
      </c>
      <c r="N819">
        <v>45497</v>
      </c>
      <c r="O819">
        <v>7</v>
      </c>
      <c r="P819" t="s">
        <v>48</v>
      </c>
      <c r="Q819">
        <v>2024</v>
      </c>
    </row>
    <row r="820" spans="1:17" x14ac:dyDescent="0.3">
      <c r="A820" t="s">
        <v>26</v>
      </c>
      <c r="B820" t="s">
        <v>17</v>
      </c>
      <c r="C820" t="s">
        <v>28</v>
      </c>
      <c r="D820" t="s">
        <v>132</v>
      </c>
      <c r="E820" t="s">
        <v>32</v>
      </c>
      <c r="F820">
        <v>147</v>
      </c>
      <c r="G820">
        <v>14</v>
      </c>
      <c r="H820">
        <v>19</v>
      </c>
      <c r="I820">
        <v>2793</v>
      </c>
      <c r="J820">
        <v>139.65</v>
      </c>
      <c r="K820">
        <v>2653.35</v>
      </c>
      <c r="L820">
        <v>2058</v>
      </c>
      <c r="M820">
        <v>595.34999999999991</v>
      </c>
      <c r="N820">
        <v>45197</v>
      </c>
      <c r="O820">
        <v>9</v>
      </c>
      <c r="P820" t="s">
        <v>40</v>
      </c>
      <c r="Q820">
        <v>2023</v>
      </c>
    </row>
    <row r="821" spans="1:17" x14ac:dyDescent="0.3">
      <c r="A821" t="s">
        <v>21</v>
      </c>
      <c r="B821" t="s">
        <v>36</v>
      </c>
      <c r="C821" t="s">
        <v>28</v>
      </c>
      <c r="D821" t="s">
        <v>107</v>
      </c>
      <c r="E821" t="s">
        <v>32</v>
      </c>
      <c r="F821">
        <v>599</v>
      </c>
      <c r="G821">
        <v>13</v>
      </c>
      <c r="H821">
        <v>31</v>
      </c>
      <c r="I821">
        <v>18569</v>
      </c>
      <c r="J821">
        <v>928.45</v>
      </c>
      <c r="K821">
        <v>17640.55</v>
      </c>
      <c r="L821">
        <v>7787</v>
      </c>
      <c r="M821">
        <v>9853.5499999999993</v>
      </c>
      <c r="N821">
        <v>45562</v>
      </c>
      <c r="O821">
        <v>9</v>
      </c>
      <c r="P821" t="s">
        <v>40</v>
      </c>
      <c r="Q821">
        <v>2024</v>
      </c>
    </row>
    <row r="822" spans="1:17" x14ac:dyDescent="0.3">
      <c r="A822" t="s">
        <v>16</v>
      </c>
      <c r="B822" t="s">
        <v>36</v>
      </c>
      <c r="C822" t="s">
        <v>28</v>
      </c>
      <c r="D822" t="s">
        <v>69</v>
      </c>
      <c r="E822" t="s">
        <v>32</v>
      </c>
      <c r="F822">
        <v>549</v>
      </c>
      <c r="G822">
        <v>20</v>
      </c>
      <c r="H822">
        <v>25</v>
      </c>
      <c r="I822">
        <v>13725</v>
      </c>
      <c r="J822">
        <v>686.25</v>
      </c>
      <c r="K822">
        <v>13038.75</v>
      </c>
      <c r="L822">
        <v>10980</v>
      </c>
      <c r="M822">
        <v>2058.75</v>
      </c>
      <c r="N822">
        <v>45065</v>
      </c>
      <c r="O822">
        <v>5</v>
      </c>
      <c r="P822" t="s">
        <v>46</v>
      </c>
      <c r="Q822">
        <v>2023</v>
      </c>
    </row>
    <row r="823" spans="1:17" x14ac:dyDescent="0.3">
      <c r="A823" t="s">
        <v>25</v>
      </c>
      <c r="B823" t="s">
        <v>22</v>
      </c>
      <c r="C823" t="s">
        <v>28</v>
      </c>
      <c r="D823" t="s">
        <v>130</v>
      </c>
      <c r="E823" t="s">
        <v>32</v>
      </c>
      <c r="F823">
        <v>917</v>
      </c>
      <c r="G823">
        <v>18</v>
      </c>
      <c r="H823">
        <v>27</v>
      </c>
      <c r="I823">
        <v>24759</v>
      </c>
      <c r="J823">
        <v>1237.95</v>
      </c>
      <c r="K823">
        <v>23521.05</v>
      </c>
      <c r="L823">
        <v>16506</v>
      </c>
      <c r="M823">
        <v>7015.0499999999993</v>
      </c>
      <c r="N823">
        <v>45447</v>
      </c>
      <c r="O823">
        <v>6</v>
      </c>
      <c r="P823" t="s">
        <v>45</v>
      </c>
      <c r="Q823">
        <v>2024</v>
      </c>
    </row>
    <row r="824" spans="1:17" x14ac:dyDescent="0.3">
      <c r="A824" t="s">
        <v>25</v>
      </c>
      <c r="B824" t="s">
        <v>23</v>
      </c>
      <c r="C824" t="s">
        <v>28</v>
      </c>
      <c r="D824" t="s">
        <v>133</v>
      </c>
      <c r="E824" t="s">
        <v>32</v>
      </c>
      <c r="F824">
        <v>787</v>
      </c>
      <c r="G824">
        <v>11</v>
      </c>
      <c r="H824">
        <v>24</v>
      </c>
      <c r="I824">
        <v>18888</v>
      </c>
      <c r="J824">
        <v>944.40000000000009</v>
      </c>
      <c r="K824">
        <v>17943.599999999999</v>
      </c>
      <c r="L824">
        <v>8657</v>
      </c>
      <c r="M824">
        <v>9286.5999999999985</v>
      </c>
      <c r="N824">
        <v>45441</v>
      </c>
      <c r="O824">
        <v>5</v>
      </c>
      <c r="P824" t="s">
        <v>46</v>
      </c>
      <c r="Q824">
        <v>2024</v>
      </c>
    </row>
    <row r="825" spans="1:17" x14ac:dyDescent="0.3">
      <c r="A825" t="s">
        <v>16</v>
      </c>
      <c r="B825" t="s">
        <v>36</v>
      </c>
      <c r="C825" t="s">
        <v>29</v>
      </c>
      <c r="D825" t="s">
        <v>134</v>
      </c>
      <c r="E825" t="s">
        <v>32</v>
      </c>
      <c r="F825">
        <v>412</v>
      </c>
      <c r="G825">
        <v>13</v>
      </c>
      <c r="H825">
        <v>38</v>
      </c>
      <c r="I825">
        <v>15656</v>
      </c>
      <c r="J825">
        <v>782.80000000000007</v>
      </c>
      <c r="K825">
        <v>14873.2</v>
      </c>
      <c r="L825">
        <v>5356</v>
      </c>
      <c r="M825">
        <v>9517.2000000000007</v>
      </c>
      <c r="N825">
        <v>45218</v>
      </c>
      <c r="O825">
        <v>10</v>
      </c>
      <c r="P825" t="s">
        <v>55</v>
      </c>
      <c r="Q825">
        <v>2023</v>
      </c>
    </row>
    <row r="826" spans="1:17" x14ac:dyDescent="0.3">
      <c r="A826" t="s">
        <v>16</v>
      </c>
      <c r="B826" t="s">
        <v>20</v>
      </c>
      <c r="C826" t="s">
        <v>29</v>
      </c>
      <c r="D826" t="s">
        <v>76</v>
      </c>
      <c r="E826" t="s">
        <v>32</v>
      </c>
      <c r="F826">
        <v>84</v>
      </c>
      <c r="G826">
        <v>11</v>
      </c>
      <c r="H826">
        <v>30</v>
      </c>
      <c r="I826">
        <v>2520</v>
      </c>
      <c r="J826">
        <v>126</v>
      </c>
      <c r="K826">
        <v>2394</v>
      </c>
      <c r="L826">
        <v>924</v>
      </c>
      <c r="M826">
        <v>1470</v>
      </c>
      <c r="N826">
        <v>45317</v>
      </c>
      <c r="O826">
        <v>1</v>
      </c>
      <c r="P826" t="s">
        <v>58</v>
      </c>
      <c r="Q826">
        <v>2024</v>
      </c>
    </row>
    <row r="827" spans="1:17" x14ac:dyDescent="0.3">
      <c r="A827" t="s">
        <v>16</v>
      </c>
      <c r="B827" t="s">
        <v>20</v>
      </c>
      <c r="C827" t="s">
        <v>29</v>
      </c>
      <c r="D827" t="s">
        <v>76</v>
      </c>
      <c r="E827" t="s">
        <v>32</v>
      </c>
      <c r="F827">
        <v>658</v>
      </c>
      <c r="G827">
        <v>11</v>
      </c>
      <c r="H827">
        <v>30</v>
      </c>
      <c r="I827">
        <v>19740</v>
      </c>
      <c r="J827">
        <v>987</v>
      </c>
      <c r="K827">
        <v>18753</v>
      </c>
      <c r="L827">
        <v>7238</v>
      </c>
      <c r="M827">
        <v>11515</v>
      </c>
      <c r="N827">
        <v>45180</v>
      </c>
      <c r="O827">
        <v>9</v>
      </c>
      <c r="P827" t="s">
        <v>40</v>
      </c>
      <c r="Q827">
        <v>2023</v>
      </c>
    </row>
    <row r="828" spans="1:17" x14ac:dyDescent="0.3">
      <c r="A828" t="s">
        <v>26</v>
      </c>
      <c r="B828" t="s">
        <v>20</v>
      </c>
      <c r="C828" t="s">
        <v>29</v>
      </c>
      <c r="D828" t="s">
        <v>135</v>
      </c>
      <c r="E828" t="s">
        <v>32</v>
      </c>
      <c r="F828">
        <v>749</v>
      </c>
      <c r="G828">
        <v>20</v>
      </c>
      <c r="H828">
        <v>38</v>
      </c>
      <c r="I828">
        <v>28462</v>
      </c>
      <c r="J828">
        <v>1423.1000000000001</v>
      </c>
      <c r="K828">
        <v>27038.9</v>
      </c>
      <c r="L828">
        <v>14980</v>
      </c>
      <c r="M828">
        <v>12058.900000000001</v>
      </c>
      <c r="N828">
        <v>45251</v>
      </c>
      <c r="O828">
        <v>11</v>
      </c>
      <c r="P828" t="s">
        <v>43</v>
      </c>
      <c r="Q828">
        <v>2023</v>
      </c>
    </row>
    <row r="829" spans="1:17" x14ac:dyDescent="0.3">
      <c r="A829" t="s">
        <v>26</v>
      </c>
      <c r="B829" t="s">
        <v>23</v>
      </c>
      <c r="C829" t="s">
        <v>29</v>
      </c>
      <c r="D829" t="s">
        <v>136</v>
      </c>
      <c r="E829" t="s">
        <v>32</v>
      </c>
      <c r="F829">
        <v>775</v>
      </c>
      <c r="G829">
        <v>12</v>
      </c>
      <c r="H829">
        <v>30</v>
      </c>
      <c r="I829">
        <v>23250</v>
      </c>
      <c r="J829">
        <v>1162.5</v>
      </c>
      <c r="K829">
        <v>22087.5</v>
      </c>
      <c r="L829">
        <v>9300</v>
      </c>
      <c r="M829">
        <v>12787.5</v>
      </c>
      <c r="N829">
        <v>45382</v>
      </c>
      <c r="O829">
        <v>3</v>
      </c>
      <c r="P829" t="s">
        <v>38</v>
      </c>
      <c r="Q829">
        <v>2024</v>
      </c>
    </row>
    <row r="830" spans="1:17" x14ac:dyDescent="0.3">
      <c r="A830" t="s">
        <v>25</v>
      </c>
      <c r="B830" t="s">
        <v>22</v>
      </c>
      <c r="C830" t="s">
        <v>29</v>
      </c>
      <c r="D830" t="s">
        <v>137</v>
      </c>
      <c r="E830" t="s">
        <v>32</v>
      </c>
      <c r="F830">
        <v>660</v>
      </c>
      <c r="G830">
        <v>18</v>
      </c>
      <c r="H830">
        <v>16</v>
      </c>
      <c r="I830">
        <v>10560</v>
      </c>
      <c r="J830">
        <v>528</v>
      </c>
      <c r="K830">
        <v>10032</v>
      </c>
      <c r="L830">
        <v>11880</v>
      </c>
      <c r="M830">
        <v>-1848</v>
      </c>
      <c r="N830">
        <v>45660</v>
      </c>
      <c r="O830">
        <v>1</v>
      </c>
      <c r="P830" t="s">
        <v>58</v>
      </c>
      <c r="Q830">
        <v>2025</v>
      </c>
    </row>
    <row r="831" spans="1:17" x14ac:dyDescent="0.3">
      <c r="A831" t="s">
        <v>16</v>
      </c>
      <c r="B831" t="s">
        <v>23</v>
      </c>
      <c r="C831" t="s">
        <v>29</v>
      </c>
      <c r="D831" t="s">
        <v>72</v>
      </c>
      <c r="E831" t="s">
        <v>32</v>
      </c>
      <c r="F831">
        <v>879</v>
      </c>
      <c r="G831">
        <v>18</v>
      </c>
      <c r="H831">
        <v>33</v>
      </c>
      <c r="I831">
        <v>29007</v>
      </c>
      <c r="J831">
        <v>1450.3500000000001</v>
      </c>
      <c r="K831">
        <v>27556.65</v>
      </c>
      <c r="L831">
        <v>15822</v>
      </c>
      <c r="M831">
        <v>11734.650000000001</v>
      </c>
      <c r="N831">
        <v>45257</v>
      </c>
      <c r="O831">
        <v>11</v>
      </c>
      <c r="P831" t="s">
        <v>43</v>
      </c>
      <c r="Q831">
        <v>2023</v>
      </c>
    </row>
    <row r="832" spans="1:17" x14ac:dyDescent="0.3">
      <c r="A832" t="s">
        <v>25</v>
      </c>
      <c r="B832" t="s">
        <v>23</v>
      </c>
      <c r="C832" t="s">
        <v>29</v>
      </c>
      <c r="D832" t="s">
        <v>138</v>
      </c>
      <c r="E832" t="s">
        <v>32</v>
      </c>
      <c r="F832">
        <v>937</v>
      </c>
      <c r="G832">
        <v>16</v>
      </c>
      <c r="H832">
        <v>31</v>
      </c>
      <c r="I832">
        <v>29047</v>
      </c>
      <c r="J832">
        <v>1452.3500000000001</v>
      </c>
      <c r="K832">
        <v>27594.65</v>
      </c>
      <c r="L832">
        <v>14992</v>
      </c>
      <c r="M832">
        <v>12602.650000000001</v>
      </c>
      <c r="N832">
        <v>45514</v>
      </c>
      <c r="O832">
        <v>8</v>
      </c>
      <c r="P832" t="s">
        <v>62</v>
      </c>
      <c r="Q832">
        <v>2024</v>
      </c>
    </row>
    <row r="833" spans="1:17" x14ac:dyDescent="0.3">
      <c r="A833" t="s">
        <v>26</v>
      </c>
      <c r="B833" t="s">
        <v>23</v>
      </c>
      <c r="C833" t="s">
        <v>30</v>
      </c>
      <c r="D833" t="s">
        <v>139</v>
      </c>
      <c r="E833" t="s">
        <v>32</v>
      </c>
      <c r="F833">
        <v>523</v>
      </c>
      <c r="G833">
        <v>11</v>
      </c>
      <c r="H833">
        <v>22</v>
      </c>
      <c r="I833">
        <v>11506</v>
      </c>
      <c r="J833">
        <v>575.30000000000007</v>
      </c>
      <c r="K833">
        <v>10930.7</v>
      </c>
      <c r="L833">
        <v>5753</v>
      </c>
      <c r="M833">
        <v>5177.7000000000007</v>
      </c>
      <c r="N833">
        <v>45109</v>
      </c>
      <c r="O833">
        <v>7</v>
      </c>
      <c r="P833" t="s">
        <v>48</v>
      </c>
      <c r="Q833">
        <v>2023</v>
      </c>
    </row>
    <row r="834" spans="1:17" x14ac:dyDescent="0.3">
      <c r="A834" t="s">
        <v>27</v>
      </c>
      <c r="B834" t="s">
        <v>20</v>
      </c>
      <c r="C834" t="s">
        <v>30</v>
      </c>
      <c r="D834" t="s">
        <v>117</v>
      </c>
      <c r="E834" t="s">
        <v>32</v>
      </c>
      <c r="F834">
        <v>233</v>
      </c>
      <c r="G834">
        <v>13</v>
      </c>
      <c r="H834">
        <v>16</v>
      </c>
      <c r="I834">
        <v>3728</v>
      </c>
      <c r="J834">
        <v>186.4</v>
      </c>
      <c r="K834">
        <v>3541.6</v>
      </c>
      <c r="L834">
        <v>3029</v>
      </c>
      <c r="M834">
        <v>512.59999999999991</v>
      </c>
      <c r="N834">
        <v>45072</v>
      </c>
      <c r="O834">
        <v>5</v>
      </c>
      <c r="P834" t="s">
        <v>46</v>
      </c>
      <c r="Q834">
        <v>2023</v>
      </c>
    </row>
    <row r="835" spans="1:17" x14ac:dyDescent="0.3">
      <c r="A835" t="s">
        <v>16</v>
      </c>
      <c r="B835" t="s">
        <v>20</v>
      </c>
      <c r="C835" t="s">
        <v>30</v>
      </c>
      <c r="D835" t="s">
        <v>114</v>
      </c>
      <c r="E835" t="s">
        <v>32</v>
      </c>
      <c r="F835">
        <v>429</v>
      </c>
      <c r="G835">
        <v>13</v>
      </c>
      <c r="H835">
        <v>38</v>
      </c>
      <c r="I835">
        <v>16302</v>
      </c>
      <c r="J835">
        <v>815.1</v>
      </c>
      <c r="K835">
        <v>15486.9</v>
      </c>
      <c r="L835">
        <v>5577</v>
      </c>
      <c r="M835">
        <v>9909.9</v>
      </c>
      <c r="N835">
        <v>45468</v>
      </c>
      <c r="O835">
        <v>6</v>
      </c>
      <c r="P835" t="s">
        <v>45</v>
      </c>
      <c r="Q835">
        <v>2024</v>
      </c>
    </row>
    <row r="836" spans="1:17" x14ac:dyDescent="0.3">
      <c r="A836" t="s">
        <v>26</v>
      </c>
      <c r="B836" t="s">
        <v>17</v>
      </c>
      <c r="C836" t="s">
        <v>30</v>
      </c>
      <c r="D836" t="s">
        <v>140</v>
      </c>
      <c r="E836" t="s">
        <v>32</v>
      </c>
      <c r="F836">
        <v>793</v>
      </c>
      <c r="G836">
        <v>16</v>
      </c>
      <c r="H836">
        <v>36</v>
      </c>
      <c r="I836">
        <v>28548</v>
      </c>
      <c r="J836">
        <v>1427.4</v>
      </c>
      <c r="K836">
        <v>27120.6</v>
      </c>
      <c r="L836">
        <v>12688</v>
      </c>
      <c r="M836">
        <v>14432.599999999999</v>
      </c>
      <c r="N836">
        <v>45653</v>
      </c>
      <c r="O836">
        <v>12</v>
      </c>
      <c r="P836" t="s">
        <v>77</v>
      </c>
      <c r="Q836">
        <v>2024</v>
      </c>
    </row>
    <row r="837" spans="1:17" x14ac:dyDescent="0.3">
      <c r="A837" t="s">
        <v>16</v>
      </c>
      <c r="B837" t="s">
        <v>36</v>
      </c>
      <c r="C837" t="s">
        <v>30</v>
      </c>
      <c r="D837" t="s">
        <v>141</v>
      </c>
      <c r="E837" t="s">
        <v>32</v>
      </c>
      <c r="F837">
        <v>461</v>
      </c>
      <c r="G837">
        <v>13</v>
      </c>
      <c r="H837">
        <v>25</v>
      </c>
      <c r="I837">
        <v>11525</v>
      </c>
      <c r="J837">
        <v>576.25</v>
      </c>
      <c r="K837">
        <v>10948.75</v>
      </c>
      <c r="L837">
        <v>5993</v>
      </c>
      <c r="M837">
        <v>4955.75</v>
      </c>
      <c r="N837">
        <v>45152</v>
      </c>
      <c r="O837">
        <v>8</v>
      </c>
      <c r="P837" t="s">
        <v>62</v>
      </c>
      <c r="Q837">
        <v>2023</v>
      </c>
    </row>
    <row r="838" spans="1:17" x14ac:dyDescent="0.3">
      <c r="A838" t="s">
        <v>16</v>
      </c>
      <c r="B838" t="s">
        <v>23</v>
      </c>
      <c r="C838" t="s">
        <v>30</v>
      </c>
      <c r="D838" t="s">
        <v>119</v>
      </c>
      <c r="E838" t="s">
        <v>32</v>
      </c>
      <c r="F838">
        <v>841</v>
      </c>
      <c r="G838">
        <v>18</v>
      </c>
      <c r="H838">
        <v>19</v>
      </c>
      <c r="I838">
        <v>15979</v>
      </c>
      <c r="J838">
        <v>798.95</v>
      </c>
      <c r="K838">
        <v>15180.05</v>
      </c>
      <c r="L838">
        <v>15138</v>
      </c>
      <c r="M838">
        <v>42.049999999999272</v>
      </c>
      <c r="N838">
        <v>45633</v>
      </c>
      <c r="O838">
        <v>12</v>
      </c>
      <c r="P838" t="s">
        <v>77</v>
      </c>
      <c r="Q838">
        <v>2024</v>
      </c>
    </row>
    <row r="839" spans="1:17" x14ac:dyDescent="0.3">
      <c r="A839" t="s">
        <v>27</v>
      </c>
      <c r="B839" t="s">
        <v>20</v>
      </c>
      <c r="C839" t="s">
        <v>31</v>
      </c>
      <c r="D839" t="s">
        <v>142</v>
      </c>
      <c r="E839" t="s">
        <v>32</v>
      </c>
      <c r="F839">
        <v>40</v>
      </c>
      <c r="G839">
        <v>14</v>
      </c>
      <c r="H839">
        <v>26</v>
      </c>
      <c r="I839">
        <v>1040</v>
      </c>
      <c r="J839">
        <v>52</v>
      </c>
      <c r="K839">
        <v>988</v>
      </c>
      <c r="L839">
        <v>560</v>
      </c>
      <c r="M839">
        <v>428</v>
      </c>
      <c r="N839">
        <v>45059</v>
      </c>
      <c r="O839">
        <v>5</v>
      </c>
      <c r="P839" t="s">
        <v>46</v>
      </c>
      <c r="Q839">
        <v>2023</v>
      </c>
    </row>
    <row r="840" spans="1:17" x14ac:dyDescent="0.3">
      <c r="A840" t="s">
        <v>27</v>
      </c>
      <c r="B840" t="s">
        <v>23</v>
      </c>
      <c r="C840" t="s">
        <v>31</v>
      </c>
      <c r="D840" t="s">
        <v>143</v>
      </c>
      <c r="E840" t="s">
        <v>32</v>
      </c>
      <c r="F840">
        <v>87</v>
      </c>
      <c r="G840">
        <v>13</v>
      </c>
      <c r="H840">
        <v>16</v>
      </c>
      <c r="I840">
        <v>1392</v>
      </c>
      <c r="J840">
        <v>69.600000000000009</v>
      </c>
      <c r="K840">
        <v>1322.4</v>
      </c>
      <c r="L840">
        <v>1131</v>
      </c>
      <c r="M840">
        <v>191.40000000000009</v>
      </c>
      <c r="N840">
        <v>45443</v>
      </c>
      <c r="O840">
        <v>5</v>
      </c>
      <c r="P840" t="s">
        <v>46</v>
      </c>
      <c r="Q840">
        <v>2024</v>
      </c>
    </row>
    <row r="841" spans="1:17" x14ac:dyDescent="0.3">
      <c r="A841" t="s">
        <v>26</v>
      </c>
      <c r="B841" t="s">
        <v>20</v>
      </c>
      <c r="C841" t="s">
        <v>31</v>
      </c>
      <c r="D841" t="s">
        <v>89</v>
      </c>
      <c r="E841" t="s">
        <v>32</v>
      </c>
      <c r="F841">
        <v>213</v>
      </c>
      <c r="G841">
        <v>10</v>
      </c>
      <c r="H841">
        <v>19</v>
      </c>
      <c r="I841">
        <v>4047</v>
      </c>
      <c r="J841">
        <v>202.35000000000002</v>
      </c>
      <c r="K841">
        <v>3844.65</v>
      </c>
      <c r="L841">
        <v>2130</v>
      </c>
      <c r="M841">
        <v>1714.65</v>
      </c>
      <c r="N841">
        <v>45465</v>
      </c>
      <c r="O841">
        <v>6</v>
      </c>
      <c r="P841" t="s">
        <v>45</v>
      </c>
      <c r="Q841">
        <v>2024</v>
      </c>
    </row>
    <row r="842" spans="1:17" x14ac:dyDescent="0.3">
      <c r="A842" t="s">
        <v>16</v>
      </c>
      <c r="B842" t="s">
        <v>20</v>
      </c>
      <c r="C842" t="s">
        <v>31</v>
      </c>
      <c r="D842" t="s">
        <v>90</v>
      </c>
      <c r="E842" t="s">
        <v>32</v>
      </c>
      <c r="F842">
        <v>617</v>
      </c>
      <c r="G842">
        <v>19</v>
      </c>
      <c r="H842">
        <v>17</v>
      </c>
      <c r="I842">
        <v>10489</v>
      </c>
      <c r="J842">
        <v>524.45000000000005</v>
      </c>
      <c r="K842">
        <v>9964.5499999999993</v>
      </c>
      <c r="L842">
        <v>11723</v>
      </c>
      <c r="M842">
        <v>-1758.4500000000007</v>
      </c>
      <c r="N842">
        <v>45667</v>
      </c>
      <c r="O842">
        <v>1</v>
      </c>
      <c r="P842" t="s">
        <v>58</v>
      </c>
      <c r="Q842">
        <v>2025</v>
      </c>
    </row>
    <row r="843" spans="1:17" x14ac:dyDescent="0.3">
      <c r="A843" t="s">
        <v>16</v>
      </c>
      <c r="B843" t="s">
        <v>36</v>
      </c>
      <c r="C843" t="s">
        <v>31</v>
      </c>
      <c r="D843" t="s">
        <v>91</v>
      </c>
      <c r="E843" t="s">
        <v>32</v>
      </c>
      <c r="F843">
        <v>585</v>
      </c>
      <c r="G843">
        <v>10</v>
      </c>
      <c r="H843">
        <v>19</v>
      </c>
      <c r="I843">
        <v>11115</v>
      </c>
      <c r="J843">
        <v>555.75</v>
      </c>
      <c r="K843">
        <v>10559.25</v>
      </c>
      <c r="L843">
        <v>5850</v>
      </c>
      <c r="M843">
        <v>4709.25</v>
      </c>
      <c r="N843">
        <v>45317</v>
      </c>
      <c r="O843">
        <v>1</v>
      </c>
      <c r="P843" t="s">
        <v>58</v>
      </c>
      <c r="Q843">
        <v>2024</v>
      </c>
    </row>
    <row r="844" spans="1:17" x14ac:dyDescent="0.3">
      <c r="A844" t="s">
        <v>16</v>
      </c>
      <c r="B844" t="s">
        <v>22</v>
      </c>
      <c r="C844" t="s">
        <v>31</v>
      </c>
      <c r="D844" t="s">
        <v>87</v>
      </c>
      <c r="E844" t="s">
        <v>32</v>
      </c>
      <c r="F844">
        <v>63</v>
      </c>
      <c r="G844">
        <v>19</v>
      </c>
      <c r="H844">
        <v>19</v>
      </c>
      <c r="I844">
        <v>1197</v>
      </c>
      <c r="J844">
        <v>59.85</v>
      </c>
      <c r="K844">
        <v>1137.1500000000001</v>
      </c>
      <c r="L844">
        <v>1197</v>
      </c>
      <c r="M844">
        <v>-59.849999999999909</v>
      </c>
      <c r="N844">
        <v>45133</v>
      </c>
      <c r="O844">
        <v>7</v>
      </c>
      <c r="P844" t="s">
        <v>48</v>
      </c>
      <c r="Q844">
        <v>2023</v>
      </c>
    </row>
    <row r="845" spans="1:17" x14ac:dyDescent="0.3">
      <c r="A845" t="s">
        <v>27</v>
      </c>
      <c r="B845" t="s">
        <v>17</v>
      </c>
      <c r="C845" t="s">
        <v>31</v>
      </c>
      <c r="D845" t="s">
        <v>144</v>
      </c>
      <c r="E845" t="s">
        <v>32</v>
      </c>
      <c r="F845">
        <v>19</v>
      </c>
      <c r="G845">
        <v>20</v>
      </c>
      <c r="H845">
        <v>31</v>
      </c>
      <c r="I845">
        <v>589</v>
      </c>
      <c r="J845">
        <v>5.89</v>
      </c>
      <c r="K845">
        <v>583.11</v>
      </c>
      <c r="L845">
        <v>380</v>
      </c>
      <c r="M845">
        <v>203.11</v>
      </c>
      <c r="N845">
        <v>45187</v>
      </c>
      <c r="O845">
        <v>9</v>
      </c>
      <c r="P845" t="s">
        <v>40</v>
      </c>
      <c r="Q845">
        <v>2023</v>
      </c>
    </row>
    <row r="846" spans="1:17" x14ac:dyDescent="0.3">
      <c r="A846" t="s">
        <v>26</v>
      </c>
      <c r="B846" t="s">
        <v>22</v>
      </c>
      <c r="C846" t="s">
        <v>18</v>
      </c>
      <c r="D846" t="s">
        <v>145</v>
      </c>
      <c r="E846" t="s">
        <v>32</v>
      </c>
      <c r="F846">
        <v>290</v>
      </c>
      <c r="G846">
        <v>10</v>
      </c>
      <c r="H846">
        <v>23</v>
      </c>
      <c r="I846">
        <v>6670</v>
      </c>
      <c r="J846">
        <v>333.5</v>
      </c>
      <c r="K846">
        <v>6336.5</v>
      </c>
      <c r="L846">
        <v>2900</v>
      </c>
      <c r="M846">
        <v>3436.5</v>
      </c>
      <c r="N846">
        <v>45594</v>
      </c>
      <c r="O846">
        <v>10</v>
      </c>
      <c r="P846" t="s">
        <v>55</v>
      </c>
      <c r="Q846">
        <v>2024</v>
      </c>
    </row>
    <row r="847" spans="1:17" x14ac:dyDescent="0.3">
      <c r="A847" t="s">
        <v>16</v>
      </c>
      <c r="B847" t="s">
        <v>20</v>
      </c>
      <c r="C847" t="s">
        <v>18</v>
      </c>
      <c r="D847" t="s">
        <v>39</v>
      </c>
      <c r="E847" t="s">
        <v>32</v>
      </c>
      <c r="F847">
        <v>472</v>
      </c>
      <c r="G847">
        <v>19</v>
      </c>
      <c r="H847">
        <v>19</v>
      </c>
      <c r="I847">
        <v>8968</v>
      </c>
      <c r="J847">
        <v>448.40000000000003</v>
      </c>
      <c r="K847">
        <v>8519.6</v>
      </c>
      <c r="L847">
        <v>8968</v>
      </c>
      <c r="M847">
        <v>-448.39999999999964</v>
      </c>
      <c r="N847">
        <v>45551</v>
      </c>
      <c r="O847">
        <v>9</v>
      </c>
      <c r="P847" t="s">
        <v>40</v>
      </c>
      <c r="Q847">
        <v>2024</v>
      </c>
    </row>
    <row r="848" spans="1:17" x14ac:dyDescent="0.3">
      <c r="A848" t="s">
        <v>27</v>
      </c>
      <c r="B848" t="s">
        <v>20</v>
      </c>
      <c r="C848" t="s">
        <v>18</v>
      </c>
      <c r="D848" t="s">
        <v>122</v>
      </c>
      <c r="E848" t="s">
        <v>32</v>
      </c>
      <c r="F848">
        <v>123</v>
      </c>
      <c r="G848">
        <v>15</v>
      </c>
      <c r="H848">
        <v>33</v>
      </c>
      <c r="I848">
        <v>4059</v>
      </c>
      <c r="J848">
        <v>202.95000000000002</v>
      </c>
      <c r="K848">
        <v>3856.05</v>
      </c>
      <c r="L848">
        <v>1845</v>
      </c>
      <c r="M848">
        <v>2011.0500000000002</v>
      </c>
      <c r="N848">
        <v>45350</v>
      </c>
      <c r="O848">
        <v>2</v>
      </c>
      <c r="P848" t="s">
        <v>52</v>
      </c>
      <c r="Q848">
        <v>2024</v>
      </c>
    </row>
    <row r="849" spans="1:17" x14ac:dyDescent="0.3">
      <c r="A849" t="s">
        <v>25</v>
      </c>
      <c r="B849" t="s">
        <v>36</v>
      </c>
      <c r="C849" t="s">
        <v>18</v>
      </c>
      <c r="D849" t="s">
        <v>95</v>
      </c>
      <c r="E849" t="s">
        <v>32</v>
      </c>
      <c r="F849">
        <v>257</v>
      </c>
      <c r="G849">
        <v>13</v>
      </c>
      <c r="H849">
        <v>23</v>
      </c>
      <c r="I849">
        <v>5911</v>
      </c>
      <c r="J849">
        <v>295.55</v>
      </c>
      <c r="K849">
        <v>5615.45</v>
      </c>
      <c r="L849">
        <v>3341</v>
      </c>
      <c r="M849">
        <v>2274.4499999999998</v>
      </c>
      <c r="N849">
        <v>45741</v>
      </c>
      <c r="O849">
        <v>3</v>
      </c>
      <c r="P849" t="s">
        <v>38</v>
      </c>
      <c r="Q849">
        <v>2025</v>
      </c>
    </row>
    <row r="850" spans="1:17" x14ac:dyDescent="0.3">
      <c r="A850" t="s">
        <v>25</v>
      </c>
      <c r="B850" t="s">
        <v>17</v>
      </c>
      <c r="C850" t="s">
        <v>18</v>
      </c>
      <c r="D850" t="s">
        <v>98</v>
      </c>
      <c r="E850" t="s">
        <v>32</v>
      </c>
      <c r="F850">
        <v>600</v>
      </c>
      <c r="G850">
        <v>20</v>
      </c>
      <c r="H850">
        <v>18</v>
      </c>
      <c r="I850">
        <v>10800</v>
      </c>
      <c r="J850">
        <v>540</v>
      </c>
      <c r="K850">
        <v>10260</v>
      </c>
      <c r="L850">
        <v>12000</v>
      </c>
      <c r="M850">
        <v>-1740</v>
      </c>
      <c r="N850">
        <v>45687</v>
      </c>
      <c r="O850">
        <v>1</v>
      </c>
      <c r="P850" t="s">
        <v>58</v>
      </c>
      <c r="Q850">
        <v>2025</v>
      </c>
    </row>
    <row r="851" spans="1:17" x14ac:dyDescent="0.3">
      <c r="A851" t="s">
        <v>16</v>
      </c>
      <c r="B851" t="s">
        <v>20</v>
      </c>
      <c r="C851" t="s">
        <v>24</v>
      </c>
      <c r="D851" t="s">
        <v>57</v>
      </c>
      <c r="E851" t="s">
        <v>32</v>
      </c>
      <c r="F851">
        <v>554</v>
      </c>
      <c r="G851">
        <v>16</v>
      </c>
      <c r="H851">
        <v>31</v>
      </c>
      <c r="I851">
        <v>17174</v>
      </c>
      <c r="J851">
        <v>858.7</v>
      </c>
      <c r="K851">
        <v>16315.3</v>
      </c>
      <c r="L851">
        <v>8864</v>
      </c>
      <c r="M851">
        <v>7451.2999999999993</v>
      </c>
      <c r="N851">
        <v>45382</v>
      </c>
      <c r="O851">
        <v>3</v>
      </c>
      <c r="P851" t="s">
        <v>38</v>
      </c>
      <c r="Q851">
        <v>2024</v>
      </c>
    </row>
    <row r="852" spans="1:17" x14ac:dyDescent="0.3">
      <c r="A852" t="s">
        <v>25</v>
      </c>
      <c r="B852" t="s">
        <v>22</v>
      </c>
      <c r="C852" t="s">
        <v>24</v>
      </c>
      <c r="D852" t="s">
        <v>146</v>
      </c>
      <c r="E852" t="s">
        <v>32</v>
      </c>
      <c r="F852">
        <v>782</v>
      </c>
      <c r="G852">
        <v>11</v>
      </c>
      <c r="H852">
        <v>32</v>
      </c>
      <c r="I852">
        <v>25024</v>
      </c>
      <c r="J852">
        <v>1251.2</v>
      </c>
      <c r="K852">
        <v>23772.799999999999</v>
      </c>
      <c r="L852">
        <v>8602</v>
      </c>
      <c r="M852">
        <v>15170.8</v>
      </c>
      <c r="N852">
        <v>45555</v>
      </c>
      <c r="O852">
        <v>9</v>
      </c>
      <c r="P852" t="s">
        <v>40</v>
      </c>
      <c r="Q852">
        <v>2024</v>
      </c>
    </row>
    <row r="853" spans="1:17" x14ac:dyDescent="0.3">
      <c r="A853" t="s">
        <v>16</v>
      </c>
      <c r="B853" t="s">
        <v>22</v>
      </c>
      <c r="C853" t="s">
        <v>24</v>
      </c>
      <c r="D853" t="s">
        <v>50</v>
      </c>
      <c r="E853" t="s">
        <v>32</v>
      </c>
      <c r="F853">
        <v>405</v>
      </c>
      <c r="G853">
        <v>12</v>
      </c>
      <c r="H853">
        <v>35</v>
      </c>
      <c r="I853">
        <v>14175</v>
      </c>
      <c r="J853">
        <v>708.75</v>
      </c>
      <c r="K853">
        <v>13466.25</v>
      </c>
      <c r="L853">
        <v>4860</v>
      </c>
      <c r="M853">
        <v>8606.25</v>
      </c>
      <c r="N853">
        <v>45563</v>
      </c>
      <c r="O853">
        <v>9</v>
      </c>
      <c r="P853" t="s">
        <v>40</v>
      </c>
      <c r="Q853">
        <v>2024</v>
      </c>
    </row>
    <row r="854" spans="1:17" x14ac:dyDescent="0.3">
      <c r="A854" t="s">
        <v>16</v>
      </c>
      <c r="B854" t="s">
        <v>20</v>
      </c>
      <c r="C854" t="s">
        <v>24</v>
      </c>
      <c r="D854" t="s">
        <v>57</v>
      </c>
      <c r="E854" t="s">
        <v>32</v>
      </c>
      <c r="F854">
        <v>652</v>
      </c>
      <c r="G854">
        <v>16</v>
      </c>
      <c r="H854">
        <v>31</v>
      </c>
      <c r="I854">
        <v>20212</v>
      </c>
      <c r="J854">
        <v>1010.6</v>
      </c>
      <c r="K854">
        <v>19201.400000000001</v>
      </c>
      <c r="L854">
        <v>10432</v>
      </c>
      <c r="M854">
        <v>8769.4000000000015</v>
      </c>
      <c r="N854">
        <v>45041</v>
      </c>
      <c r="O854">
        <v>4</v>
      </c>
      <c r="P854" t="s">
        <v>75</v>
      </c>
      <c r="Q854">
        <v>2023</v>
      </c>
    </row>
    <row r="855" spans="1:17" x14ac:dyDescent="0.3">
      <c r="A855" t="s">
        <v>26</v>
      </c>
      <c r="B855" t="s">
        <v>22</v>
      </c>
      <c r="C855" t="s">
        <v>24</v>
      </c>
      <c r="D855" t="s">
        <v>147</v>
      </c>
      <c r="E855" t="s">
        <v>32</v>
      </c>
      <c r="F855">
        <v>186</v>
      </c>
      <c r="G855">
        <v>13</v>
      </c>
      <c r="H855">
        <v>33</v>
      </c>
      <c r="I855">
        <v>6138</v>
      </c>
      <c r="J855">
        <v>306.90000000000003</v>
      </c>
      <c r="K855">
        <v>5831.1</v>
      </c>
      <c r="L855">
        <v>2418</v>
      </c>
      <c r="M855">
        <v>3413.1000000000004</v>
      </c>
      <c r="N855">
        <v>45154</v>
      </c>
      <c r="O855">
        <v>8</v>
      </c>
      <c r="P855" t="s">
        <v>62</v>
      </c>
      <c r="Q855">
        <v>2023</v>
      </c>
    </row>
    <row r="856" spans="1:17" x14ac:dyDescent="0.3">
      <c r="A856" t="s">
        <v>26</v>
      </c>
      <c r="B856" t="s">
        <v>20</v>
      </c>
      <c r="C856" t="s">
        <v>24</v>
      </c>
      <c r="D856" t="s">
        <v>148</v>
      </c>
      <c r="E856" t="s">
        <v>32</v>
      </c>
      <c r="F856">
        <v>681</v>
      </c>
      <c r="G856">
        <v>17</v>
      </c>
      <c r="H856">
        <v>37</v>
      </c>
      <c r="I856">
        <v>25197</v>
      </c>
      <c r="J856">
        <v>1259.8500000000001</v>
      </c>
      <c r="K856">
        <v>23937.15</v>
      </c>
      <c r="L856">
        <v>11577</v>
      </c>
      <c r="M856">
        <v>12360.150000000001</v>
      </c>
      <c r="N856">
        <v>45289</v>
      </c>
      <c r="O856">
        <v>12</v>
      </c>
      <c r="P856" t="s">
        <v>77</v>
      </c>
      <c r="Q856">
        <v>2023</v>
      </c>
    </row>
    <row r="857" spans="1:17" x14ac:dyDescent="0.3">
      <c r="A857" t="s">
        <v>27</v>
      </c>
      <c r="B857" t="s">
        <v>22</v>
      </c>
      <c r="C857" t="s">
        <v>28</v>
      </c>
      <c r="D857" t="s">
        <v>127</v>
      </c>
      <c r="E857" t="s">
        <v>32</v>
      </c>
      <c r="F857">
        <v>125</v>
      </c>
      <c r="G857">
        <v>19</v>
      </c>
      <c r="H857">
        <v>28</v>
      </c>
      <c r="I857">
        <v>3500</v>
      </c>
      <c r="J857">
        <v>175</v>
      </c>
      <c r="K857">
        <v>3325</v>
      </c>
      <c r="L857">
        <v>2375</v>
      </c>
      <c r="M857">
        <v>950</v>
      </c>
      <c r="N857">
        <v>45217</v>
      </c>
      <c r="O857">
        <v>10</v>
      </c>
      <c r="P857" t="s">
        <v>55</v>
      </c>
      <c r="Q857">
        <v>2023</v>
      </c>
    </row>
    <row r="858" spans="1:17" x14ac:dyDescent="0.3">
      <c r="A858" t="s">
        <v>26</v>
      </c>
      <c r="B858" t="s">
        <v>17</v>
      </c>
      <c r="C858" t="s">
        <v>28</v>
      </c>
      <c r="D858" t="s">
        <v>132</v>
      </c>
      <c r="E858" t="s">
        <v>32</v>
      </c>
      <c r="F858">
        <v>582</v>
      </c>
      <c r="G858">
        <v>14</v>
      </c>
      <c r="H858">
        <v>19</v>
      </c>
      <c r="I858">
        <v>11058</v>
      </c>
      <c r="J858">
        <v>552.9</v>
      </c>
      <c r="K858">
        <v>10505.1</v>
      </c>
      <c r="L858">
        <v>8148</v>
      </c>
      <c r="M858">
        <v>2357.1000000000004</v>
      </c>
      <c r="N858">
        <v>45578</v>
      </c>
      <c r="O858">
        <v>10</v>
      </c>
      <c r="P858" t="s">
        <v>55</v>
      </c>
      <c r="Q858">
        <v>2024</v>
      </c>
    </row>
    <row r="859" spans="1:17" x14ac:dyDescent="0.3">
      <c r="A859" t="s">
        <v>25</v>
      </c>
      <c r="B859" t="s">
        <v>22</v>
      </c>
      <c r="C859" t="s">
        <v>28</v>
      </c>
      <c r="D859" t="s">
        <v>130</v>
      </c>
      <c r="E859" t="s">
        <v>32</v>
      </c>
      <c r="F859">
        <v>685</v>
      </c>
      <c r="G859">
        <v>18</v>
      </c>
      <c r="H859">
        <v>27</v>
      </c>
      <c r="I859">
        <v>18495</v>
      </c>
      <c r="J859">
        <v>924.75</v>
      </c>
      <c r="K859">
        <v>17570.25</v>
      </c>
      <c r="L859">
        <v>12330</v>
      </c>
      <c r="M859">
        <v>5240.25</v>
      </c>
      <c r="N859">
        <v>45388</v>
      </c>
      <c r="O859">
        <v>4</v>
      </c>
      <c r="P859" t="s">
        <v>75</v>
      </c>
      <c r="Q859">
        <v>2024</v>
      </c>
    </row>
    <row r="860" spans="1:17" x14ac:dyDescent="0.3">
      <c r="A860" t="s">
        <v>27</v>
      </c>
      <c r="B860" t="s">
        <v>20</v>
      </c>
      <c r="C860" t="s">
        <v>28</v>
      </c>
      <c r="D860" t="s">
        <v>128</v>
      </c>
      <c r="E860" t="s">
        <v>32</v>
      </c>
      <c r="F860">
        <v>734</v>
      </c>
      <c r="G860">
        <v>14</v>
      </c>
      <c r="H860">
        <v>16</v>
      </c>
      <c r="I860">
        <v>11744</v>
      </c>
      <c r="J860">
        <v>587.20000000000005</v>
      </c>
      <c r="K860">
        <v>11156.8</v>
      </c>
      <c r="L860">
        <v>10276</v>
      </c>
      <c r="M860">
        <v>880.79999999999927</v>
      </c>
      <c r="N860">
        <v>45706</v>
      </c>
      <c r="O860">
        <v>2</v>
      </c>
      <c r="P860" t="s">
        <v>52</v>
      </c>
      <c r="Q860">
        <v>2025</v>
      </c>
    </row>
    <row r="861" spans="1:17" x14ac:dyDescent="0.3">
      <c r="A861" t="s">
        <v>26</v>
      </c>
      <c r="B861" t="s">
        <v>20</v>
      </c>
      <c r="C861" t="s">
        <v>28</v>
      </c>
      <c r="D861" t="s">
        <v>129</v>
      </c>
      <c r="E861" t="s">
        <v>32</v>
      </c>
      <c r="F861">
        <v>52</v>
      </c>
      <c r="G861">
        <v>12</v>
      </c>
      <c r="H861">
        <v>31</v>
      </c>
      <c r="I861">
        <v>1612</v>
      </c>
      <c r="J861">
        <v>80.600000000000009</v>
      </c>
      <c r="K861">
        <v>1531.4</v>
      </c>
      <c r="L861">
        <v>624</v>
      </c>
      <c r="M861">
        <v>907.40000000000009</v>
      </c>
      <c r="N861">
        <v>45517</v>
      </c>
      <c r="O861">
        <v>8</v>
      </c>
      <c r="P861" t="s">
        <v>62</v>
      </c>
      <c r="Q861">
        <v>2024</v>
      </c>
    </row>
    <row r="862" spans="1:17" x14ac:dyDescent="0.3">
      <c r="A862" t="s">
        <v>25</v>
      </c>
      <c r="B862" t="s">
        <v>36</v>
      </c>
      <c r="C862" t="s">
        <v>28</v>
      </c>
      <c r="D862" t="s">
        <v>70</v>
      </c>
      <c r="E862" t="s">
        <v>32</v>
      </c>
      <c r="F862">
        <v>722</v>
      </c>
      <c r="G862">
        <v>15</v>
      </c>
      <c r="H862">
        <v>16</v>
      </c>
      <c r="I862">
        <v>11552</v>
      </c>
      <c r="J862">
        <v>577.6</v>
      </c>
      <c r="K862">
        <v>10974.4</v>
      </c>
      <c r="L862">
        <v>10830</v>
      </c>
      <c r="M862">
        <v>144.39999999999964</v>
      </c>
      <c r="N862">
        <v>45568</v>
      </c>
      <c r="O862">
        <v>10</v>
      </c>
      <c r="P862" t="s">
        <v>55</v>
      </c>
      <c r="Q862">
        <v>2024</v>
      </c>
    </row>
    <row r="863" spans="1:17" x14ac:dyDescent="0.3">
      <c r="A863" t="s">
        <v>26</v>
      </c>
      <c r="B863" t="s">
        <v>17</v>
      </c>
      <c r="C863" t="s">
        <v>28</v>
      </c>
      <c r="D863" t="s">
        <v>132</v>
      </c>
      <c r="E863" t="s">
        <v>32</v>
      </c>
      <c r="F863">
        <v>497</v>
      </c>
      <c r="G863">
        <v>14</v>
      </c>
      <c r="H863">
        <v>19</v>
      </c>
      <c r="I863">
        <v>9443</v>
      </c>
      <c r="J863">
        <v>472.15000000000003</v>
      </c>
      <c r="K863">
        <v>8970.85</v>
      </c>
      <c r="L863">
        <v>6958</v>
      </c>
      <c r="M863">
        <v>2012.8500000000004</v>
      </c>
      <c r="N863">
        <v>45539</v>
      </c>
      <c r="O863">
        <v>9</v>
      </c>
      <c r="P863" t="s">
        <v>40</v>
      </c>
      <c r="Q863">
        <v>2024</v>
      </c>
    </row>
    <row r="864" spans="1:17" x14ac:dyDescent="0.3">
      <c r="A864" t="s">
        <v>21</v>
      </c>
      <c r="B864" t="s">
        <v>20</v>
      </c>
      <c r="C864" t="s">
        <v>28</v>
      </c>
      <c r="D864" t="s">
        <v>111</v>
      </c>
      <c r="E864" t="s">
        <v>32</v>
      </c>
      <c r="F864">
        <v>11</v>
      </c>
      <c r="G864">
        <v>16</v>
      </c>
      <c r="H864">
        <v>27</v>
      </c>
      <c r="I864">
        <v>297</v>
      </c>
      <c r="J864">
        <v>2.97</v>
      </c>
      <c r="K864">
        <v>294.02999999999997</v>
      </c>
      <c r="L864">
        <v>176</v>
      </c>
      <c r="M864">
        <v>118.02999999999997</v>
      </c>
      <c r="N864">
        <v>45635</v>
      </c>
      <c r="O864">
        <v>12</v>
      </c>
      <c r="P864" t="s">
        <v>77</v>
      </c>
      <c r="Q864">
        <v>2024</v>
      </c>
    </row>
    <row r="865" spans="1:17" x14ac:dyDescent="0.3">
      <c r="A865" t="s">
        <v>26</v>
      </c>
      <c r="B865" t="s">
        <v>22</v>
      </c>
      <c r="C865" t="s">
        <v>28</v>
      </c>
      <c r="D865" t="s">
        <v>109</v>
      </c>
      <c r="E865" t="s">
        <v>32</v>
      </c>
      <c r="F865">
        <v>872</v>
      </c>
      <c r="G865">
        <v>20</v>
      </c>
      <c r="H865">
        <v>21</v>
      </c>
      <c r="I865">
        <v>18312</v>
      </c>
      <c r="J865">
        <v>915.6</v>
      </c>
      <c r="K865">
        <v>17396.400000000001</v>
      </c>
      <c r="L865">
        <v>17440</v>
      </c>
      <c r="M865">
        <v>-43.599999999998545</v>
      </c>
      <c r="N865">
        <v>45666</v>
      </c>
      <c r="O865">
        <v>1</v>
      </c>
      <c r="P865" t="s">
        <v>58</v>
      </c>
      <c r="Q865">
        <v>2025</v>
      </c>
    </row>
    <row r="866" spans="1:17" x14ac:dyDescent="0.3">
      <c r="A866" t="s">
        <v>26</v>
      </c>
      <c r="B866" t="s">
        <v>20</v>
      </c>
      <c r="C866" t="s">
        <v>28</v>
      </c>
      <c r="D866" t="s">
        <v>129</v>
      </c>
      <c r="E866" t="s">
        <v>32</v>
      </c>
      <c r="F866">
        <v>747</v>
      </c>
      <c r="G866">
        <v>12</v>
      </c>
      <c r="H866">
        <v>31</v>
      </c>
      <c r="I866">
        <v>23157</v>
      </c>
      <c r="J866">
        <v>1157.8500000000001</v>
      </c>
      <c r="K866">
        <v>21999.15</v>
      </c>
      <c r="L866">
        <v>8964</v>
      </c>
      <c r="M866">
        <v>13035.150000000001</v>
      </c>
      <c r="N866">
        <v>45589</v>
      </c>
      <c r="O866">
        <v>10</v>
      </c>
      <c r="P866" t="s">
        <v>55</v>
      </c>
      <c r="Q866">
        <v>2024</v>
      </c>
    </row>
    <row r="867" spans="1:17" x14ac:dyDescent="0.3">
      <c r="A867" t="s">
        <v>26</v>
      </c>
      <c r="B867" t="s">
        <v>17</v>
      </c>
      <c r="C867" t="s">
        <v>29</v>
      </c>
      <c r="D867" t="s">
        <v>79</v>
      </c>
      <c r="E867" t="s">
        <v>32</v>
      </c>
      <c r="F867">
        <v>395</v>
      </c>
      <c r="G867">
        <v>16</v>
      </c>
      <c r="H867">
        <v>28</v>
      </c>
      <c r="I867">
        <v>11060</v>
      </c>
      <c r="J867">
        <v>553</v>
      </c>
      <c r="K867">
        <v>10507</v>
      </c>
      <c r="L867">
        <v>6320</v>
      </c>
      <c r="M867">
        <v>4187</v>
      </c>
      <c r="N867">
        <v>45374</v>
      </c>
      <c r="O867">
        <v>3</v>
      </c>
      <c r="P867" t="s">
        <v>38</v>
      </c>
      <c r="Q867">
        <v>2024</v>
      </c>
    </row>
    <row r="868" spans="1:17" x14ac:dyDescent="0.3">
      <c r="A868" t="s">
        <v>27</v>
      </c>
      <c r="B868" t="s">
        <v>36</v>
      </c>
      <c r="C868" t="s">
        <v>30</v>
      </c>
      <c r="D868" t="s">
        <v>149</v>
      </c>
      <c r="E868" t="s">
        <v>32</v>
      </c>
      <c r="F868">
        <v>621</v>
      </c>
      <c r="G868">
        <v>10</v>
      </c>
      <c r="H868">
        <v>38</v>
      </c>
      <c r="I868">
        <v>23598</v>
      </c>
      <c r="J868">
        <v>1179.9000000000001</v>
      </c>
      <c r="K868">
        <v>22418.1</v>
      </c>
      <c r="L868">
        <v>6210</v>
      </c>
      <c r="M868">
        <v>16208.099999999999</v>
      </c>
      <c r="N868">
        <v>45607</v>
      </c>
      <c r="O868">
        <v>11</v>
      </c>
      <c r="P868" t="s">
        <v>43</v>
      </c>
      <c r="Q868">
        <v>2024</v>
      </c>
    </row>
    <row r="869" spans="1:17" x14ac:dyDescent="0.3">
      <c r="A869" t="s">
        <v>25</v>
      </c>
      <c r="B869" t="s">
        <v>23</v>
      </c>
      <c r="C869" t="s">
        <v>30</v>
      </c>
      <c r="D869" t="s">
        <v>150</v>
      </c>
      <c r="E869" t="s">
        <v>32</v>
      </c>
      <c r="F869">
        <v>153</v>
      </c>
      <c r="G869">
        <v>11</v>
      </c>
      <c r="H869">
        <v>30</v>
      </c>
      <c r="I869">
        <v>4590</v>
      </c>
      <c r="J869">
        <v>229.5</v>
      </c>
      <c r="K869">
        <v>4360.5</v>
      </c>
      <c r="L869">
        <v>1683</v>
      </c>
      <c r="M869">
        <v>2677.5</v>
      </c>
      <c r="N869">
        <v>45241</v>
      </c>
      <c r="O869">
        <v>11</v>
      </c>
      <c r="P869" t="s">
        <v>43</v>
      </c>
      <c r="Q869">
        <v>2023</v>
      </c>
    </row>
    <row r="870" spans="1:17" x14ac:dyDescent="0.3">
      <c r="A870" t="s">
        <v>26</v>
      </c>
      <c r="B870" t="s">
        <v>20</v>
      </c>
      <c r="C870" t="s">
        <v>30</v>
      </c>
      <c r="D870" t="s">
        <v>151</v>
      </c>
      <c r="E870" t="s">
        <v>32</v>
      </c>
      <c r="F870">
        <v>858</v>
      </c>
      <c r="G870">
        <v>13</v>
      </c>
      <c r="H870">
        <v>27</v>
      </c>
      <c r="I870">
        <v>23166</v>
      </c>
      <c r="J870">
        <v>1158.3</v>
      </c>
      <c r="K870">
        <v>22007.7</v>
      </c>
      <c r="L870">
        <v>11154</v>
      </c>
      <c r="M870">
        <v>10853.7</v>
      </c>
      <c r="N870">
        <v>45324</v>
      </c>
      <c r="O870">
        <v>2</v>
      </c>
      <c r="P870" t="s">
        <v>52</v>
      </c>
      <c r="Q870">
        <v>2024</v>
      </c>
    </row>
    <row r="871" spans="1:17" x14ac:dyDescent="0.3">
      <c r="A871" t="s">
        <v>27</v>
      </c>
      <c r="B871" t="s">
        <v>17</v>
      </c>
      <c r="C871" t="s">
        <v>30</v>
      </c>
      <c r="D871" t="s">
        <v>80</v>
      </c>
      <c r="E871" t="s">
        <v>32</v>
      </c>
      <c r="F871">
        <v>251</v>
      </c>
      <c r="G871">
        <v>16</v>
      </c>
      <c r="H871">
        <v>16</v>
      </c>
      <c r="I871">
        <v>4016</v>
      </c>
      <c r="J871">
        <v>200.8</v>
      </c>
      <c r="K871">
        <v>3815.2</v>
      </c>
      <c r="L871">
        <v>4016</v>
      </c>
      <c r="M871">
        <v>-200.80000000000018</v>
      </c>
      <c r="N871">
        <v>45312</v>
      </c>
      <c r="O871">
        <v>1</v>
      </c>
      <c r="P871" t="s">
        <v>58</v>
      </c>
      <c r="Q871">
        <v>2024</v>
      </c>
    </row>
    <row r="872" spans="1:17" x14ac:dyDescent="0.3">
      <c r="A872" t="s">
        <v>16</v>
      </c>
      <c r="B872" t="s">
        <v>23</v>
      </c>
      <c r="C872" t="s">
        <v>30</v>
      </c>
      <c r="D872" t="s">
        <v>119</v>
      </c>
      <c r="E872" t="s">
        <v>32</v>
      </c>
      <c r="F872">
        <v>809</v>
      </c>
      <c r="G872">
        <v>18</v>
      </c>
      <c r="H872">
        <v>19</v>
      </c>
      <c r="I872">
        <v>15371</v>
      </c>
      <c r="J872">
        <v>768.55000000000007</v>
      </c>
      <c r="K872">
        <v>14602.45</v>
      </c>
      <c r="L872">
        <v>14562</v>
      </c>
      <c r="M872">
        <v>40.450000000000728</v>
      </c>
      <c r="N872">
        <v>45247</v>
      </c>
      <c r="O872">
        <v>11</v>
      </c>
      <c r="P872" t="s">
        <v>43</v>
      </c>
      <c r="Q872">
        <v>2023</v>
      </c>
    </row>
    <row r="873" spans="1:17" x14ac:dyDescent="0.3">
      <c r="A873" t="s">
        <v>21</v>
      </c>
      <c r="B873" t="s">
        <v>20</v>
      </c>
      <c r="C873" t="s">
        <v>30</v>
      </c>
      <c r="D873" t="s">
        <v>83</v>
      </c>
      <c r="E873" t="s">
        <v>32</v>
      </c>
      <c r="F873">
        <v>557</v>
      </c>
      <c r="G873">
        <v>14</v>
      </c>
      <c r="H873">
        <v>31</v>
      </c>
      <c r="I873">
        <v>17267</v>
      </c>
      <c r="J873">
        <v>863.35</v>
      </c>
      <c r="K873">
        <v>16403.650000000001</v>
      </c>
      <c r="L873">
        <v>7798</v>
      </c>
      <c r="M873">
        <v>8605.6500000000015</v>
      </c>
      <c r="N873">
        <v>45439</v>
      </c>
      <c r="O873">
        <v>5</v>
      </c>
      <c r="P873" t="s">
        <v>46</v>
      </c>
      <c r="Q873">
        <v>2024</v>
      </c>
    </row>
    <row r="874" spans="1:17" x14ac:dyDescent="0.3">
      <c r="A874" t="s">
        <v>16</v>
      </c>
      <c r="B874" t="s">
        <v>17</v>
      </c>
      <c r="C874" t="s">
        <v>18</v>
      </c>
      <c r="D874" t="s">
        <v>37</v>
      </c>
      <c r="E874" t="s">
        <v>32</v>
      </c>
      <c r="F874">
        <v>911</v>
      </c>
      <c r="G874">
        <v>12</v>
      </c>
      <c r="H874">
        <v>29</v>
      </c>
      <c r="I874">
        <v>26419</v>
      </c>
      <c r="J874">
        <v>1320.95</v>
      </c>
      <c r="K874">
        <v>25098.05</v>
      </c>
      <c r="L874">
        <v>10932</v>
      </c>
      <c r="M874">
        <v>14166.05</v>
      </c>
      <c r="N874">
        <v>45303</v>
      </c>
      <c r="O874">
        <v>1</v>
      </c>
      <c r="P874" t="s">
        <v>58</v>
      </c>
      <c r="Q874">
        <v>2024</v>
      </c>
    </row>
    <row r="875" spans="1:17" x14ac:dyDescent="0.3">
      <c r="A875" t="s">
        <v>16</v>
      </c>
      <c r="B875" t="s">
        <v>23</v>
      </c>
      <c r="C875" t="s">
        <v>28</v>
      </c>
      <c r="D875" t="s">
        <v>66</v>
      </c>
      <c r="E875" t="s">
        <v>32</v>
      </c>
      <c r="F875">
        <v>580</v>
      </c>
      <c r="G875">
        <v>11</v>
      </c>
      <c r="H875">
        <v>21</v>
      </c>
      <c r="I875">
        <v>12180</v>
      </c>
      <c r="J875">
        <v>609</v>
      </c>
      <c r="K875">
        <v>11571</v>
      </c>
      <c r="L875">
        <v>6380</v>
      </c>
      <c r="M875">
        <v>5191</v>
      </c>
      <c r="N875">
        <v>45340</v>
      </c>
      <c r="O875">
        <v>2</v>
      </c>
      <c r="P875" t="s">
        <v>52</v>
      </c>
      <c r="Q875">
        <v>2024</v>
      </c>
    </row>
    <row r="876" spans="1:17" x14ac:dyDescent="0.3">
      <c r="A876" t="s">
        <v>16</v>
      </c>
      <c r="B876" t="s">
        <v>17</v>
      </c>
      <c r="C876" t="s">
        <v>29</v>
      </c>
      <c r="D876" t="s">
        <v>113</v>
      </c>
      <c r="E876" t="s">
        <v>32</v>
      </c>
      <c r="F876">
        <v>84</v>
      </c>
      <c r="G876">
        <v>18</v>
      </c>
      <c r="H876">
        <v>23</v>
      </c>
      <c r="I876">
        <v>1932</v>
      </c>
      <c r="J876">
        <v>96.600000000000009</v>
      </c>
      <c r="K876">
        <v>1835.4</v>
      </c>
      <c r="L876">
        <v>1512</v>
      </c>
      <c r="M876">
        <v>323.40000000000009</v>
      </c>
      <c r="N876">
        <v>45303</v>
      </c>
      <c r="O876">
        <v>1</v>
      </c>
      <c r="P876" t="s">
        <v>58</v>
      </c>
      <c r="Q876">
        <v>2024</v>
      </c>
    </row>
    <row r="877" spans="1:17" x14ac:dyDescent="0.3">
      <c r="A877" t="s">
        <v>25</v>
      </c>
      <c r="B877" t="s">
        <v>20</v>
      </c>
      <c r="C877" t="s">
        <v>30</v>
      </c>
      <c r="D877" t="s">
        <v>81</v>
      </c>
      <c r="E877" t="s">
        <v>32</v>
      </c>
      <c r="F877">
        <v>709</v>
      </c>
      <c r="G877">
        <v>15</v>
      </c>
      <c r="H877">
        <v>25</v>
      </c>
      <c r="I877">
        <v>17725</v>
      </c>
      <c r="J877">
        <v>886.25</v>
      </c>
      <c r="K877">
        <v>16838.75</v>
      </c>
      <c r="L877">
        <v>10635</v>
      </c>
      <c r="M877">
        <v>6203.75</v>
      </c>
      <c r="N877">
        <v>45476</v>
      </c>
      <c r="O877">
        <v>7</v>
      </c>
      <c r="P877" t="s">
        <v>48</v>
      </c>
      <c r="Q877">
        <v>2024</v>
      </c>
    </row>
    <row r="878" spans="1:17" x14ac:dyDescent="0.3">
      <c r="A878" t="s">
        <v>21</v>
      </c>
      <c r="B878" t="s">
        <v>23</v>
      </c>
      <c r="C878" t="s">
        <v>24</v>
      </c>
      <c r="D878" t="s">
        <v>53</v>
      </c>
      <c r="E878" t="s">
        <v>32</v>
      </c>
      <c r="F878">
        <v>328</v>
      </c>
      <c r="G878">
        <v>16</v>
      </c>
      <c r="H878">
        <v>18</v>
      </c>
      <c r="I878">
        <v>5904</v>
      </c>
      <c r="J878">
        <v>295.2</v>
      </c>
      <c r="K878">
        <v>5608.8</v>
      </c>
      <c r="L878">
        <v>5248</v>
      </c>
      <c r="M878">
        <v>360.80000000000018</v>
      </c>
      <c r="N878">
        <v>45652</v>
      </c>
      <c r="O878">
        <v>12</v>
      </c>
      <c r="P878" t="s">
        <v>77</v>
      </c>
      <c r="Q878">
        <v>2024</v>
      </c>
    </row>
    <row r="879" spans="1:17" x14ac:dyDescent="0.3">
      <c r="A879" t="s">
        <v>21</v>
      </c>
      <c r="B879" t="s">
        <v>23</v>
      </c>
      <c r="C879" t="s">
        <v>28</v>
      </c>
      <c r="D879" t="s">
        <v>61</v>
      </c>
      <c r="E879" t="s">
        <v>32</v>
      </c>
      <c r="F879">
        <v>875</v>
      </c>
      <c r="G879">
        <v>13</v>
      </c>
      <c r="H879">
        <v>33</v>
      </c>
      <c r="I879">
        <v>28875</v>
      </c>
      <c r="J879">
        <v>1443.75</v>
      </c>
      <c r="K879">
        <v>27431.25</v>
      </c>
      <c r="L879">
        <v>11375</v>
      </c>
      <c r="M879">
        <v>16056.25</v>
      </c>
      <c r="N879">
        <v>45372</v>
      </c>
      <c r="O879">
        <v>3</v>
      </c>
      <c r="P879" t="s">
        <v>38</v>
      </c>
      <c r="Q879">
        <v>2024</v>
      </c>
    </row>
    <row r="880" spans="1:17" x14ac:dyDescent="0.3">
      <c r="A880" t="s">
        <v>21</v>
      </c>
      <c r="B880" t="s">
        <v>22</v>
      </c>
      <c r="C880" t="s">
        <v>28</v>
      </c>
      <c r="D880" t="s">
        <v>67</v>
      </c>
      <c r="E880" t="s">
        <v>32</v>
      </c>
      <c r="F880">
        <v>259</v>
      </c>
      <c r="G880">
        <v>16</v>
      </c>
      <c r="H880">
        <v>27</v>
      </c>
      <c r="I880">
        <v>6993</v>
      </c>
      <c r="J880">
        <v>349.65000000000003</v>
      </c>
      <c r="K880">
        <v>6643.35</v>
      </c>
      <c r="L880">
        <v>4144</v>
      </c>
      <c r="M880">
        <v>2499.3500000000004</v>
      </c>
      <c r="N880">
        <v>45664</v>
      </c>
      <c r="O880">
        <v>1</v>
      </c>
      <c r="P880" t="s">
        <v>58</v>
      </c>
      <c r="Q880">
        <v>2025</v>
      </c>
    </row>
    <row r="881" spans="1:17" x14ac:dyDescent="0.3">
      <c r="A881" t="s">
        <v>16</v>
      </c>
      <c r="B881" t="s">
        <v>36</v>
      </c>
      <c r="C881" t="s">
        <v>29</v>
      </c>
      <c r="D881" t="s">
        <v>134</v>
      </c>
      <c r="E881" t="s">
        <v>32</v>
      </c>
      <c r="F881">
        <v>913</v>
      </c>
      <c r="G881">
        <v>13</v>
      </c>
      <c r="H881">
        <v>38</v>
      </c>
      <c r="I881">
        <v>34694</v>
      </c>
      <c r="J881">
        <v>1734.7</v>
      </c>
      <c r="K881">
        <v>32959.300000000003</v>
      </c>
      <c r="L881">
        <v>11869</v>
      </c>
      <c r="M881">
        <v>21090.300000000003</v>
      </c>
      <c r="N881">
        <v>45527</v>
      </c>
      <c r="O881">
        <v>8</v>
      </c>
      <c r="P881" t="s">
        <v>62</v>
      </c>
      <c r="Q881">
        <v>2024</v>
      </c>
    </row>
    <row r="882" spans="1:17" x14ac:dyDescent="0.3">
      <c r="A882" t="s">
        <v>16</v>
      </c>
      <c r="B882" t="s">
        <v>17</v>
      </c>
      <c r="C882" t="s">
        <v>18</v>
      </c>
      <c r="D882" t="s">
        <v>37</v>
      </c>
      <c r="E882" t="s">
        <v>32</v>
      </c>
      <c r="F882">
        <v>898</v>
      </c>
      <c r="G882">
        <v>12</v>
      </c>
      <c r="H882">
        <v>29</v>
      </c>
      <c r="I882">
        <v>26042</v>
      </c>
      <c r="J882">
        <v>1302.1000000000001</v>
      </c>
      <c r="K882">
        <v>24739.9</v>
      </c>
      <c r="L882">
        <v>10776</v>
      </c>
      <c r="M882">
        <v>13963.900000000001</v>
      </c>
      <c r="N882">
        <v>45458</v>
      </c>
      <c r="O882">
        <v>6</v>
      </c>
      <c r="P882" t="s">
        <v>45</v>
      </c>
      <c r="Q882">
        <v>2024</v>
      </c>
    </row>
    <row r="883" spans="1:17" x14ac:dyDescent="0.3">
      <c r="A883" t="s">
        <v>27</v>
      </c>
      <c r="B883" t="s">
        <v>20</v>
      </c>
      <c r="C883" t="s">
        <v>18</v>
      </c>
      <c r="D883" t="s">
        <v>122</v>
      </c>
      <c r="E883" t="s">
        <v>32</v>
      </c>
      <c r="F883">
        <v>611</v>
      </c>
      <c r="G883">
        <v>15</v>
      </c>
      <c r="H883">
        <v>33</v>
      </c>
      <c r="I883">
        <v>20163</v>
      </c>
      <c r="J883">
        <v>1008.1500000000001</v>
      </c>
      <c r="K883">
        <v>19154.849999999999</v>
      </c>
      <c r="L883">
        <v>9165</v>
      </c>
      <c r="M883">
        <v>9989.8499999999985</v>
      </c>
      <c r="N883">
        <v>45398</v>
      </c>
      <c r="O883">
        <v>4</v>
      </c>
      <c r="P883" t="s">
        <v>75</v>
      </c>
      <c r="Q883">
        <v>2024</v>
      </c>
    </row>
    <row r="884" spans="1:17" x14ac:dyDescent="0.3">
      <c r="A884" t="s">
        <v>16</v>
      </c>
      <c r="B884" t="s">
        <v>36</v>
      </c>
      <c r="C884" t="s">
        <v>18</v>
      </c>
      <c r="D884" t="s">
        <v>97</v>
      </c>
      <c r="E884" t="s">
        <v>32</v>
      </c>
      <c r="F884">
        <v>688</v>
      </c>
      <c r="G884">
        <v>11</v>
      </c>
      <c r="H884">
        <v>19</v>
      </c>
      <c r="I884">
        <v>13072</v>
      </c>
      <c r="J884">
        <v>653.6</v>
      </c>
      <c r="K884">
        <v>12418.4</v>
      </c>
      <c r="L884">
        <v>7568</v>
      </c>
      <c r="M884">
        <v>4850.3999999999996</v>
      </c>
      <c r="N884">
        <v>45307</v>
      </c>
      <c r="O884">
        <v>1</v>
      </c>
      <c r="P884" t="s">
        <v>58</v>
      </c>
      <c r="Q884">
        <v>2024</v>
      </c>
    </row>
    <row r="885" spans="1:17" x14ac:dyDescent="0.3">
      <c r="A885" t="s">
        <v>21</v>
      </c>
      <c r="B885" t="s">
        <v>17</v>
      </c>
      <c r="C885" t="s">
        <v>24</v>
      </c>
      <c r="D885" t="s">
        <v>152</v>
      </c>
      <c r="E885" t="s">
        <v>32</v>
      </c>
      <c r="F885">
        <v>846</v>
      </c>
      <c r="G885">
        <v>16</v>
      </c>
      <c r="H885">
        <v>24</v>
      </c>
      <c r="I885">
        <v>20304</v>
      </c>
      <c r="J885">
        <v>1015.2</v>
      </c>
      <c r="K885">
        <v>19288.8</v>
      </c>
      <c r="L885">
        <v>13536</v>
      </c>
      <c r="M885">
        <v>5752.7999999999993</v>
      </c>
      <c r="N885">
        <v>45604</v>
      </c>
      <c r="O885">
        <v>11</v>
      </c>
      <c r="P885" t="s">
        <v>43</v>
      </c>
      <c r="Q885">
        <v>2024</v>
      </c>
    </row>
    <row r="886" spans="1:17" x14ac:dyDescent="0.3">
      <c r="A886" t="s">
        <v>27</v>
      </c>
      <c r="B886" t="s">
        <v>20</v>
      </c>
      <c r="C886" t="s">
        <v>24</v>
      </c>
      <c r="D886" t="s">
        <v>153</v>
      </c>
      <c r="E886" t="s">
        <v>32</v>
      </c>
      <c r="F886">
        <v>916</v>
      </c>
      <c r="G886">
        <v>14</v>
      </c>
      <c r="H886">
        <v>16</v>
      </c>
      <c r="I886">
        <v>14656</v>
      </c>
      <c r="J886">
        <v>732.80000000000007</v>
      </c>
      <c r="K886">
        <v>13923.2</v>
      </c>
      <c r="L886">
        <v>12824</v>
      </c>
      <c r="M886">
        <v>1099.2000000000007</v>
      </c>
      <c r="N886">
        <v>45508</v>
      </c>
      <c r="O886">
        <v>8</v>
      </c>
      <c r="P886" t="s">
        <v>62</v>
      </c>
      <c r="Q886">
        <v>2024</v>
      </c>
    </row>
    <row r="887" spans="1:17" x14ac:dyDescent="0.3">
      <c r="A887" t="s">
        <v>16</v>
      </c>
      <c r="B887" t="s">
        <v>17</v>
      </c>
      <c r="C887" t="s">
        <v>24</v>
      </c>
      <c r="D887" t="s">
        <v>105</v>
      </c>
      <c r="E887" t="s">
        <v>32</v>
      </c>
      <c r="F887">
        <v>334</v>
      </c>
      <c r="G887">
        <v>12</v>
      </c>
      <c r="H887">
        <v>26</v>
      </c>
      <c r="I887">
        <v>8684</v>
      </c>
      <c r="J887">
        <v>434.20000000000005</v>
      </c>
      <c r="K887">
        <v>8249.7999999999993</v>
      </c>
      <c r="L887">
        <v>4008</v>
      </c>
      <c r="M887">
        <v>4241.7999999999993</v>
      </c>
      <c r="N887">
        <v>45184</v>
      </c>
      <c r="O887">
        <v>9</v>
      </c>
      <c r="P887" t="s">
        <v>40</v>
      </c>
      <c r="Q887">
        <v>2023</v>
      </c>
    </row>
    <row r="888" spans="1:17" x14ac:dyDescent="0.3">
      <c r="A888" t="s">
        <v>27</v>
      </c>
      <c r="B888" t="s">
        <v>20</v>
      </c>
      <c r="C888" t="s">
        <v>24</v>
      </c>
      <c r="D888" t="s">
        <v>153</v>
      </c>
      <c r="E888" t="s">
        <v>32</v>
      </c>
      <c r="F888">
        <v>227</v>
      </c>
      <c r="G888">
        <v>14</v>
      </c>
      <c r="H888">
        <v>16</v>
      </c>
      <c r="I888">
        <v>3632</v>
      </c>
      <c r="J888">
        <v>181.60000000000002</v>
      </c>
      <c r="K888">
        <v>3450.4</v>
      </c>
      <c r="L888">
        <v>3178</v>
      </c>
      <c r="M888">
        <v>272.40000000000009</v>
      </c>
      <c r="N888">
        <v>45742</v>
      </c>
      <c r="O888">
        <v>3</v>
      </c>
      <c r="P888" t="s">
        <v>38</v>
      </c>
      <c r="Q888">
        <v>2025</v>
      </c>
    </row>
    <row r="889" spans="1:17" x14ac:dyDescent="0.3">
      <c r="A889" t="s">
        <v>26</v>
      </c>
      <c r="B889" t="s">
        <v>23</v>
      </c>
      <c r="C889" t="s">
        <v>24</v>
      </c>
      <c r="D889" t="s">
        <v>126</v>
      </c>
      <c r="E889" t="s">
        <v>32</v>
      </c>
      <c r="F889">
        <v>620</v>
      </c>
      <c r="G889">
        <v>19</v>
      </c>
      <c r="H889">
        <v>33</v>
      </c>
      <c r="I889">
        <v>20460</v>
      </c>
      <c r="J889">
        <v>1023</v>
      </c>
      <c r="K889">
        <v>19437</v>
      </c>
      <c r="L889">
        <v>11780</v>
      </c>
      <c r="M889">
        <v>7657</v>
      </c>
      <c r="N889">
        <v>45297</v>
      </c>
      <c r="O889">
        <v>1</v>
      </c>
      <c r="P889" t="s">
        <v>58</v>
      </c>
      <c r="Q889">
        <v>2024</v>
      </c>
    </row>
    <row r="890" spans="1:17" x14ac:dyDescent="0.3">
      <c r="A890" t="s">
        <v>16</v>
      </c>
      <c r="B890" t="s">
        <v>17</v>
      </c>
      <c r="C890" t="s">
        <v>28</v>
      </c>
      <c r="D890" t="s">
        <v>60</v>
      </c>
      <c r="E890" t="s">
        <v>32</v>
      </c>
      <c r="F890">
        <v>144</v>
      </c>
      <c r="G890">
        <v>17</v>
      </c>
      <c r="H890">
        <v>38</v>
      </c>
      <c r="I890">
        <v>5472</v>
      </c>
      <c r="J890">
        <v>273.60000000000002</v>
      </c>
      <c r="K890">
        <v>5198.3999999999996</v>
      </c>
      <c r="L890">
        <v>2448</v>
      </c>
      <c r="M890">
        <v>2750.3999999999996</v>
      </c>
      <c r="N890">
        <v>45594</v>
      </c>
      <c r="O890">
        <v>10</v>
      </c>
      <c r="P890" t="s">
        <v>55</v>
      </c>
      <c r="Q890">
        <v>2024</v>
      </c>
    </row>
    <row r="891" spans="1:17" x14ac:dyDescent="0.3">
      <c r="A891" t="s">
        <v>26</v>
      </c>
      <c r="B891" t="s">
        <v>20</v>
      </c>
      <c r="C891" t="s">
        <v>28</v>
      </c>
      <c r="D891" t="s">
        <v>129</v>
      </c>
      <c r="E891" t="s">
        <v>32</v>
      </c>
      <c r="F891">
        <v>111</v>
      </c>
      <c r="G891">
        <v>12</v>
      </c>
      <c r="H891">
        <v>31</v>
      </c>
      <c r="I891">
        <v>3441</v>
      </c>
      <c r="J891">
        <v>172.05</v>
      </c>
      <c r="K891">
        <v>3268.95</v>
      </c>
      <c r="L891">
        <v>1332</v>
      </c>
      <c r="M891">
        <v>1936.9499999999998</v>
      </c>
      <c r="N891">
        <v>45176</v>
      </c>
      <c r="O891">
        <v>9</v>
      </c>
      <c r="P891" t="s">
        <v>40</v>
      </c>
      <c r="Q891">
        <v>2023</v>
      </c>
    </row>
    <row r="892" spans="1:17" x14ac:dyDescent="0.3">
      <c r="A892" t="s">
        <v>27</v>
      </c>
      <c r="B892" t="s">
        <v>20</v>
      </c>
      <c r="C892" t="s">
        <v>28</v>
      </c>
      <c r="D892" t="s">
        <v>128</v>
      </c>
      <c r="E892" t="s">
        <v>32</v>
      </c>
      <c r="F892">
        <v>306</v>
      </c>
      <c r="G892">
        <v>14</v>
      </c>
      <c r="H892">
        <v>16</v>
      </c>
      <c r="I892">
        <v>4896</v>
      </c>
      <c r="J892">
        <v>244.8</v>
      </c>
      <c r="K892">
        <v>4651.2</v>
      </c>
      <c r="L892">
        <v>4284</v>
      </c>
      <c r="M892">
        <v>367.19999999999982</v>
      </c>
      <c r="N892">
        <v>45185</v>
      </c>
      <c r="O892">
        <v>9</v>
      </c>
      <c r="P892" t="s">
        <v>40</v>
      </c>
      <c r="Q892">
        <v>2023</v>
      </c>
    </row>
    <row r="893" spans="1:17" x14ac:dyDescent="0.3">
      <c r="A893" t="s">
        <v>27</v>
      </c>
      <c r="B893" t="s">
        <v>36</v>
      </c>
      <c r="C893" t="s">
        <v>28</v>
      </c>
      <c r="D893" t="s">
        <v>112</v>
      </c>
      <c r="E893" t="s">
        <v>32</v>
      </c>
      <c r="F893">
        <v>447</v>
      </c>
      <c r="G893">
        <v>10</v>
      </c>
      <c r="H893">
        <v>19</v>
      </c>
      <c r="I893">
        <v>8493</v>
      </c>
      <c r="J893">
        <v>424.65000000000003</v>
      </c>
      <c r="K893">
        <v>8068.35</v>
      </c>
      <c r="L893">
        <v>4470</v>
      </c>
      <c r="M893">
        <v>3598.3500000000004</v>
      </c>
      <c r="N893">
        <v>45508</v>
      </c>
      <c r="O893">
        <v>8</v>
      </c>
      <c r="P893" t="s">
        <v>62</v>
      </c>
      <c r="Q893">
        <v>2024</v>
      </c>
    </row>
    <row r="894" spans="1:17" x14ac:dyDescent="0.3">
      <c r="A894" t="s">
        <v>16</v>
      </c>
      <c r="B894" t="s">
        <v>36</v>
      </c>
      <c r="C894" t="s">
        <v>28</v>
      </c>
      <c r="D894" t="s">
        <v>69</v>
      </c>
      <c r="E894" t="s">
        <v>32</v>
      </c>
      <c r="F894">
        <v>463</v>
      </c>
      <c r="G894">
        <v>20</v>
      </c>
      <c r="H894">
        <v>25</v>
      </c>
      <c r="I894">
        <v>11575</v>
      </c>
      <c r="J894">
        <v>578.75</v>
      </c>
      <c r="K894">
        <v>10996.25</v>
      </c>
      <c r="L894">
        <v>9260</v>
      </c>
      <c r="M894">
        <v>1736.25</v>
      </c>
      <c r="N894">
        <v>45376</v>
      </c>
      <c r="O894">
        <v>3</v>
      </c>
      <c r="P894" t="s">
        <v>38</v>
      </c>
      <c r="Q894">
        <v>2024</v>
      </c>
    </row>
    <row r="895" spans="1:17" x14ac:dyDescent="0.3">
      <c r="A895" t="s">
        <v>26</v>
      </c>
      <c r="B895" t="s">
        <v>22</v>
      </c>
      <c r="C895" t="s">
        <v>28</v>
      </c>
      <c r="D895" t="s">
        <v>109</v>
      </c>
      <c r="E895" t="s">
        <v>32</v>
      </c>
      <c r="F895">
        <v>269</v>
      </c>
      <c r="G895">
        <v>20</v>
      </c>
      <c r="H895">
        <v>21</v>
      </c>
      <c r="I895">
        <v>5649</v>
      </c>
      <c r="J895">
        <v>282.45</v>
      </c>
      <c r="K895">
        <v>5366.55</v>
      </c>
      <c r="L895">
        <v>5380</v>
      </c>
      <c r="M895">
        <v>-13.449999999999818</v>
      </c>
      <c r="N895">
        <v>45394</v>
      </c>
      <c r="O895">
        <v>4</v>
      </c>
      <c r="P895" t="s">
        <v>75</v>
      </c>
      <c r="Q895">
        <v>2024</v>
      </c>
    </row>
    <row r="896" spans="1:17" x14ac:dyDescent="0.3">
      <c r="A896" t="s">
        <v>21</v>
      </c>
      <c r="B896" t="s">
        <v>17</v>
      </c>
      <c r="C896" t="s">
        <v>28</v>
      </c>
      <c r="D896" t="s">
        <v>71</v>
      </c>
      <c r="E896" t="s">
        <v>32</v>
      </c>
      <c r="F896">
        <v>706</v>
      </c>
      <c r="G896">
        <v>17</v>
      </c>
      <c r="H896">
        <v>25</v>
      </c>
      <c r="I896">
        <v>17650</v>
      </c>
      <c r="J896">
        <v>882.5</v>
      </c>
      <c r="K896">
        <v>16767.5</v>
      </c>
      <c r="L896">
        <v>12002</v>
      </c>
      <c r="M896">
        <v>4765.5</v>
      </c>
      <c r="N896">
        <v>45257</v>
      </c>
      <c r="O896">
        <v>11</v>
      </c>
      <c r="P896" t="s">
        <v>43</v>
      </c>
      <c r="Q896">
        <v>2023</v>
      </c>
    </row>
    <row r="897" spans="1:17" x14ac:dyDescent="0.3">
      <c r="A897" t="s">
        <v>16</v>
      </c>
      <c r="B897" t="s">
        <v>17</v>
      </c>
      <c r="C897" t="s">
        <v>28</v>
      </c>
      <c r="D897" t="s">
        <v>60</v>
      </c>
      <c r="E897" t="s">
        <v>32</v>
      </c>
      <c r="F897">
        <v>926</v>
      </c>
      <c r="G897">
        <v>17</v>
      </c>
      <c r="H897">
        <v>38</v>
      </c>
      <c r="I897">
        <v>35188</v>
      </c>
      <c r="J897">
        <v>1759.4</v>
      </c>
      <c r="K897">
        <v>33428.6</v>
      </c>
      <c r="L897">
        <v>15742</v>
      </c>
      <c r="M897">
        <v>17686.599999999999</v>
      </c>
      <c r="N897">
        <v>45574</v>
      </c>
      <c r="O897">
        <v>10</v>
      </c>
      <c r="P897" t="s">
        <v>55</v>
      </c>
      <c r="Q897">
        <v>2024</v>
      </c>
    </row>
    <row r="898" spans="1:17" x14ac:dyDescent="0.3">
      <c r="A898" t="s">
        <v>16</v>
      </c>
      <c r="B898" t="s">
        <v>36</v>
      </c>
      <c r="C898" t="s">
        <v>28</v>
      </c>
      <c r="D898" t="s">
        <v>69</v>
      </c>
      <c r="E898" t="s">
        <v>32</v>
      </c>
      <c r="F898">
        <v>322</v>
      </c>
      <c r="G898">
        <v>20</v>
      </c>
      <c r="H898">
        <v>25</v>
      </c>
      <c r="I898">
        <v>8050</v>
      </c>
      <c r="J898">
        <v>402.5</v>
      </c>
      <c r="K898">
        <v>7647.5</v>
      </c>
      <c r="L898">
        <v>6440</v>
      </c>
      <c r="M898">
        <v>1207.5</v>
      </c>
      <c r="N898">
        <v>45383</v>
      </c>
      <c r="O898">
        <v>4</v>
      </c>
      <c r="P898" t="s">
        <v>75</v>
      </c>
      <c r="Q898">
        <v>2024</v>
      </c>
    </row>
    <row r="899" spans="1:17" x14ac:dyDescent="0.3">
      <c r="A899" t="s">
        <v>21</v>
      </c>
      <c r="B899" t="s">
        <v>36</v>
      </c>
      <c r="C899" t="s">
        <v>28</v>
      </c>
      <c r="D899" t="s">
        <v>107</v>
      </c>
      <c r="E899" t="s">
        <v>32</v>
      </c>
      <c r="F899">
        <v>385</v>
      </c>
      <c r="G899">
        <v>13</v>
      </c>
      <c r="H899">
        <v>31</v>
      </c>
      <c r="I899">
        <v>11935</v>
      </c>
      <c r="J899">
        <v>596.75</v>
      </c>
      <c r="K899">
        <v>11338.25</v>
      </c>
      <c r="L899">
        <v>5005</v>
      </c>
      <c r="M899">
        <v>6333.25</v>
      </c>
      <c r="N899">
        <v>45381</v>
      </c>
      <c r="O899">
        <v>3</v>
      </c>
      <c r="P899" t="s">
        <v>38</v>
      </c>
      <c r="Q899">
        <v>2024</v>
      </c>
    </row>
    <row r="900" spans="1:17" x14ac:dyDescent="0.3">
      <c r="A900" t="s">
        <v>21</v>
      </c>
      <c r="B900" t="s">
        <v>23</v>
      </c>
      <c r="C900" t="s">
        <v>28</v>
      </c>
      <c r="D900" t="s">
        <v>61</v>
      </c>
      <c r="E900" t="s">
        <v>32</v>
      </c>
      <c r="F900">
        <v>464</v>
      </c>
      <c r="G900">
        <v>13</v>
      </c>
      <c r="H900">
        <v>33</v>
      </c>
      <c r="I900">
        <v>15312</v>
      </c>
      <c r="J900">
        <v>765.6</v>
      </c>
      <c r="K900">
        <v>14546.4</v>
      </c>
      <c r="L900">
        <v>6032</v>
      </c>
      <c r="M900">
        <v>8514.4</v>
      </c>
      <c r="N900">
        <v>45136</v>
      </c>
      <c r="O900">
        <v>7</v>
      </c>
      <c r="P900" t="s">
        <v>48</v>
      </c>
      <c r="Q900">
        <v>2023</v>
      </c>
    </row>
    <row r="901" spans="1:17" x14ac:dyDescent="0.3">
      <c r="A901" t="s">
        <v>16</v>
      </c>
      <c r="B901" t="s">
        <v>36</v>
      </c>
      <c r="C901" t="s">
        <v>28</v>
      </c>
      <c r="D901" t="s">
        <v>69</v>
      </c>
      <c r="E901" t="s">
        <v>32</v>
      </c>
      <c r="F901">
        <v>719</v>
      </c>
      <c r="G901">
        <v>20</v>
      </c>
      <c r="H901">
        <v>25</v>
      </c>
      <c r="I901">
        <v>17975</v>
      </c>
      <c r="J901">
        <v>898.75</v>
      </c>
      <c r="K901">
        <v>17076.25</v>
      </c>
      <c r="L901">
        <v>14380</v>
      </c>
      <c r="M901">
        <v>2696.25</v>
      </c>
      <c r="N901">
        <v>45712</v>
      </c>
      <c r="O901">
        <v>2</v>
      </c>
      <c r="P901" t="s">
        <v>52</v>
      </c>
      <c r="Q901">
        <v>2025</v>
      </c>
    </row>
    <row r="902" spans="1:17" x14ac:dyDescent="0.3">
      <c r="A902" t="s">
        <v>26</v>
      </c>
      <c r="B902" t="s">
        <v>23</v>
      </c>
      <c r="C902" t="s">
        <v>28</v>
      </c>
      <c r="D902" t="s">
        <v>110</v>
      </c>
      <c r="E902" t="s">
        <v>32</v>
      </c>
      <c r="F902">
        <v>439</v>
      </c>
      <c r="G902">
        <v>20</v>
      </c>
      <c r="H902">
        <v>25</v>
      </c>
      <c r="I902">
        <v>10975</v>
      </c>
      <c r="J902">
        <v>548.75</v>
      </c>
      <c r="K902">
        <v>10426.25</v>
      </c>
      <c r="L902">
        <v>8780</v>
      </c>
      <c r="M902">
        <v>1646.25</v>
      </c>
      <c r="N902">
        <v>45074</v>
      </c>
      <c r="O902">
        <v>5</v>
      </c>
      <c r="P902" t="s">
        <v>46</v>
      </c>
      <c r="Q902">
        <v>2023</v>
      </c>
    </row>
    <row r="903" spans="1:17" x14ac:dyDescent="0.3">
      <c r="A903" t="s">
        <v>25</v>
      </c>
      <c r="B903" t="s">
        <v>36</v>
      </c>
      <c r="C903" t="s">
        <v>29</v>
      </c>
      <c r="D903" t="s">
        <v>154</v>
      </c>
      <c r="E903" t="s">
        <v>32</v>
      </c>
      <c r="F903">
        <v>280</v>
      </c>
      <c r="G903">
        <v>19</v>
      </c>
      <c r="H903">
        <v>28</v>
      </c>
      <c r="I903">
        <v>7840</v>
      </c>
      <c r="J903">
        <v>392</v>
      </c>
      <c r="K903">
        <v>7448</v>
      </c>
      <c r="L903">
        <v>5320</v>
      </c>
      <c r="M903">
        <v>2128</v>
      </c>
      <c r="N903">
        <v>45670</v>
      </c>
      <c r="O903">
        <v>1</v>
      </c>
      <c r="P903" t="s">
        <v>58</v>
      </c>
      <c r="Q903">
        <v>2025</v>
      </c>
    </row>
    <row r="904" spans="1:17" x14ac:dyDescent="0.3">
      <c r="A904" t="s">
        <v>16</v>
      </c>
      <c r="B904" t="s">
        <v>17</v>
      </c>
      <c r="C904" t="s">
        <v>29</v>
      </c>
      <c r="D904" t="s">
        <v>113</v>
      </c>
      <c r="E904" t="s">
        <v>32</v>
      </c>
      <c r="F904">
        <v>488</v>
      </c>
      <c r="G904">
        <v>18</v>
      </c>
      <c r="H904">
        <v>23</v>
      </c>
      <c r="I904">
        <v>11224</v>
      </c>
      <c r="J904">
        <v>561.20000000000005</v>
      </c>
      <c r="K904">
        <v>10662.8</v>
      </c>
      <c r="L904">
        <v>8784</v>
      </c>
      <c r="M904">
        <v>1878.7999999999993</v>
      </c>
      <c r="N904">
        <v>45505</v>
      </c>
      <c r="O904">
        <v>8</v>
      </c>
      <c r="P904" t="s">
        <v>62</v>
      </c>
      <c r="Q904">
        <v>2024</v>
      </c>
    </row>
    <row r="905" spans="1:17" x14ac:dyDescent="0.3">
      <c r="A905" t="s">
        <v>16</v>
      </c>
      <c r="B905" t="s">
        <v>22</v>
      </c>
      <c r="C905" t="s">
        <v>29</v>
      </c>
      <c r="D905" t="s">
        <v>94</v>
      </c>
      <c r="E905" t="s">
        <v>32</v>
      </c>
      <c r="F905">
        <v>300</v>
      </c>
      <c r="G905">
        <v>19</v>
      </c>
      <c r="H905">
        <v>22</v>
      </c>
      <c r="I905">
        <v>6600</v>
      </c>
      <c r="J905">
        <v>330</v>
      </c>
      <c r="K905">
        <v>6270</v>
      </c>
      <c r="L905">
        <v>5700</v>
      </c>
      <c r="M905">
        <v>570</v>
      </c>
      <c r="N905">
        <v>45164</v>
      </c>
      <c r="O905">
        <v>8</v>
      </c>
      <c r="P905" t="s">
        <v>62</v>
      </c>
      <c r="Q905">
        <v>2023</v>
      </c>
    </row>
    <row r="906" spans="1:17" x14ac:dyDescent="0.3">
      <c r="A906" t="s">
        <v>25</v>
      </c>
      <c r="B906" t="s">
        <v>22</v>
      </c>
      <c r="C906" t="s">
        <v>30</v>
      </c>
      <c r="D906" t="s">
        <v>155</v>
      </c>
      <c r="E906" t="s">
        <v>32</v>
      </c>
      <c r="F906">
        <v>223</v>
      </c>
      <c r="G906">
        <v>15</v>
      </c>
      <c r="H906">
        <v>36</v>
      </c>
      <c r="I906">
        <v>8028</v>
      </c>
      <c r="J906">
        <v>401.40000000000003</v>
      </c>
      <c r="K906">
        <v>7626.6</v>
      </c>
      <c r="L906">
        <v>3345</v>
      </c>
      <c r="M906">
        <v>4281.6000000000004</v>
      </c>
      <c r="N906">
        <v>45655</v>
      </c>
      <c r="O906">
        <v>12</v>
      </c>
      <c r="P906" t="s">
        <v>77</v>
      </c>
      <c r="Q906">
        <v>2024</v>
      </c>
    </row>
    <row r="907" spans="1:17" x14ac:dyDescent="0.3">
      <c r="A907" t="s">
        <v>16</v>
      </c>
      <c r="B907" t="s">
        <v>36</v>
      </c>
      <c r="C907" t="s">
        <v>30</v>
      </c>
      <c r="D907" t="s">
        <v>141</v>
      </c>
      <c r="E907" t="s">
        <v>32</v>
      </c>
      <c r="F907">
        <v>682</v>
      </c>
      <c r="G907">
        <v>13</v>
      </c>
      <c r="H907">
        <v>25</v>
      </c>
      <c r="I907">
        <v>17050</v>
      </c>
      <c r="J907">
        <v>852.5</v>
      </c>
      <c r="K907">
        <v>16197.5</v>
      </c>
      <c r="L907">
        <v>8866</v>
      </c>
      <c r="M907">
        <v>7331.5</v>
      </c>
      <c r="N907">
        <v>45269</v>
      </c>
      <c r="O907">
        <v>12</v>
      </c>
      <c r="P907" t="s">
        <v>77</v>
      </c>
      <c r="Q907">
        <v>2023</v>
      </c>
    </row>
    <row r="908" spans="1:17" x14ac:dyDescent="0.3">
      <c r="A908" t="s">
        <v>16</v>
      </c>
      <c r="B908" t="s">
        <v>22</v>
      </c>
      <c r="C908" t="s">
        <v>30</v>
      </c>
      <c r="D908" t="s">
        <v>84</v>
      </c>
      <c r="E908" t="s">
        <v>32</v>
      </c>
      <c r="F908">
        <v>949</v>
      </c>
      <c r="G908">
        <v>20</v>
      </c>
      <c r="H908">
        <v>23</v>
      </c>
      <c r="I908">
        <v>21827</v>
      </c>
      <c r="J908">
        <v>1091.3500000000001</v>
      </c>
      <c r="K908">
        <v>20735.650000000001</v>
      </c>
      <c r="L908">
        <v>18980</v>
      </c>
      <c r="M908">
        <v>1755.6500000000015</v>
      </c>
      <c r="N908">
        <v>45538</v>
      </c>
      <c r="O908">
        <v>9</v>
      </c>
      <c r="P908" t="s">
        <v>40</v>
      </c>
      <c r="Q908">
        <v>2024</v>
      </c>
    </row>
    <row r="909" spans="1:17" x14ac:dyDescent="0.3">
      <c r="A909" t="s">
        <v>21</v>
      </c>
      <c r="B909" t="s">
        <v>23</v>
      </c>
      <c r="C909" t="s">
        <v>30</v>
      </c>
      <c r="D909" t="s">
        <v>156</v>
      </c>
      <c r="E909" t="s">
        <v>32</v>
      </c>
      <c r="F909">
        <v>454</v>
      </c>
      <c r="G909">
        <v>12</v>
      </c>
      <c r="H909">
        <v>28</v>
      </c>
      <c r="I909">
        <v>12712</v>
      </c>
      <c r="J909">
        <v>635.6</v>
      </c>
      <c r="K909">
        <v>12076.4</v>
      </c>
      <c r="L909">
        <v>5448</v>
      </c>
      <c r="M909">
        <v>6628.4</v>
      </c>
      <c r="N909">
        <v>45452</v>
      </c>
      <c r="O909">
        <v>6</v>
      </c>
      <c r="P909" t="s">
        <v>45</v>
      </c>
      <c r="Q909">
        <v>2024</v>
      </c>
    </row>
    <row r="910" spans="1:17" x14ac:dyDescent="0.3">
      <c r="A910" t="s">
        <v>16</v>
      </c>
      <c r="B910" t="s">
        <v>23</v>
      </c>
      <c r="C910" t="s">
        <v>31</v>
      </c>
      <c r="D910" t="s">
        <v>157</v>
      </c>
      <c r="E910" t="s">
        <v>32</v>
      </c>
      <c r="F910">
        <v>886</v>
      </c>
      <c r="G910">
        <v>14</v>
      </c>
      <c r="H910">
        <v>32</v>
      </c>
      <c r="I910">
        <v>28352</v>
      </c>
      <c r="J910">
        <v>1417.6000000000001</v>
      </c>
      <c r="K910">
        <v>26934.400000000001</v>
      </c>
      <c r="L910">
        <v>12404</v>
      </c>
      <c r="M910">
        <v>14530.400000000001</v>
      </c>
      <c r="N910">
        <v>45435</v>
      </c>
      <c r="O910">
        <v>5</v>
      </c>
      <c r="P910" t="s">
        <v>46</v>
      </c>
      <c r="Q910">
        <v>2024</v>
      </c>
    </row>
    <row r="911" spans="1:17" x14ac:dyDescent="0.3">
      <c r="A911" t="s">
        <v>26</v>
      </c>
      <c r="B911" t="s">
        <v>23</v>
      </c>
      <c r="C911" t="s">
        <v>31</v>
      </c>
      <c r="D911" t="s">
        <v>158</v>
      </c>
      <c r="E911" t="s">
        <v>32</v>
      </c>
      <c r="F911">
        <v>878</v>
      </c>
      <c r="G911">
        <v>20</v>
      </c>
      <c r="H911">
        <v>35</v>
      </c>
      <c r="I911">
        <v>30730</v>
      </c>
      <c r="J911">
        <v>1536.5</v>
      </c>
      <c r="K911">
        <v>29193.5</v>
      </c>
      <c r="L911">
        <v>17560</v>
      </c>
      <c r="M911">
        <v>11633.5</v>
      </c>
      <c r="N911">
        <v>45502</v>
      </c>
      <c r="O911">
        <v>7</v>
      </c>
      <c r="P911" t="s">
        <v>48</v>
      </c>
      <c r="Q911">
        <v>2024</v>
      </c>
    </row>
    <row r="912" spans="1:17" x14ac:dyDescent="0.3">
      <c r="A912" t="s">
        <v>16</v>
      </c>
      <c r="B912" t="s">
        <v>20</v>
      </c>
      <c r="C912" t="s">
        <v>31</v>
      </c>
      <c r="D912" t="s">
        <v>90</v>
      </c>
      <c r="E912" t="s">
        <v>32</v>
      </c>
      <c r="F912">
        <v>261</v>
      </c>
      <c r="G912">
        <v>19</v>
      </c>
      <c r="H912">
        <v>17</v>
      </c>
      <c r="I912">
        <v>4437</v>
      </c>
      <c r="J912">
        <v>221.85000000000002</v>
      </c>
      <c r="K912">
        <v>4215.1499999999996</v>
      </c>
      <c r="L912">
        <v>4959</v>
      </c>
      <c r="M912">
        <v>-743.85000000000036</v>
      </c>
      <c r="N912">
        <v>45486</v>
      </c>
      <c r="O912">
        <v>7</v>
      </c>
      <c r="P912" t="s">
        <v>48</v>
      </c>
      <c r="Q912">
        <v>2024</v>
      </c>
    </row>
    <row r="913" spans="1:17" x14ac:dyDescent="0.3">
      <c r="A913" t="s">
        <v>21</v>
      </c>
      <c r="B913" t="s">
        <v>36</v>
      </c>
      <c r="C913" t="s">
        <v>31</v>
      </c>
      <c r="D913" t="s">
        <v>92</v>
      </c>
      <c r="E913" t="s">
        <v>32</v>
      </c>
      <c r="F913">
        <v>311</v>
      </c>
      <c r="G913">
        <v>10</v>
      </c>
      <c r="H913">
        <v>20</v>
      </c>
      <c r="I913">
        <v>6220</v>
      </c>
      <c r="J913">
        <v>311</v>
      </c>
      <c r="K913">
        <v>5909</v>
      </c>
      <c r="L913">
        <v>3110</v>
      </c>
      <c r="M913">
        <v>2799</v>
      </c>
      <c r="N913">
        <v>45094</v>
      </c>
      <c r="O913">
        <v>6</v>
      </c>
      <c r="P913" t="s">
        <v>45</v>
      </c>
      <c r="Q913">
        <v>2023</v>
      </c>
    </row>
    <row r="914" spans="1:17" x14ac:dyDescent="0.3">
      <c r="A914" t="s">
        <v>16</v>
      </c>
      <c r="B914" t="s">
        <v>17</v>
      </c>
      <c r="C914" t="s">
        <v>31</v>
      </c>
      <c r="D914" t="s">
        <v>159</v>
      </c>
      <c r="E914" t="s">
        <v>32</v>
      </c>
      <c r="F914">
        <v>756</v>
      </c>
      <c r="G914">
        <v>19</v>
      </c>
      <c r="H914">
        <v>38</v>
      </c>
      <c r="I914">
        <v>28728</v>
      </c>
      <c r="J914">
        <v>1436.4</v>
      </c>
      <c r="K914">
        <v>27291.599999999999</v>
      </c>
      <c r="L914">
        <v>14364</v>
      </c>
      <c r="M914">
        <v>12927.599999999999</v>
      </c>
      <c r="N914">
        <v>45715</v>
      </c>
      <c r="O914">
        <v>2</v>
      </c>
      <c r="P914" t="s">
        <v>52</v>
      </c>
      <c r="Q914">
        <v>2025</v>
      </c>
    </row>
    <row r="915" spans="1:17" x14ac:dyDescent="0.3">
      <c r="A915" t="s">
        <v>16</v>
      </c>
      <c r="B915" t="s">
        <v>20</v>
      </c>
      <c r="C915" t="s">
        <v>24</v>
      </c>
      <c r="D915" t="s">
        <v>57</v>
      </c>
      <c r="E915" t="s">
        <v>33</v>
      </c>
      <c r="F915">
        <v>806</v>
      </c>
      <c r="G915">
        <v>16</v>
      </c>
      <c r="H915">
        <v>31</v>
      </c>
      <c r="I915">
        <v>24986</v>
      </c>
      <c r="J915">
        <v>1249.3000000000002</v>
      </c>
      <c r="K915">
        <v>23736.7</v>
      </c>
      <c r="L915">
        <v>12896</v>
      </c>
      <c r="M915">
        <v>10840.7</v>
      </c>
      <c r="N915">
        <v>45597</v>
      </c>
      <c r="O915">
        <v>11</v>
      </c>
      <c r="P915" t="s">
        <v>43</v>
      </c>
      <c r="Q915">
        <v>2024</v>
      </c>
    </row>
    <row r="916" spans="1:17" x14ac:dyDescent="0.3">
      <c r="A916" t="s">
        <v>16</v>
      </c>
      <c r="B916" t="s">
        <v>20</v>
      </c>
      <c r="C916" t="s">
        <v>28</v>
      </c>
      <c r="D916" t="s">
        <v>64</v>
      </c>
      <c r="E916" t="s">
        <v>33</v>
      </c>
      <c r="F916">
        <v>257</v>
      </c>
      <c r="G916">
        <v>14</v>
      </c>
      <c r="H916">
        <v>22</v>
      </c>
      <c r="I916">
        <v>5654</v>
      </c>
      <c r="J916">
        <v>282.7</v>
      </c>
      <c r="K916">
        <v>5371.3</v>
      </c>
      <c r="L916">
        <v>3598</v>
      </c>
      <c r="M916">
        <v>1773.3000000000002</v>
      </c>
      <c r="N916">
        <v>45060</v>
      </c>
      <c r="O916">
        <v>5</v>
      </c>
      <c r="P916" t="s">
        <v>46</v>
      </c>
      <c r="Q916">
        <v>2023</v>
      </c>
    </row>
    <row r="917" spans="1:17" x14ac:dyDescent="0.3">
      <c r="A917" t="s">
        <v>16</v>
      </c>
      <c r="B917" t="s">
        <v>17</v>
      </c>
      <c r="C917" t="s">
        <v>28</v>
      </c>
      <c r="D917" t="s">
        <v>60</v>
      </c>
      <c r="E917" t="s">
        <v>33</v>
      </c>
      <c r="F917">
        <v>872</v>
      </c>
      <c r="G917">
        <v>17</v>
      </c>
      <c r="H917">
        <v>38</v>
      </c>
      <c r="I917">
        <v>33136</v>
      </c>
      <c r="J917">
        <v>1656.8000000000002</v>
      </c>
      <c r="K917">
        <v>31479.200000000001</v>
      </c>
      <c r="L917">
        <v>14824</v>
      </c>
      <c r="M917">
        <v>16655.2</v>
      </c>
      <c r="N917">
        <v>45114</v>
      </c>
      <c r="O917">
        <v>7</v>
      </c>
      <c r="P917" t="s">
        <v>48</v>
      </c>
      <c r="Q917">
        <v>2023</v>
      </c>
    </row>
    <row r="918" spans="1:17" x14ac:dyDescent="0.3">
      <c r="A918" t="s">
        <v>16</v>
      </c>
      <c r="B918" t="s">
        <v>23</v>
      </c>
      <c r="C918" t="s">
        <v>28</v>
      </c>
      <c r="D918" t="s">
        <v>66</v>
      </c>
      <c r="E918" t="s">
        <v>33</v>
      </c>
      <c r="F918">
        <v>917</v>
      </c>
      <c r="G918">
        <v>11</v>
      </c>
      <c r="H918">
        <v>21</v>
      </c>
      <c r="I918">
        <v>19257</v>
      </c>
      <c r="J918">
        <v>962.85</v>
      </c>
      <c r="K918">
        <v>18294.150000000001</v>
      </c>
      <c r="L918">
        <v>10087</v>
      </c>
      <c r="M918">
        <v>8207.1500000000015</v>
      </c>
      <c r="N918">
        <v>45640</v>
      </c>
      <c r="O918">
        <v>12</v>
      </c>
      <c r="P918" t="s">
        <v>77</v>
      </c>
      <c r="Q918">
        <v>2024</v>
      </c>
    </row>
    <row r="919" spans="1:17" x14ac:dyDescent="0.3">
      <c r="A919" t="s">
        <v>25</v>
      </c>
      <c r="B919" t="s">
        <v>17</v>
      </c>
      <c r="C919" t="s">
        <v>28</v>
      </c>
      <c r="D919" t="s">
        <v>63</v>
      </c>
      <c r="E919" t="s">
        <v>33</v>
      </c>
      <c r="F919">
        <v>395</v>
      </c>
      <c r="G919">
        <v>11</v>
      </c>
      <c r="H919">
        <v>21</v>
      </c>
      <c r="I919">
        <v>8295</v>
      </c>
      <c r="J919">
        <v>414.75</v>
      </c>
      <c r="K919">
        <v>7880.25</v>
      </c>
      <c r="L919">
        <v>4345</v>
      </c>
      <c r="M919">
        <v>3535.25</v>
      </c>
      <c r="N919">
        <v>45621</v>
      </c>
      <c r="O919">
        <v>11</v>
      </c>
      <c r="P919" t="s">
        <v>43</v>
      </c>
      <c r="Q919">
        <v>2024</v>
      </c>
    </row>
    <row r="920" spans="1:17" x14ac:dyDescent="0.3">
      <c r="A920" t="s">
        <v>25</v>
      </c>
      <c r="B920" t="s">
        <v>17</v>
      </c>
      <c r="C920" t="s">
        <v>29</v>
      </c>
      <c r="D920" t="s">
        <v>160</v>
      </c>
      <c r="E920" t="s">
        <v>33</v>
      </c>
      <c r="F920">
        <v>691</v>
      </c>
      <c r="G920">
        <v>12</v>
      </c>
      <c r="H920">
        <v>21</v>
      </c>
      <c r="I920">
        <v>14511</v>
      </c>
      <c r="J920">
        <v>725.55000000000007</v>
      </c>
      <c r="K920">
        <v>13785.45</v>
      </c>
      <c r="L920">
        <v>8292</v>
      </c>
      <c r="M920">
        <v>5493.4500000000007</v>
      </c>
      <c r="N920">
        <v>45570</v>
      </c>
      <c r="O920">
        <v>10</v>
      </c>
      <c r="P920" t="s">
        <v>55</v>
      </c>
      <c r="Q920">
        <v>2024</v>
      </c>
    </row>
    <row r="921" spans="1:17" x14ac:dyDescent="0.3">
      <c r="A921" t="s">
        <v>16</v>
      </c>
      <c r="B921" t="s">
        <v>23</v>
      </c>
      <c r="C921" t="s">
        <v>30</v>
      </c>
      <c r="D921" t="s">
        <v>119</v>
      </c>
      <c r="E921" t="s">
        <v>33</v>
      </c>
      <c r="F921">
        <v>135</v>
      </c>
      <c r="G921">
        <v>18</v>
      </c>
      <c r="H921">
        <v>19</v>
      </c>
      <c r="I921">
        <v>2565</v>
      </c>
      <c r="J921">
        <v>128.25</v>
      </c>
      <c r="K921">
        <v>2436.75</v>
      </c>
      <c r="L921">
        <v>2430</v>
      </c>
      <c r="M921">
        <v>6.75</v>
      </c>
      <c r="N921">
        <v>45171</v>
      </c>
      <c r="O921">
        <v>9</v>
      </c>
      <c r="P921" t="s">
        <v>40</v>
      </c>
      <c r="Q921">
        <v>2023</v>
      </c>
    </row>
    <row r="922" spans="1:17" x14ac:dyDescent="0.3">
      <c r="A922" t="s">
        <v>16</v>
      </c>
      <c r="B922" t="s">
        <v>23</v>
      </c>
      <c r="C922" t="s">
        <v>31</v>
      </c>
      <c r="D922" t="s">
        <v>157</v>
      </c>
      <c r="E922" t="s">
        <v>33</v>
      </c>
      <c r="F922">
        <v>178</v>
      </c>
      <c r="G922">
        <v>14</v>
      </c>
      <c r="H922">
        <v>32</v>
      </c>
      <c r="I922">
        <v>5696</v>
      </c>
      <c r="J922">
        <v>284.8</v>
      </c>
      <c r="K922">
        <v>5411.2</v>
      </c>
      <c r="L922">
        <v>2492</v>
      </c>
      <c r="M922">
        <v>2919.2</v>
      </c>
      <c r="N922">
        <v>45563</v>
      </c>
      <c r="O922">
        <v>9</v>
      </c>
      <c r="P922" t="s">
        <v>40</v>
      </c>
      <c r="Q922">
        <v>2024</v>
      </c>
    </row>
    <row r="923" spans="1:17" x14ac:dyDescent="0.3">
      <c r="A923" t="s">
        <v>25</v>
      </c>
      <c r="B923" t="s">
        <v>23</v>
      </c>
      <c r="C923" t="s">
        <v>31</v>
      </c>
      <c r="D923" t="s">
        <v>161</v>
      </c>
      <c r="E923" t="s">
        <v>33</v>
      </c>
      <c r="F923">
        <v>751</v>
      </c>
      <c r="G923">
        <v>19</v>
      </c>
      <c r="H923">
        <v>32</v>
      </c>
      <c r="I923">
        <v>24032</v>
      </c>
      <c r="J923">
        <v>1201.6000000000001</v>
      </c>
      <c r="K923">
        <v>22830.400000000001</v>
      </c>
      <c r="L923">
        <v>14269</v>
      </c>
      <c r="M923">
        <v>8561.4000000000015</v>
      </c>
      <c r="N923">
        <v>45335</v>
      </c>
      <c r="O923">
        <v>2</v>
      </c>
      <c r="P923" t="s">
        <v>52</v>
      </c>
      <c r="Q923">
        <v>2024</v>
      </c>
    </row>
    <row r="924" spans="1:17" x14ac:dyDescent="0.3">
      <c r="A924" t="s">
        <v>16</v>
      </c>
      <c r="B924" t="s">
        <v>20</v>
      </c>
      <c r="C924" t="s">
        <v>31</v>
      </c>
      <c r="D924" t="s">
        <v>90</v>
      </c>
      <c r="E924" t="s">
        <v>33</v>
      </c>
      <c r="F924">
        <v>104</v>
      </c>
      <c r="G924">
        <v>19</v>
      </c>
      <c r="H924">
        <v>17</v>
      </c>
      <c r="I924">
        <v>1768</v>
      </c>
      <c r="J924">
        <v>88.4</v>
      </c>
      <c r="K924">
        <v>1679.6</v>
      </c>
      <c r="L924">
        <v>1976</v>
      </c>
      <c r="M924">
        <v>-296.40000000000009</v>
      </c>
      <c r="N924">
        <v>45038</v>
      </c>
      <c r="O924">
        <v>4</v>
      </c>
      <c r="P924" t="s">
        <v>75</v>
      </c>
      <c r="Q924">
        <v>2023</v>
      </c>
    </row>
    <row r="925" spans="1:17" x14ac:dyDescent="0.3">
      <c r="A925" t="s">
        <v>25</v>
      </c>
      <c r="B925" t="s">
        <v>22</v>
      </c>
      <c r="C925" t="s">
        <v>18</v>
      </c>
      <c r="D925" t="s">
        <v>100</v>
      </c>
      <c r="E925" t="s">
        <v>33</v>
      </c>
      <c r="F925">
        <v>947</v>
      </c>
      <c r="G925">
        <v>19</v>
      </c>
      <c r="H925">
        <v>20</v>
      </c>
      <c r="I925">
        <v>18940</v>
      </c>
      <c r="J925">
        <v>947</v>
      </c>
      <c r="K925">
        <v>17993</v>
      </c>
      <c r="L925">
        <v>17993</v>
      </c>
      <c r="M925">
        <v>0</v>
      </c>
      <c r="N925">
        <v>45332</v>
      </c>
      <c r="O925">
        <v>2</v>
      </c>
      <c r="P925" t="s">
        <v>52</v>
      </c>
      <c r="Q925">
        <v>2024</v>
      </c>
    </row>
    <row r="926" spans="1:17" x14ac:dyDescent="0.3">
      <c r="A926" t="s">
        <v>25</v>
      </c>
      <c r="B926" t="s">
        <v>20</v>
      </c>
      <c r="C926" t="s">
        <v>18</v>
      </c>
      <c r="D926" t="s">
        <v>101</v>
      </c>
      <c r="E926" t="s">
        <v>33</v>
      </c>
      <c r="F926">
        <v>14</v>
      </c>
      <c r="G926">
        <v>10</v>
      </c>
      <c r="H926">
        <v>34</v>
      </c>
      <c r="I926">
        <v>476</v>
      </c>
      <c r="J926">
        <v>4.76</v>
      </c>
      <c r="K926">
        <v>471.24</v>
      </c>
      <c r="L926">
        <v>140</v>
      </c>
      <c r="M926">
        <v>331.24</v>
      </c>
      <c r="N926">
        <v>45339</v>
      </c>
      <c r="O926">
        <v>2</v>
      </c>
      <c r="P926" t="s">
        <v>52</v>
      </c>
      <c r="Q926">
        <v>2024</v>
      </c>
    </row>
    <row r="927" spans="1:17" x14ac:dyDescent="0.3">
      <c r="A927" t="s">
        <v>16</v>
      </c>
      <c r="B927" t="s">
        <v>22</v>
      </c>
      <c r="C927" t="s">
        <v>18</v>
      </c>
      <c r="D927" t="s">
        <v>103</v>
      </c>
      <c r="E927" t="s">
        <v>33</v>
      </c>
      <c r="F927">
        <v>769</v>
      </c>
      <c r="G927">
        <v>11</v>
      </c>
      <c r="H927">
        <v>20</v>
      </c>
      <c r="I927">
        <v>15380</v>
      </c>
      <c r="J927">
        <v>769</v>
      </c>
      <c r="K927">
        <v>14611</v>
      </c>
      <c r="L927">
        <v>8459</v>
      </c>
      <c r="M927">
        <v>6152</v>
      </c>
      <c r="N927">
        <v>45669</v>
      </c>
      <c r="O927">
        <v>1</v>
      </c>
      <c r="P927" t="s">
        <v>58</v>
      </c>
      <c r="Q927">
        <v>2025</v>
      </c>
    </row>
    <row r="928" spans="1:17" x14ac:dyDescent="0.3">
      <c r="A928" t="s">
        <v>27</v>
      </c>
      <c r="B928" t="s">
        <v>36</v>
      </c>
      <c r="C928" t="s">
        <v>18</v>
      </c>
      <c r="D928" t="s">
        <v>162</v>
      </c>
      <c r="E928" t="s">
        <v>33</v>
      </c>
      <c r="F928">
        <v>473</v>
      </c>
      <c r="G928">
        <v>17</v>
      </c>
      <c r="H928">
        <v>23</v>
      </c>
      <c r="I928">
        <v>10879</v>
      </c>
      <c r="J928">
        <v>543.95000000000005</v>
      </c>
      <c r="K928">
        <v>10335.049999999999</v>
      </c>
      <c r="L928">
        <v>8041</v>
      </c>
      <c r="M928">
        <v>2294.0499999999993</v>
      </c>
      <c r="N928">
        <v>45379</v>
      </c>
      <c r="O928">
        <v>3</v>
      </c>
      <c r="P928" t="s">
        <v>38</v>
      </c>
      <c r="Q928">
        <v>2024</v>
      </c>
    </row>
    <row r="929" spans="1:17" x14ac:dyDescent="0.3">
      <c r="A929" t="s">
        <v>16</v>
      </c>
      <c r="B929" t="s">
        <v>20</v>
      </c>
      <c r="C929" t="s">
        <v>18</v>
      </c>
      <c r="D929" t="s">
        <v>39</v>
      </c>
      <c r="E929" t="s">
        <v>33</v>
      </c>
      <c r="F929">
        <v>479</v>
      </c>
      <c r="G929">
        <v>19</v>
      </c>
      <c r="H929">
        <v>19</v>
      </c>
      <c r="I929">
        <v>9101</v>
      </c>
      <c r="J929">
        <v>455.05</v>
      </c>
      <c r="K929">
        <v>8645.9500000000007</v>
      </c>
      <c r="L929">
        <v>9101</v>
      </c>
      <c r="M929">
        <v>-455.04999999999927</v>
      </c>
      <c r="N929">
        <v>45258</v>
      </c>
      <c r="O929">
        <v>11</v>
      </c>
      <c r="P929" t="s">
        <v>43</v>
      </c>
      <c r="Q929">
        <v>2023</v>
      </c>
    </row>
    <row r="930" spans="1:17" x14ac:dyDescent="0.3">
      <c r="A930" t="s">
        <v>21</v>
      </c>
      <c r="B930" t="s">
        <v>23</v>
      </c>
      <c r="C930" t="s">
        <v>18</v>
      </c>
      <c r="D930" t="s">
        <v>44</v>
      </c>
      <c r="E930" t="s">
        <v>33</v>
      </c>
      <c r="F930">
        <v>977</v>
      </c>
      <c r="G930">
        <v>14</v>
      </c>
      <c r="H930">
        <v>20</v>
      </c>
      <c r="I930">
        <v>19540</v>
      </c>
      <c r="J930">
        <v>977</v>
      </c>
      <c r="K930">
        <v>18563</v>
      </c>
      <c r="L930">
        <v>13678</v>
      </c>
      <c r="M930">
        <v>4885</v>
      </c>
      <c r="N930">
        <v>45059</v>
      </c>
      <c r="O930">
        <v>5</v>
      </c>
      <c r="P930" t="s">
        <v>46</v>
      </c>
      <c r="Q930">
        <v>2023</v>
      </c>
    </row>
    <row r="931" spans="1:17" x14ac:dyDescent="0.3">
      <c r="A931" t="s">
        <v>16</v>
      </c>
      <c r="B931" t="s">
        <v>36</v>
      </c>
      <c r="C931" t="s">
        <v>18</v>
      </c>
      <c r="D931" t="s">
        <v>97</v>
      </c>
      <c r="E931" t="s">
        <v>33</v>
      </c>
      <c r="F931">
        <v>824</v>
      </c>
      <c r="G931">
        <v>11</v>
      </c>
      <c r="H931">
        <v>19</v>
      </c>
      <c r="I931">
        <v>15656</v>
      </c>
      <c r="J931">
        <v>782.80000000000007</v>
      </c>
      <c r="K931">
        <v>14873.2</v>
      </c>
      <c r="L931">
        <v>9064</v>
      </c>
      <c r="M931">
        <v>5809.2000000000007</v>
      </c>
      <c r="N931">
        <v>45172</v>
      </c>
      <c r="O931">
        <v>9</v>
      </c>
      <c r="P931" t="s">
        <v>40</v>
      </c>
      <c r="Q931">
        <v>2023</v>
      </c>
    </row>
    <row r="932" spans="1:17" x14ac:dyDescent="0.3">
      <c r="A932" t="s">
        <v>16</v>
      </c>
      <c r="B932" t="s">
        <v>22</v>
      </c>
      <c r="C932" t="s">
        <v>18</v>
      </c>
      <c r="D932" t="s">
        <v>103</v>
      </c>
      <c r="E932" t="s">
        <v>33</v>
      </c>
      <c r="F932">
        <v>599</v>
      </c>
      <c r="G932">
        <v>11</v>
      </c>
      <c r="H932">
        <v>20</v>
      </c>
      <c r="I932">
        <v>11980</v>
      </c>
      <c r="J932">
        <v>599</v>
      </c>
      <c r="K932">
        <v>11381</v>
      </c>
      <c r="L932">
        <v>6589</v>
      </c>
      <c r="M932">
        <v>4792</v>
      </c>
      <c r="N932">
        <v>45113</v>
      </c>
      <c r="O932">
        <v>7</v>
      </c>
      <c r="P932" t="s">
        <v>48</v>
      </c>
      <c r="Q932">
        <v>2023</v>
      </c>
    </row>
    <row r="933" spans="1:17" x14ac:dyDescent="0.3">
      <c r="A933" t="s">
        <v>16</v>
      </c>
      <c r="B933" t="s">
        <v>22</v>
      </c>
      <c r="C933" t="s">
        <v>24</v>
      </c>
      <c r="D933" t="s">
        <v>50</v>
      </c>
      <c r="E933" t="s">
        <v>33</v>
      </c>
      <c r="F933">
        <v>36</v>
      </c>
      <c r="G933">
        <v>12</v>
      </c>
      <c r="H933">
        <v>35</v>
      </c>
      <c r="I933">
        <v>1260</v>
      </c>
      <c r="J933">
        <v>63</v>
      </c>
      <c r="K933">
        <v>1197</v>
      </c>
      <c r="L933">
        <v>432</v>
      </c>
      <c r="M933">
        <v>765</v>
      </c>
      <c r="N933">
        <v>45108</v>
      </c>
      <c r="O933">
        <v>7</v>
      </c>
      <c r="P933" t="s">
        <v>48</v>
      </c>
      <c r="Q933">
        <v>2023</v>
      </c>
    </row>
    <row r="934" spans="1:17" x14ac:dyDescent="0.3">
      <c r="A934" t="s">
        <v>26</v>
      </c>
      <c r="B934" t="s">
        <v>36</v>
      </c>
      <c r="C934" t="s">
        <v>24</v>
      </c>
      <c r="D934" t="s">
        <v>106</v>
      </c>
      <c r="E934" t="s">
        <v>33</v>
      </c>
      <c r="F934">
        <v>897</v>
      </c>
      <c r="G934">
        <v>17</v>
      </c>
      <c r="H934">
        <v>36</v>
      </c>
      <c r="I934">
        <v>32292</v>
      </c>
      <c r="J934">
        <v>1614.6000000000001</v>
      </c>
      <c r="K934">
        <v>30677.4</v>
      </c>
      <c r="L934">
        <v>15249</v>
      </c>
      <c r="M934">
        <v>15428.400000000001</v>
      </c>
      <c r="N934">
        <v>45057</v>
      </c>
      <c r="O934">
        <v>5</v>
      </c>
      <c r="P934" t="s">
        <v>46</v>
      </c>
      <c r="Q934">
        <v>2023</v>
      </c>
    </row>
    <row r="935" spans="1:17" x14ac:dyDescent="0.3">
      <c r="A935" t="s">
        <v>16</v>
      </c>
      <c r="B935" t="s">
        <v>23</v>
      </c>
      <c r="C935" t="s">
        <v>24</v>
      </c>
      <c r="D935" t="s">
        <v>163</v>
      </c>
      <c r="E935" t="s">
        <v>33</v>
      </c>
      <c r="F935">
        <v>295</v>
      </c>
      <c r="G935">
        <v>15</v>
      </c>
      <c r="H935">
        <v>34</v>
      </c>
      <c r="I935">
        <v>10030</v>
      </c>
      <c r="J935">
        <v>501.5</v>
      </c>
      <c r="K935">
        <v>9528.5</v>
      </c>
      <c r="L935">
        <v>4425</v>
      </c>
      <c r="M935">
        <v>5103.5</v>
      </c>
      <c r="N935">
        <v>45700</v>
      </c>
      <c r="O935">
        <v>2</v>
      </c>
      <c r="P935" t="s">
        <v>52</v>
      </c>
      <c r="Q935">
        <v>2025</v>
      </c>
    </row>
    <row r="936" spans="1:17" x14ac:dyDescent="0.3">
      <c r="A936" t="s">
        <v>25</v>
      </c>
      <c r="B936" t="s">
        <v>20</v>
      </c>
      <c r="C936" t="s">
        <v>24</v>
      </c>
      <c r="D936" t="s">
        <v>51</v>
      </c>
      <c r="E936" t="s">
        <v>33</v>
      </c>
      <c r="F936">
        <v>114</v>
      </c>
      <c r="G936">
        <v>11</v>
      </c>
      <c r="H936">
        <v>28</v>
      </c>
      <c r="I936">
        <v>3192</v>
      </c>
      <c r="J936">
        <v>159.60000000000002</v>
      </c>
      <c r="K936">
        <v>3032.4</v>
      </c>
      <c r="L936">
        <v>1254</v>
      </c>
      <c r="M936">
        <v>1778.4</v>
      </c>
      <c r="N936">
        <v>45267</v>
      </c>
      <c r="O936">
        <v>12</v>
      </c>
      <c r="P936" t="s">
        <v>77</v>
      </c>
      <c r="Q936">
        <v>2023</v>
      </c>
    </row>
    <row r="937" spans="1:17" x14ac:dyDescent="0.3">
      <c r="A937" t="s">
        <v>27</v>
      </c>
      <c r="B937" t="s">
        <v>23</v>
      </c>
      <c r="C937" t="s">
        <v>24</v>
      </c>
      <c r="D937" t="s">
        <v>56</v>
      </c>
      <c r="E937" t="s">
        <v>33</v>
      </c>
      <c r="F937">
        <v>247</v>
      </c>
      <c r="G937">
        <v>16</v>
      </c>
      <c r="H937">
        <v>23</v>
      </c>
      <c r="I937">
        <v>5681</v>
      </c>
      <c r="J937">
        <v>284.05</v>
      </c>
      <c r="K937">
        <v>5396.95</v>
      </c>
      <c r="L937">
        <v>3952</v>
      </c>
      <c r="M937">
        <v>1444.9499999999998</v>
      </c>
      <c r="N937">
        <v>45637</v>
      </c>
      <c r="O937">
        <v>12</v>
      </c>
      <c r="P937" t="s">
        <v>77</v>
      </c>
      <c r="Q937">
        <v>2024</v>
      </c>
    </row>
    <row r="938" spans="1:17" x14ac:dyDescent="0.3">
      <c r="A938" t="s">
        <v>16</v>
      </c>
      <c r="B938" t="s">
        <v>22</v>
      </c>
      <c r="C938" t="s">
        <v>28</v>
      </c>
      <c r="D938" t="s">
        <v>93</v>
      </c>
      <c r="E938" t="s">
        <v>33</v>
      </c>
      <c r="F938">
        <v>126</v>
      </c>
      <c r="G938">
        <v>12</v>
      </c>
      <c r="H938">
        <v>27</v>
      </c>
      <c r="I938">
        <v>3402</v>
      </c>
      <c r="J938">
        <v>170.10000000000002</v>
      </c>
      <c r="K938">
        <v>3231.9</v>
      </c>
      <c r="L938">
        <v>1512</v>
      </c>
      <c r="M938">
        <v>1719.9</v>
      </c>
      <c r="N938">
        <v>45055</v>
      </c>
      <c r="O938">
        <v>5</v>
      </c>
      <c r="P938" t="s">
        <v>46</v>
      </c>
      <c r="Q938">
        <v>2023</v>
      </c>
    </row>
    <row r="939" spans="1:17" x14ac:dyDescent="0.3">
      <c r="A939" t="s">
        <v>26</v>
      </c>
      <c r="B939" t="s">
        <v>36</v>
      </c>
      <c r="C939" t="s">
        <v>28</v>
      </c>
      <c r="D939" t="s">
        <v>108</v>
      </c>
      <c r="E939" t="s">
        <v>33</v>
      </c>
      <c r="F939">
        <v>835</v>
      </c>
      <c r="G939">
        <v>10</v>
      </c>
      <c r="H939">
        <v>31</v>
      </c>
      <c r="I939">
        <v>25885</v>
      </c>
      <c r="J939">
        <v>1294.25</v>
      </c>
      <c r="K939">
        <v>24590.75</v>
      </c>
      <c r="L939">
        <v>8350</v>
      </c>
      <c r="M939">
        <v>16240.75</v>
      </c>
      <c r="N939">
        <v>45390</v>
      </c>
      <c r="O939">
        <v>4</v>
      </c>
      <c r="P939" t="s">
        <v>75</v>
      </c>
      <c r="Q939">
        <v>2024</v>
      </c>
    </row>
    <row r="940" spans="1:17" x14ac:dyDescent="0.3">
      <c r="A940" t="s">
        <v>26</v>
      </c>
      <c r="B940" t="s">
        <v>22</v>
      </c>
      <c r="C940" t="s">
        <v>28</v>
      </c>
      <c r="D940" t="s">
        <v>109</v>
      </c>
      <c r="E940" t="s">
        <v>33</v>
      </c>
      <c r="F940">
        <v>254</v>
      </c>
      <c r="G940">
        <v>20</v>
      </c>
      <c r="H940">
        <v>21</v>
      </c>
      <c r="I940">
        <v>5334</v>
      </c>
      <c r="J940">
        <v>266.7</v>
      </c>
      <c r="K940">
        <v>5067.3</v>
      </c>
      <c r="L940">
        <v>5080</v>
      </c>
      <c r="M940">
        <v>-12.699999999999818</v>
      </c>
      <c r="N940">
        <v>45521</v>
      </c>
      <c r="O940">
        <v>8</v>
      </c>
      <c r="P940" t="s">
        <v>62</v>
      </c>
      <c r="Q940">
        <v>2024</v>
      </c>
    </row>
    <row r="941" spans="1:17" x14ac:dyDescent="0.3">
      <c r="A941" t="s">
        <v>27</v>
      </c>
      <c r="B941" t="s">
        <v>23</v>
      </c>
      <c r="C941" t="s">
        <v>28</v>
      </c>
      <c r="D941" t="s">
        <v>68</v>
      </c>
      <c r="E941" t="s">
        <v>33</v>
      </c>
      <c r="F941">
        <v>628</v>
      </c>
      <c r="G941">
        <v>11</v>
      </c>
      <c r="H941">
        <v>33</v>
      </c>
      <c r="I941">
        <v>20724</v>
      </c>
      <c r="J941">
        <v>1036.2</v>
      </c>
      <c r="K941">
        <v>19687.8</v>
      </c>
      <c r="L941">
        <v>6908</v>
      </c>
      <c r="M941">
        <v>12779.8</v>
      </c>
      <c r="N941">
        <v>45435</v>
      </c>
      <c r="O941">
        <v>5</v>
      </c>
      <c r="P941" t="s">
        <v>46</v>
      </c>
      <c r="Q941">
        <v>2024</v>
      </c>
    </row>
    <row r="942" spans="1:17" x14ac:dyDescent="0.3">
      <c r="A942" t="s">
        <v>16</v>
      </c>
      <c r="B942" t="s">
        <v>36</v>
      </c>
      <c r="C942" t="s">
        <v>28</v>
      </c>
      <c r="D942" t="s">
        <v>69</v>
      </c>
      <c r="E942" t="s">
        <v>33</v>
      </c>
      <c r="F942">
        <v>505</v>
      </c>
      <c r="G942">
        <v>20</v>
      </c>
      <c r="H942">
        <v>25</v>
      </c>
      <c r="I942">
        <v>12625</v>
      </c>
      <c r="J942">
        <v>631.25</v>
      </c>
      <c r="K942">
        <v>11993.75</v>
      </c>
      <c r="L942">
        <v>10100</v>
      </c>
      <c r="M942">
        <v>1893.75</v>
      </c>
      <c r="N942">
        <v>45432</v>
      </c>
      <c r="O942">
        <v>5</v>
      </c>
      <c r="P942" t="s">
        <v>46</v>
      </c>
      <c r="Q942">
        <v>2024</v>
      </c>
    </row>
    <row r="943" spans="1:17" x14ac:dyDescent="0.3">
      <c r="A943" t="s">
        <v>27</v>
      </c>
      <c r="B943" t="s">
        <v>36</v>
      </c>
      <c r="C943" t="s">
        <v>28</v>
      </c>
      <c r="D943" t="s">
        <v>112</v>
      </c>
      <c r="E943" t="s">
        <v>33</v>
      </c>
      <c r="F943">
        <v>677</v>
      </c>
      <c r="G943">
        <v>10</v>
      </c>
      <c r="H943">
        <v>19</v>
      </c>
      <c r="I943">
        <v>12863</v>
      </c>
      <c r="J943">
        <v>643.15000000000009</v>
      </c>
      <c r="K943">
        <v>12219.85</v>
      </c>
      <c r="L943">
        <v>6770</v>
      </c>
      <c r="M943">
        <v>5449.85</v>
      </c>
      <c r="N943">
        <v>45624</v>
      </c>
      <c r="O943">
        <v>11</v>
      </c>
      <c r="P943" t="s">
        <v>43</v>
      </c>
      <c r="Q943">
        <v>2024</v>
      </c>
    </row>
    <row r="944" spans="1:17" x14ac:dyDescent="0.3">
      <c r="A944" t="s">
        <v>16</v>
      </c>
      <c r="B944" t="s">
        <v>36</v>
      </c>
      <c r="C944" t="s">
        <v>28</v>
      </c>
      <c r="D944" t="s">
        <v>69</v>
      </c>
      <c r="E944" t="s">
        <v>33</v>
      </c>
      <c r="F944">
        <v>457</v>
      </c>
      <c r="G944">
        <v>20</v>
      </c>
      <c r="H944">
        <v>25</v>
      </c>
      <c r="I944">
        <v>11425</v>
      </c>
      <c r="J944">
        <v>571.25</v>
      </c>
      <c r="K944">
        <v>10853.75</v>
      </c>
      <c r="L944">
        <v>9140</v>
      </c>
      <c r="M944">
        <v>1713.75</v>
      </c>
      <c r="N944">
        <v>45364</v>
      </c>
      <c r="O944">
        <v>3</v>
      </c>
      <c r="P944" t="s">
        <v>38</v>
      </c>
      <c r="Q944">
        <v>2024</v>
      </c>
    </row>
    <row r="945" spans="1:17" x14ac:dyDescent="0.3">
      <c r="A945" t="s">
        <v>21</v>
      </c>
      <c r="B945" t="s">
        <v>22</v>
      </c>
      <c r="C945" t="s">
        <v>28</v>
      </c>
      <c r="D945" t="s">
        <v>67</v>
      </c>
      <c r="E945" t="s">
        <v>33</v>
      </c>
      <c r="F945">
        <v>996</v>
      </c>
      <c r="G945">
        <v>16</v>
      </c>
      <c r="H945">
        <v>27</v>
      </c>
      <c r="I945">
        <v>26892</v>
      </c>
      <c r="J945">
        <v>1344.6000000000001</v>
      </c>
      <c r="K945">
        <v>25547.4</v>
      </c>
      <c r="L945">
        <v>15936</v>
      </c>
      <c r="M945">
        <v>9611.4000000000015</v>
      </c>
      <c r="N945">
        <v>45304</v>
      </c>
      <c r="O945">
        <v>1</v>
      </c>
      <c r="P945" t="s">
        <v>58</v>
      </c>
      <c r="Q945">
        <v>2024</v>
      </c>
    </row>
    <row r="946" spans="1:17" x14ac:dyDescent="0.3">
      <c r="A946" t="s">
        <v>16</v>
      </c>
      <c r="B946" t="s">
        <v>17</v>
      </c>
      <c r="C946" t="s">
        <v>28</v>
      </c>
      <c r="D946" t="s">
        <v>60</v>
      </c>
      <c r="E946" t="s">
        <v>33</v>
      </c>
      <c r="F946">
        <v>635</v>
      </c>
      <c r="G946">
        <v>17</v>
      </c>
      <c r="H946">
        <v>38</v>
      </c>
      <c r="I946">
        <v>24130</v>
      </c>
      <c r="J946">
        <v>1206.5</v>
      </c>
      <c r="K946">
        <v>22923.5</v>
      </c>
      <c r="L946">
        <v>10795</v>
      </c>
      <c r="M946">
        <v>12128.5</v>
      </c>
      <c r="N946">
        <v>45634</v>
      </c>
      <c r="O946">
        <v>12</v>
      </c>
      <c r="P946" t="s">
        <v>77</v>
      </c>
      <c r="Q946">
        <v>2024</v>
      </c>
    </row>
    <row r="947" spans="1:17" x14ac:dyDescent="0.3">
      <c r="A947" t="s">
        <v>16</v>
      </c>
      <c r="B947" t="s">
        <v>17</v>
      </c>
      <c r="C947" t="s">
        <v>28</v>
      </c>
      <c r="D947" t="s">
        <v>60</v>
      </c>
      <c r="E947" t="s">
        <v>33</v>
      </c>
      <c r="F947">
        <v>781</v>
      </c>
      <c r="G947">
        <v>17</v>
      </c>
      <c r="H947">
        <v>38</v>
      </c>
      <c r="I947">
        <v>29678</v>
      </c>
      <c r="J947">
        <v>1483.9</v>
      </c>
      <c r="K947">
        <v>28194.1</v>
      </c>
      <c r="L947">
        <v>13277</v>
      </c>
      <c r="M947">
        <v>14917.099999999999</v>
      </c>
      <c r="N947">
        <v>45041</v>
      </c>
      <c r="O947">
        <v>4</v>
      </c>
      <c r="P947" t="s">
        <v>75</v>
      </c>
      <c r="Q947">
        <v>2023</v>
      </c>
    </row>
    <row r="948" spans="1:17" x14ac:dyDescent="0.3">
      <c r="A948" t="s">
        <v>26</v>
      </c>
      <c r="B948" t="s">
        <v>36</v>
      </c>
      <c r="C948" t="s">
        <v>28</v>
      </c>
      <c r="D948" t="s">
        <v>108</v>
      </c>
      <c r="E948" t="s">
        <v>33</v>
      </c>
      <c r="F948">
        <v>183</v>
      </c>
      <c r="G948">
        <v>10</v>
      </c>
      <c r="H948">
        <v>31</v>
      </c>
      <c r="I948">
        <v>5673</v>
      </c>
      <c r="J948">
        <v>283.65000000000003</v>
      </c>
      <c r="K948">
        <v>5389.35</v>
      </c>
      <c r="L948">
        <v>1830</v>
      </c>
      <c r="M948">
        <v>3559.3500000000004</v>
      </c>
      <c r="N948">
        <v>45749</v>
      </c>
      <c r="O948">
        <v>4</v>
      </c>
      <c r="P948" t="s">
        <v>75</v>
      </c>
      <c r="Q948">
        <v>2025</v>
      </c>
    </row>
    <row r="949" spans="1:17" x14ac:dyDescent="0.3">
      <c r="A949" t="s">
        <v>26</v>
      </c>
      <c r="B949" t="s">
        <v>22</v>
      </c>
      <c r="C949" t="s">
        <v>28</v>
      </c>
      <c r="D949" t="s">
        <v>109</v>
      </c>
      <c r="E949" t="s">
        <v>33</v>
      </c>
      <c r="F949">
        <v>390</v>
      </c>
      <c r="G949">
        <v>20</v>
      </c>
      <c r="H949">
        <v>21</v>
      </c>
      <c r="I949">
        <v>8190</v>
      </c>
      <c r="J949">
        <v>409.5</v>
      </c>
      <c r="K949">
        <v>7780.5</v>
      </c>
      <c r="L949">
        <v>7800</v>
      </c>
      <c r="M949">
        <v>-19.5</v>
      </c>
      <c r="N949">
        <v>45350</v>
      </c>
      <c r="O949">
        <v>2</v>
      </c>
      <c r="P949" t="s">
        <v>52</v>
      </c>
      <c r="Q949">
        <v>2024</v>
      </c>
    </row>
    <row r="950" spans="1:17" x14ac:dyDescent="0.3">
      <c r="A950" t="s">
        <v>16</v>
      </c>
      <c r="B950" t="s">
        <v>17</v>
      </c>
      <c r="C950" t="s">
        <v>28</v>
      </c>
      <c r="D950" t="s">
        <v>60</v>
      </c>
      <c r="E950" t="s">
        <v>33</v>
      </c>
      <c r="F950">
        <v>61</v>
      </c>
      <c r="G950">
        <v>17</v>
      </c>
      <c r="H950">
        <v>38</v>
      </c>
      <c r="I950">
        <v>2318</v>
      </c>
      <c r="J950">
        <v>115.9</v>
      </c>
      <c r="K950">
        <v>2202.1</v>
      </c>
      <c r="L950">
        <v>1037</v>
      </c>
      <c r="M950">
        <v>1165.0999999999999</v>
      </c>
      <c r="N950">
        <v>45239</v>
      </c>
      <c r="O950">
        <v>11</v>
      </c>
      <c r="P950" t="s">
        <v>43</v>
      </c>
      <c r="Q950">
        <v>2023</v>
      </c>
    </row>
    <row r="951" spans="1:17" x14ac:dyDescent="0.3">
      <c r="A951" t="s">
        <v>16</v>
      </c>
      <c r="B951" t="s">
        <v>36</v>
      </c>
      <c r="C951" t="s">
        <v>28</v>
      </c>
      <c r="D951" t="s">
        <v>69</v>
      </c>
      <c r="E951" t="s">
        <v>33</v>
      </c>
      <c r="F951">
        <v>827</v>
      </c>
      <c r="G951">
        <v>20</v>
      </c>
      <c r="H951">
        <v>25</v>
      </c>
      <c r="I951">
        <v>20675</v>
      </c>
      <c r="J951">
        <v>1033.75</v>
      </c>
      <c r="K951">
        <v>19641.25</v>
      </c>
      <c r="L951">
        <v>16540</v>
      </c>
      <c r="M951">
        <v>3101.25</v>
      </c>
      <c r="N951">
        <v>45621</v>
      </c>
      <c r="O951">
        <v>11</v>
      </c>
      <c r="P951" t="s">
        <v>43</v>
      </c>
      <c r="Q951">
        <v>2024</v>
      </c>
    </row>
    <row r="952" spans="1:17" x14ac:dyDescent="0.3">
      <c r="A952" t="s">
        <v>16</v>
      </c>
      <c r="B952" t="s">
        <v>22</v>
      </c>
      <c r="C952" t="s">
        <v>28</v>
      </c>
      <c r="D952" t="s">
        <v>93</v>
      </c>
      <c r="E952" t="s">
        <v>33</v>
      </c>
      <c r="F952">
        <v>665</v>
      </c>
      <c r="G952">
        <v>12</v>
      </c>
      <c r="H952">
        <v>27</v>
      </c>
      <c r="I952">
        <v>17955</v>
      </c>
      <c r="J952">
        <v>897.75</v>
      </c>
      <c r="K952">
        <v>17057.25</v>
      </c>
      <c r="L952">
        <v>7980</v>
      </c>
      <c r="M952">
        <v>9077.25</v>
      </c>
      <c r="N952">
        <v>45172</v>
      </c>
      <c r="O952">
        <v>9</v>
      </c>
      <c r="P952" t="s">
        <v>40</v>
      </c>
      <c r="Q952">
        <v>2023</v>
      </c>
    </row>
    <row r="953" spans="1:17" x14ac:dyDescent="0.3">
      <c r="A953" t="s">
        <v>21</v>
      </c>
      <c r="B953" t="s">
        <v>20</v>
      </c>
      <c r="C953" t="s">
        <v>28</v>
      </c>
      <c r="D953" t="s">
        <v>111</v>
      </c>
      <c r="E953" t="s">
        <v>33</v>
      </c>
      <c r="F953">
        <v>309</v>
      </c>
      <c r="G953">
        <v>16</v>
      </c>
      <c r="H953">
        <v>27</v>
      </c>
      <c r="I953">
        <v>8343</v>
      </c>
      <c r="J953">
        <v>417.15000000000003</v>
      </c>
      <c r="K953">
        <v>7925.85</v>
      </c>
      <c r="L953">
        <v>4944</v>
      </c>
      <c r="M953">
        <v>2981.8500000000004</v>
      </c>
      <c r="N953">
        <v>45751</v>
      </c>
      <c r="O953">
        <v>4</v>
      </c>
      <c r="P953" t="s">
        <v>75</v>
      </c>
      <c r="Q953">
        <v>2025</v>
      </c>
    </row>
    <row r="954" spans="1:17" x14ac:dyDescent="0.3">
      <c r="A954" t="s">
        <v>21</v>
      </c>
      <c r="B954" t="s">
        <v>36</v>
      </c>
      <c r="C954" t="s">
        <v>29</v>
      </c>
      <c r="D954" t="s">
        <v>164</v>
      </c>
      <c r="E954" t="s">
        <v>33</v>
      </c>
      <c r="F954">
        <v>908</v>
      </c>
      <c r="G954">
        <v>13</v>
      </c>
      <c r="H954">
        <v>19</v>
      </c>
      <c r="I954">
        <v>17252</v>
      </c>
      <c r="J954">
        <v>862.6</v>
      </c>
      <c r="K954">
        <v>16389.400000000001</v>
      </c>
      <c r="L954">
        <v>11804</v>
      </c>
      <c r="M954">
        <v>4585.4000000000015</v>
      </c>
      <c r="N954">
        <v>45488</v>
      </c>
      <c r="O954">
        <v>7</v>
      </c>
      <c r="P954" t="s">
        <v>48</v>
      </c>
      <c r="Q954">
        <v>2024</v>
      </c>
    </row>
    <row r="955" spans="1:17" x14ac:dyDescent="0.3">
      <c r="A955" t="s">
        <v>21</v>
      </c>
      <c r="B955" t="s">
        <v>23</v>
      </c>
      <c r="C955" t="s">
        <v>29</v>
      </c>
      <c r="D955" t="s">
        <v>165</v>
      </c>
      <c r="E955" t="s">
        <v>33</v>
      </c>
      <c r="F955">
        <v>384</v>
      </c>
      <c r="G955">
        <v>12</v>
      </c>
      <c r="H955">
        <v>21</v>
      </c>
      <c r="I955">
        <v>8064</v>
      </c>
      <c r="J955">
        <v>403.20000000000005</v>
      </c>
      <c r="K955">
        <v>7660.8</v>
      </c>
      <c r="L955">
        <v>4608</v>
      </c>
      <c r="M955">
        <v>3052.8</v>
      </c>
      <c r="N955">
        <v>45170</v>
      </c>
      <c r="O955">
        <v>9</v>
      </c>
      <c r="P955" t="s">
        <v>40</v>
      </c>
      <c r="Q955">
        <v>2023</v>
      </c>
    </row>
    <row r="956" spans="1:17" x14ac:dyDescent="0.3">
      <c r="A956" t="s">
        <v>26</v>
      </c>
      <c r="B956" t="s">
        <v>20</v>
      </c>
      <c r="C956" t="s">
        <v>29</v>
      </c>
      <c r="D956" t="s">
        <v>135</v>
      </c>
      <c r="E956" t="s">
        <v>33</v>
      </c>
      <c r="F956">
        <v>286</v>
      </c>
      <c r="G956">
        <v>20</v>
      </c>
      <c r="H956">
        <v>38</v>
      </c>
      <c r="I956">
        <v>10868</v>
      </c>
      <c r="J956">
        <v>543.4</v>
      </c>
      <c r="K956">
        <v>10324.6</v>
      </c>
      <c r="L956">
        <v>5720</v>
      </c>
      <c r="M956">
        <v>4604.6000000000004</v>
      </c>
      <c r="N956">
        <v>45556</v>
      </c>
      <c r="O956">
        <v>9</v>
      </c>
      <c r="P956" t="s">
        <v>40</v>
      </c>
      <c r="Q956">
        <v>2024</v>
      </c>
    </row>
    <row r="957" spans="1:17" x14ac:dyDescent="0.3">
      <c r="A957" t="s">
        <v>16</v>
      </c>
      <c r="B957" t="s">
        <v>36</v>
      </c>
      <c r="C957" t="s">
        <v>29</v>
      </c>
      <c r="D957" t="s">
        <v>134</v>
      </c>
      <c r="E957" t="s">
        <v>33</v>
      </c>
      <c r="F957">
        <v>182</v>
      </c>
      <c r="G957">
        <v>13</v>
      </c>
      <c r="H957">
        <v>38</v>
      </c>
      <c r="I957">
        <v>6916</v>
      </c>
      <c r="J957">
        <v>345.8</v>
      </c>
      <c r="K957">
        <v>6570.2</v>
      </c>
      <c r="L957">
        <v>2366</v>
      </c>
      <c r="M957">
        <v>4204.2</v>
      </c>
      <c r="N957">
        <v>45664</v>
      </c>
      <c r="O957">
        <v>1</v>
      </c>
      <c r="P957" t="s">
        <v>58</v>
      </c>
      <c r="Q957">
        <v>2025</v>
      </c>
    </row>
    <row r="958" spans="1:17" x14ac:dyDescent="0.3">
      <c r="A958" t="s">
        <v>16</v>
      </c>
      <c r="B958" t="s">
        <v>36</v>
      </c>
      <c r="C958" t="s">
        <v>29</v>
      </c>
      <c r="D958" t="s">
        <v>134</v>
      </c>
      <c r="E958" t="s">
        <v>33</v>
      </c>
      <c r="F958">
        <v>994</v>
      </c>
      <c r="G958">
        <v>13</v>
      </c>
      <c r="H958">
        <v>38</v>
      </c>
      <c r="I958">
        <v>37772</v>
      </c>
      <c r="J958">
        <v>1888.6000000000001</v>
      </c>
      <c r="K958">
        <v>35883.4</v>
      </c>
      <c r="L958">
        <v>12922</v>
      </c>
      <c r="M958">
        <v>22961.4</v>
      </c>
      <c r="N958">
        <v>45645</v>
      </c>
      <c r="O958">
        <v>12</v>
      </c>
      <c r="P958" t="s">
        <v>77</v>
      </c>
      <c r="Q958">
        <v>2024</v>
      </c>
    </row>
    <row r="959" spans="1:17" x14ac:dyDescent="0.3">
      <c r="A959" t="s">
        <v>16</v>
      </c>
      <c r="B959" t="s">
        <v>22</v>
      </c>
      <c r="C959" t="s">
        <v>29</v>
      </c>
      <c r="D959" t="s">
        <v>94</v>
      </c>
      <c r="E959" t="s">
        <v>33</v>
      </c>
      <c r="F959">
        <v>560</v>
      </c>
      <c r="G959">
        <v>19</v>
      </c>
      <c r="H959">
        <v>22</v>
      </c>
      <c r="I959">
        <v>12320</v>
      </c>
      <c r="J959">
        <v>616</v>
      </c>
      <c r="K959">
        <v>11704</v>
      </c>
      <c r="L959">
        <v>10640</v>
      </c>
      <c r="M959">
        <v>1064</v>
      </c>
      <c r="N959">
        <v>45249</v>
      </c>
      <c r="O959">
        <v>11</v>
      </c>
      <c r="P959" t="s">
        <v>43</v>
      </c>
      <c r="Q959">
        <v>2023</v>
      </c>
    </row>
    <row r="960" spans="1:17" x14ac:dyDescent="0.3">
      <c r="A960" t="s">
        <v>26</v>
      </c>
      <c r="B960" t="s">
        <v>36</v>
      </c>
      <c r="C960" t="s">
        <v>29</v>
      </c>
      <c r="D960" t="s">
        <v>78</v>
      </c>
      <c r="E960" t="s">
        <v>33</v>
      </c>
      <c r="F960">
        <v>489</v>
      </c>
      <c r="G960">
        <v>12</v>
      </c>
      <c r="H960">
        <v>36</v>
      </c>
      <c r="I960">
        <v>17604</v>
      </c>
      <c r="J960">
        <v>880.2</v>
      </c>
      <c r="K960">
        <v>16723.8</v>
      </c>
      <c r="L960">
        <v>5868</v>
      </c>
      <c r="M960">
        <v>10855.8</v>
      </c>
      <c r="N960">
        <v>45674</v>
      </c>
      <c r="O960">
        <v>1</v>
      </c>
      <c r="P960" t="s">
        <v>58</v>
      </c>
      <c r="Q960">
        <v>2025</v>
      </c>
    </row>
    <row r="961" spans="1:17" x14ac:dyDescent="0.3">
      <c r="A961" t="s">
        <v>26</v>
      </c>
      <c r="B961" t="s">
        <v>22</v>
      </c>
      <c r="C961" t="s">
        <v>29</v>
      </c>
      <c r="D961" t="s">
        <v>73</v>
      </c>
      <c r="E961" t="s">
        <v>33</v>
      </c>
      <c r="F961">
        <v>426</v>
      </c>
      <c r="G961">
        <v>16</v>
      </c>
      <c r="H961">
        <v>20</v>
      </c>
      <c r="I961">
        <v>8520</v>
      </c>
      <c r="J961">
        <v>426</v>
      </c>
      <c r="K961">
        <v>8094</v>
      </c>
      <c r="L961">
        <v>6816</v>
      </c>
      <c r="M961">
        <v>1278</v>
      </c>
      <c r="N961">
        <v>45122</v>
      </c>
      <c r="O961">
        <v>7</v>
      </c>
      <c r="P961" t="s">
        <v>48</v>
      </c>
      <c r="Q961">
        <v>2023</v>
      </c>
    </row>
    <row r="962" spans="1:17" x14ac:dyDescent="0.3">
      <c r="A962" t="s">
        <v>16</v>
      </c>
      <c r="B962" t="s">
        <v>22</v>
      </c>
      <c r="C962" t="s">
        <v>29</v>
      </c>
      <c r="D962" t="s">
        <v>94</v>
      </c>
      <c r="E962" t="s">
        <v>33</v>
      </c>
      <c r="F962">
        <v>120</v>
      </c>
      <c r="G962">
        <v>19</v>
      </c>
      <c r="H962">
        <v>22</v>
      </c>
      <c r="I962">
        <v>2640</v>
      </c>
      <c r="J962">
        <v>132</v>
      </c>
      <c r="K962">
        <v>2508</v>
      </c>
      <c r="L962">
        <v>2280</v>
      </c>
      <c r="M962">
        <v>228</v>
      </c>
      <c r="N962">
        <v>45406</v>
      </c>
      <c r="O962">
        <v>4</v>
      </c>
      <c r="P962" t="s">
        <v>75</v>
      </c>
      <c r="Q962">
        <v>2024</v>
      </c>
    </row>
    <row r="963" spans="1:17" x14ac:dyDescent="0.3">
      <c r="A963" t="s">
        <v>27</v>
      </c>
      <c r="B963" t="s">
        <v>20</v>
      </c>
      <c r="C963" t="s">
        <v>29</v>
      </c>
      <c r="D963" t="s">
        <v>166</v>
      </c>
      <c r="E963" t="s">
        <v>33</v>
      </c>
      <c r="F963">
        <v>728</v>
      </c>
      <c r="G963">
        <v>18</v>
      </c>
      <c r="H963">
        <v>30</v>
      </c>
      <c r="I963">
        <v>21840</v>
      </c>
      <c r="J963">
        <v>1092</v>
      </c>
      <c r="K963">
        <v>20748</v>
      </c>
      <c r="L963">
        <v>13104</v>
      </c>
      <c r="M963">
        <v>7644</v>
      </c>
      <c r="N963">
        <v>45647</v>
      </c>
      <c r="O963">
        <v>12</v>
      </c>
      <c r="P963" t="s">
        <v>77</v>
      </c>
      <c r="Q963">
        <v>2024</v>
      </c>
    </row>
    <row r="964" spans="1:17" x14ac:dyDescent="0.3">
      <c r="A964" t="s">
        <v>16</v>
      </c>
      <c r="B964" t="s">
        <v>17</v>
      </c>
      <c r="C964" t="s">
        <v>30</v>
      </c>
      <c r="D964" t="s">
        <v>86</v>
      </c>
      <c r="E964" t="s">
        <v>33</v>
      </c>
      <c r="F964">
        <v>916</v>
      </c>
      <c r="G964">
        <v>15</v>
      </c>
      <c r="H964">
        <v>36</v>
      </c>
      <c r="I964">
        <v>32976</v>
      </c>
      <c r="J964">
        <v>1648.8000000000002</v>
      </c>
      <c r="K964">
        <v>31327.200000000001</v>
      </c>
      <c r="L964">
        <v>13740</v>
      </c>
      <c r="M964">
        <v>17587.2</v>
      </c>
      <c r="N964">
        <v>45357</v>
      </c>
      <c r="O964">
        <v>3</v>
      </c>
      <c r="P964" t="s">
        <v>38</v>
      </c>
      <c r="Q964">
        <v>2024</v>
      </c>
    </row>
    <row r="965" spans="1:17" x14ac:dyDescent="0.3">
      <c r="A965" t="s">
        <v>16</v>
      </c>
      <c r="B965" t="s">
        <v>36</v>
      </c>
      <c r="C965" t="s">
        <v>30</v>
      </c>
      <c r="D965" t="s">
        <v>141</v>
      </c>
      <c r="E965" t="s">
        <v>33</v>
      </c>
      <c r="F965">
        <v>929</v>
      </c>
      <c r="G965">
        <v>13</v>
      </c>
      <c r="H965">
        <v>25</v>
      </c>
      <c r="I965">
        <v>23225</v>
      </c>
      <c r="J965">
        <v>1161.25</v>
      </c>
      <c r="K965">
        <v>22063.75</v>
      </c>
      <c r="L965">
        <v>12077</v>
      </c>
      <c r="M965">
        <v>9986.75</v>
      </c>
      <c r="N965">
        <v>45565</v>
      </c>
      <c r="O965">
        <v>9</v>
      </c>
      <c r="P965" t="s">
        <v>40</v>
      </c>
      <c r="Q965">
        <v>2024</v>
      </c>
    </row>
    <row r="966" spans="1:17" x14ac:dyDescent="0.3">
      <c r="A966" t="s">
        <v>16</v>
      </c>
      <c r="B966" t="s">
        <v>20</v>
      </c>
      <c r="C966" t="s">
        <v>30</v>
      </c>
      <c r="D966" t="s">
        <v>114</v>
      </c>
      <c r="E966" t="s">
        <v>33</v>
      </c>
      <c r="F966">
        <v>990</v>
      </c>
      <c r="G966">
        <v>13</v>
      </c>
      <c r="H966">
        <v>38</v>
      </c>
      <c r="I966">
        <v>37620</v>
      </c>
      <c r="J966">
        <v>1881</v>
      </c>
      <c r="K966">
        <v>35739</v>
      </c>
      <c r="L966">
        <v>12870</v>
      </c>
      <c r="M966">
        <v>22869</v>
      </c>
      <c r="N966">
        <v>45371</v>
      </c>
      <c r="O966">
        <v>3</v>
      </c>
      <c r="P966" t="s">
        <v>38</v>
      </c>
      <c r="Q966">
        <v>2024</v>
      </c>
    </row>
    <row r="967" spans="1:17" x14ac:dyDescent="0.3">
      <c r="A967" t="s">
        <v>16</v>
      </c>
      <c r="B967" t="s">
        <v>36</v>
      </c>
      <c r="C967" t="s">
        <v>30</v>
      </c>
      <c r="D967" t="s">
        <v>141</v>
      </c>
      <c r="E967" t="s">
        <v>33</v>
      </c>
      <c r="F967">
        <v>352</v>
      </c>
      <c r="G967">
        <v>13</v>
      </c>
      <c r="H967">
        <v>25</v>
      </c>
      <c r="I967">
        <v>8800</v>
      </c>
      <c r="J967">
        <v>440</v>
      </c>
      <c r="K967">
        <v>8360</v>
      </c>
      <c r="L967">
        <v>4576</v>
      </c>
      <c r="M967">
        <v>3784</v>
      </c>
      <c r="N967">
        <v>45210</v>
      </c>
      <c r="O967">
        <v>10</v>
      </c>
      <c r="P967" t="s">
        <v>55</v>
      </c>
      <c r="Q967">
        <v>2023</v>
      </c>
    </row>
    <row r="968" spans="1:17" x14ac:dyDescent="0.3">
      <c r="A968" t="s">
        <v>16</v>
      </c>
      <c r="B968" t="s">
        <v>36</v>
      </c>
      <c r="C968" t="s">
        <v>30</v>
      </c>
      <c r="D968" t="s">
        <v>141</v>
      </c>
      <c r="E968" t="s">
        <v>33</v>
      </c>
      <c r="F968">
        <v>703</v>
      </c>
      <c r="G968">
        <v>13</v>
      </c>
      <c r="H968">
        <v>25</v>
      </c>
      <c r="I968">
        <v>17575</v>
      </c>
      <c r="J968">
        <v>878.75</v>
      </c>
      <c r="K968">
        <v>16696.25</v>
      </c>
      <c r="L968">
        <v>9139</v>
      </c>
      <c r="M968">
        <v>7557.25</v>
      </c>
      <c r="N968">
        <v>45301</v>
      </c>
      <c r="O968">
        <v>1</v>
      </c>
      <c r="P968" t="s">
        <v>58</v>
      </c>
      <c r="Q968">
        <v>2024</v>
      </c>
    </row>
    <row r="969" spans="1:17" x14ac:dyDescent="0.3">
      <c r="A969" t="s">
        <v>16</v>
      </c>
      <c r="B969" t="s">
        <v>22</v>
      </c>
      <c r="C969" t="s">
        <v>30</v>
      </c>
      <c r="D969" t="s">
        <v>84</v>
      </c>
      <c r="E969" t="s">
        <v>33</v>
      </c>
      <c r="F969">
        <v>238</v>
      </c>
      <c r="G969">
        <v>20</v>
      </c>
      <c r="H969">
        <v>23</v>
      </c>
      <c r="I969">
        <v>5474</v>
      </c>
      <c r="J969">
        <v>273.7</v>
      </c>
      <c r="K969">
        <v>5200.3</v>
      </c>
      <c r="L969">
        <v>4760</v>
      </c>
      <c r="M969">
        <v>440.30000000000018</v>
      </c>
      <c r="N969">
        <v>45571</v>
      </c>
      <c r="O969">
        <v>10</v>
      </c>
      <c r="P969" t="s">
        <v>55</v>
      </c>
      <c r="Q969">
        <v>2024</v>
      </c>
    </row>
    <row r="970" spans="1:17" x14ac:dyDescent="0.3">
      <c r="A970" t="s">
        <v>16</v>
      </c>
      <c r="B970" t="s">
        <v>20</v>
      </c>
      <c r="C970" t="s">
        <v>31</v>
      </c>
      <c r="D970" t="s">
        <v>90</v>
      </c>
      <c r="E970" t="s">
        <v>33</v>
      </c>
      <c r="F970">
        <v>679</v>
      </c>
      <c r="G970">
        <v>19</v>
      </c>
      <c r="H970">
        <v>17</v>
      </c>
      <c r="I970">
        <v>11543</v>
      </c>
      <c r="J970">
        <v>577.15</v>
      </c>
      <c r="K970">
        <v>10965.85</v>
      </c>
      <c r="L970">
        <v>12901</v>
      </c>
      <c r="M970">
        <v>-1935.1499999999996</v>
      </c>
      <c r="N970">
        <v>45572</v>
      </c>
      <c r="O970">
        <v>10</v>
      </c>
      <c r="P970" t="s">
        <v>55</v>
      </c>
      <c r="Q970">
        <v>2024</v>
      </c>
    </row>
    <row r="971" spans="1:17" x14ac:dyDescent="0.3">
      <c r="A971" t="s">
        <v>16</v>
      </c>
      <c r="B971" t="s">
        <v>17</v>
      </c>
      <c r="C971" t="s">
        <v>31</v>
      </c>
      <c r="D971" t="s">
        <v>159</v>
      </c>
      <c r="E971" t="s">
        <v>33</v>
      </c>
      <c r="F971">
        <v>850</v>
      </c>
      <c r="G971">
        <v>19</v>
      </c>
      <c r="H971">
        <v>38</v>
      </c>
      <c r="I971">
        <v>32300</v>
      </c>
      <c r="J971">
        <v>1615</v>
      </c>
      <c r="K971">
        <v>30685</v>
      </c>
      <c r="L971">
        <v>16150</v>
      </c>
      <c r="M971">
        <v>14535</v>
      </c>
      <c r="N971">
        <v>45443</v>
      </c>
      <c r="O971">
        <v>5</v>
      </c>
      <c r="P971" t="s">
        <v>46</v>
      </c>
      <c r="Q971">
        <v>2024</v>
      </c>
    </row>
    <row r="972" spans="1:17" x14ac:dyDescent="0.3">
      <c r="A972" t="s">
        <v>16</v>
      </c>
      <c r="B972" t="s">
        <v>17</v>
      </c>
      <c r="C972" t="s">
        <v>31</v>
      </c>
      <c r="D972" t="s">
        <v>159</v>
      </c>
      <c r="E972" t="s">
        <v>33</v>
      </c>
      <c r="F972">
        <v>195</v>
      </c>
      <c r="G972">
        <v>19</v>
      </c>
      <c r="H972">
        <v>38</v>
      </c>
      <c r="I972">
        <v>7410</v>
      </c>
      <c r="J972">
        <v>370.5</v>
      </c>
      <c r="K972">
        <v>7039.5</v>
      </c>
      <c r="L972">
        <v>3705</v>
      </c>
      <c r="M972">
        <v>3334.5</v>
      </c>
      <c r="N972">
        <v>45246</v>
      </c>
      <c r="O972">
        <v>11</v>
      </c>
      <c r="P972" t="s">
        <v>43</v>
      </c>
      <c r="Q972">
        <v>2023</v>
      </c>
    </row>
    <row r="973" spans="1:17" x14ac:dyDescent="0.3">
      <c r="A973" t="s">
        <v>27</v>
      </c>
      <c r="B973" t="s">
        <v>20</v>
      </c>
      <c r="C973" t="s">
        <v>31</v>
      </c>
      <c r="D973" t="s">
        <v>142</v>
      </c>
      <c r="E973" t="s">
        <v>33</v>
      </c>
      <c r="F973">
        <v>402</v>
      </c>
      <c r="G973">
        <v>14</v>
      </c>
      <c r="H973">
        <v>26</v>
      </c>
      <c r="I973">
        <v>10452</v>
      </c>
      <c r="J973">
        <v>522.6</v>
      </c>
      <c r="K973">
        <v>9929.4</v>
      </c>
      <c r="L973">
        <v>5628</v>
      </c>
      <c r="M973">
        <v>4301.3999999999996</v>
      </c>
      <c r="N973">
        <v>45314</v>
      </c>
      <c r="O973">
        <v>1</v>
      </c>
      <c r="P973" t="s">
        <v>58</v>
      </c>
      <c r="Q973">
        <v>2024</v>
      </c>
    </row>
    <row r="974" spans="1:17" x14ac:dyDescent="0.3">
      <c r="A974" t="s">
        <v>21</v>
      </c>
      <c r="B974" t="s">
        <v>22</v>
      </c>
      <c r="C974" t="s">
        <v>28</v>
      </c>
      <c r="D974" t="s">
        <v>67</v>
      </c>
      <c r="E974" t="s">
        <v>33</v>
      </c>
      <c r="F974">
        <v>909</v>
      </c>
      <c r="G974">
        <v>16</v>
      </c>
      <c r="H974">
        <v>27</v>
      </c>
      <c r="I974">
        <v>24543</v>
      </c>
      <c r="J974">
        <v>1227.1500000000001</v>
      </c>
      <c r="K974">
        <v>23315.85</v>
      </c>
      <c r="L974">
        <v>14544</v>
      </c>
      <c r="M974">
        <v>8771.8499999999985</v>
      </c>
      <c r="N974">
        <v>45075</v>
      </c>
      <c r="O974">
        <v>5</v>
      </c>
      <c r="P974" t="s">
        <v>46</v>
      </c>
      <c r="Q974">
        <v>2023</v>
      </c>
    </row>
    <row r="975" spans="1:17" x14ac:dyDescent="0.3">
      <c r="A975" t="s">
        <v>16</v>
      </c>
      <c r="B975" t="s">
        <v>36</v>
      </c>
      <c r="C975" t="s">
        <v>18</v>
      </c>
      <c r="D975" t="s">
        <v>97</v>
      </c>
      <c r="E975" t="s">
        <v>33</v>
      </c>
      <c r="F975">
        <v>918</v>
      </c>
      <c r="G975">
        <v>11</v>
      </c>
      <c r="H975">
        <v>19</v>
      </c>
      <c r="I975">
        <v>17442</v>
      </c>
      <c r="J975">
        <v>872.1</v>
      </c>
      <c r="K975">
        <v>16569.900000000001</v>
      </c>
      <c r="L975">
        <v>10098</v>
      </c>
      <c r="M975">
        <v>6471.9000000000015</v>
      </c>
      <c r="N975">
        <v>45596</v>
      </c>
      <c r="O975">
        <v>10</v>
      </c>
      <c r="P975" t="s">
        <v>55</v>
      </c>
      <c r="Q975">
        <v>2024</v>
      </c>
    </row>
    <row r="976" spans="1:17" x14ac:dyDescent="0.3">
      <c r="A976" t="s">
        <v>21</v>
      </c>
      <c r="B976" t="s">
        <v>17</v>
      </c>
      <c r="C976" t="s">
        <v>18</v>
      </c>
      <c r="D976" t="s">
        <v>167</v>
      </c>
      <c r="E976" t="s">
        <v>33</v>
      </c>
      <c r="F976">
        <v>76</v>
      </c>
      <c r="G976">
        <v>10</v>
      </c>
      <c r="H976">
        <v>23</v>
      </c>
      <c r="I976">
        <v>1748</v>
      </c>
      <c r="J976">
        <v>87.4</v>
      </c>
      <c r="K976">
        <v>1660.6</v>
      </c>
      <c r="L976">
        <v>760</v>
      </c>
      <c r="M976">
        <v>900.59999999999991</v>
      </c>
      <c r="N976">
        <v>45198</v>
      </c>
      <c r="O976">
        <v>9</v>
      </c>
      <c r="P976" t="s">
        <v>40</v>
      </c>
      <c r="Q976">
        <v>2023</v>
      </c>
    </row>
    <row r="977" spans="1:17" x14ac:dyDescent="0.3">
      <c r="A977" t="s">
        <v>25</v>
      </c>
      <c r="B977" t="s">
        <v>23</v>
      </c>
      <c r="C977" t="s">
        <v>18</v>
      </c>
      <c r="D977" t="s">
        <v>168</v>
      </c>
      <c r="E977" t="s">
        <v>33</v>
      </c>
      <c r="F977">
        <v>607</v>
      </c>
      <c r="G977">
        <v>17</v>
      </c>
      <c r="H977">
        <v>26</v>
      </c>
      <c r="I977">
        <v>15782</v>
      </c>
      <c r="J977">
        <v>789.1</v>
      </c>
      <c r="K977">
        <v>14992.9</v>
      </c>
      <c r="L977">
        <v>10319</v>
      </c>
      <c r="M977">
        <v>4673.8999999999996</v>
      </c>
      <c r="N977">
        <v>45640</v>
      </c>
      <c r="O977">
        <v>12</v>
      </c>
      <c r="P977" t="s">
        <v>77</v>
      </c>
      <c r="Q977">
        <v>2024</v>
      </c>
    </row>
    <row r="978" spans="1:17" x14ac:dyDescent="0.3">
      <c r="A978" t="s">
        <v>25</v>
      </c>
      <c r="B978" t="s">
        <v>17</v>
      </c>
      <c r="C978" t="s">
        <v>18</v>
      </c>
      <c r="D978" t="s">
        <v>98</v>
      </c>
      <c r="E978" t="s">
        <v>33</v>
      </c>
      <c r="F978">
        <v>647</v>
      </c>
      <c r="G978">
        <v>20</v>
      </c>
      <c r="H978">
        <v>18</v>
      </c>
      <c r="I978">
        <v>11646</v>
      </c>
      <c r="J978">
        <v>582.30000000000007</v>
      </c>
      <c r="K978">
        <v>11063.7</v>
      </c>
      <c r="L978">
        <v>12940</v>
      </c>
      <c r="M978">
        <v>-1876.2999999999993</v>
      </c>
      <c r="N978">
        <v>45701</v>
      </c>
      <c r="O978">
        <v>2</v>
      </c>
      <c r="P978" t="s">
        <v>52</v>
      </c>
      <c r="Q978">
        <v>2025</v>
      </c>
    </row>
    <row r="979" spans="1:17" x14ac:dyDescent="0.3">
      <c r="A979" t="s">
        <v>21</v>
      </c>
      <c r="B979" t="s">
        <v>36</v>
      </c>
      <c r="C979" t="s">
        <v>18</v>
      </c>
      <c r="D979" t="s">
        <v>169</v>
      </c>
      <c r="E979" t="s">
        <v>33</v>
      </c>
      <c r="F979">
        <v>536</v>
      </c>
      <c r="G979">
        <v>19</v>
      </c>
      <c r="H979">
        <v>18</v>
      </c>
      <c r="I979">
        <v>9648</v>
      </c>
      <c r="J979">
        <v>482.40000000000003</v>
      </c>
      <c r="K979">
        <v>9165.6</v>
      </c>
      <c r="L979">
        <v>10184</v>
      </c>
      <c r="M979">
        <v>-1018.3999999999996</v>
      </c>
      <c r="N979">
        <v>45069</v>
      </c>
      <c r="O979">
        <v>5</v>
      </c>
      <c r="P979" t="s">
        <v>46</v>
      </c>
      <c r="Q979">
        <v>2023</v>
      </c>
    </row>
    <row r="980" spans="1:17" x14ac:dyDescent="0.3">
      <c r="A980" t="s">
        <v>16</v>
      </c>
      <c r="B980" t="s">
        <v>36</v>
      </c>
      <c r="C980" t="s">
        <v>18</v>
      </c>
      <c r="D980" t="s">
        <v>97</v>
      </c>
      <c r="E980" t="s">
        <v>33</v>
      </c>
      <c r="F980">
        <v>765</v>
      </c>
      <c r="G980">
        <v>11</v>
      </c>
      <c r="H980">
        <v>19</v>
      </c>
      <c r="I980">
        <v>14535</v>
      </c>
      <c r="J980">
        <v>726.75</v>
      </c>
      <c r="K980">
        <v>13808.25</v>
      </c>
      <c r="L980">
        <v>8415</v>
      </c>
      <c r="M980">
        <v>5393.25</v>
      </c>
      <c r="N980">
        <v>45719</v>
      </c>
      <c r="O980">
        <v>3</v>
      </c>
      <c r="P980" t="s">
        <v>38</v>
      </c>
      <c r="Q980">
        <v>2025</v>
      </c>
    </row>
    <row r="981" spans="1:17" x14ac:dyDescent="0.3">
      <c r="A981" t="s">
        <v>26</v>
      </c>
      <c r="B981" t="s">
        <v>20</v>
      </c>
      <c r="C981" t="s">
        <v>18</v>
      </c>
      <c r="D981" t="s">
        <v>170</v>
      </c>
      <c r="E981" t="s">
        <v>33</v>
      </c>
      <c r="F981">
        <v>824</v>
      </c>
      <c r="G981">
        <v>18</v>
      </c>
      <c r="H981">
        <v>29</v>
      </c>
      <c r="I981">
        <v>23896</v>
      </c>
      <c r="J981">
        <v>1194.8</v>
      </c>
      <c r="K981">
        <v>22701.200000000001</v>
      </c>
      <c r="L981">
        <v>14832</v>
      </c>
      <c r="M981">
        <v>7869.2000000000007</v>
      </c>
      <c r="N981">
        <v>45553</v>
      </c>
      <c r="O981">
        <v>9</v>
      </c>
      <c r="P981" t="s">
        <v>40</v>
      </c>
      <c r="Q981">
        <v>2024</v>
      </c>
    </row>
    <row r="982" spans="1:17" x14ac:dyDescent="0.3">
      <c r="A982" t="s">
        <v>16</v>
      </c>
      <c r="B982" t="s">
        <v>23</v>
      </c>
      <c r="C982" t="s">
        <v>24</v>
      </c>
      <c r="D982" t="s">
        <v>163</v>
      </c>
      <c r="E982" t="s">
        <v>33</v>
      </c>
      <c r="F982">
        <v>879</v>
      </c>
      <c r="G982">
        <v>15</v>
      </c>
      <c r="H982">
        <v>34</v>
      </c>
      <c r="I982">
        <v>29886</v>
      </c>
      <c r="J982">
        <v>1494.3000000000002</v>
      </c>
      <c r="K982">
        <v>28391.7</v>
      </c>
      <c r="L982">
        <v>13185</v>
      </c>
      <c r="M982">
        <v>15206.7</v>
      </c>
      <c r="N982">
        <v>45343</v>
      </c>
      <c r="O982">
        <v>2</v>
      </c>
      <c r="P982" t="s">
        <v>52</v>
      </c>
      <c r="Q982">
        <v>2024</v>
      </c>
    </row>
    <row r="983" spans="1:17" x14ac:dyDescent="0.3">
      <c r="A983" t="s">
        <v>16</v>
      </c>
      <c r="B983" t="s">
        <v>20</v>
      </c>
      <c r="C983" t="s">
        <v>24</v>
      </c>
      <c r="D983" t="s">
        <v>57</v>
      </c>
      <c r="E983" t="s">
        <v>33</v>
      </c>
      <c r="F983">
        <v>811</v>
      </c>
      <c r="G983">
        <v>16</v>
      </c>
      <c r="H983">
        <v>31</v>
      </c>
      <c r="I983">
        <v>25141</v>
      </c>
      <c r="J983">
        <v>1257.0500000000002</v>
      </c>
      <c r="K983">
        <v>23883.95</v>
      </c>
      <c r="L983">
        <v>12976</v>
      </c>
      <c r="M983">
        <v>10907.95</v>
      </c>
      <c r="N983">
        <v>45264</v>
      </c>
      <c r="O983">
        <v>12</v>
      </c>
      <c r="P983" t="s">
        <v>77</v>
      </c>
      <c r="Q983">
        <v>2023</v>
      </c>
    </row>
    <row r="984" spans="1:17" x14ac:dyDescent="0.3">
      <c r="A984" t="s">
        <v>16</v>
      </c>
      <c r="B984" t="s">
        <v>22</v>
      </c>
      <c r="C984" t="s">
        <v>24</v>
      </c>
      <c r="D984" t="s">
        <v>50</v>
      </c>
      <c r="E984" t="s">
        <v>33</v>
      </c>
      <c r="F984">
        <v>70</v>
      </c>
      <c r="G984">
        <v>12</v>
      </c>
      <c r="H984">
        <v>35</v>
      </c>
      <c r="I984">
        <v>2450</v>
      </c>
      <c r="J984">
        <v>122.5</v>
      </c>
      <c r="K984">
        <v>2327.5</v>
      </c>
      <c r="L984">
        <v>840</v>
      </c>
      <c r="M984">
        <v>1487.5</v>
      </c>
      <c r="N984">
        <v>45637</v>
      </c>
      <c r="O984">
        <v>12</v>
      </c>
      <c r="P984" t="s">
        <v>77</v>
      </c>
      <c r="Q984">
        <v>2024</v>
      </c>
    </row>
    <row r="985" spans="1:17" x14ac:dyDescent="0.3">
      <c r="A985" t="s">
        <v>25</v>
      </c>
      <c r="B985" t="s">
        <v>36</v>
      </c>
      <c r="C985" t="s">
        <v>24</v>
      </c>
      <c r="D985" t="s">
        <v>123</v>
      </c>
      <c r="E985" t="s">
        <v>33</v>
      </c>
      <c r="F985">
        <v>219</v>
      </c>
      <c r="G985">
        <v>17</v>
      </c>
      <c r="H985">
        <v>31</v>
      </c>
      <c r="I985">
        <v>6789</v>
      </c>
      <c r="J985">
        <v>339.45000000000005</v>
      </c>
      <c r="K985">
        <v>6449.55</v>
      </c>
      <c r="L985">
        <v>3723</v>
      </c>
      <c r="M985">
        <v>2726.55</v>
      </c>
      <c r="N985">
        <v>45642</v>
      </c>
      <c r="O985">
        <v>12</v>
      </c>
      <c r="P985" t="s">
        <v>77</v>
      </c>
      <c r="Q985">
        <v>2024</v>
      </c>
    </row>
    <row r="986" spans="1:17" x14ac:dyDescent="0.3">
      <c r="A986" t="s">
        <v>16</v>
      </c>
      <c r="B986" t="s">
        <v>22</v>
      </c>
      <c r="C986" t="s">
        <v>28</v>
      </c>
      <c r="D986" t="s">
        <v>93</v>
      </c>
      <c r="E986" t="s">
        <v>33</v>
      </c>
      <c r="F986">
        <v>215</v>
      </c>
      <c r="G986">
        <v>12</v>
      </c>
      <c r="H986">
        <v>27</v>
      </c>
      <c r="I986">
        <v>5805</v>
      </c>
      <c r="J986">
        <v>290.25</v>
      </c>
      <c r="K986">
        <v>5514.75</v>
      </c>
      <c r="L986">
        <v>2580</v>
      </c>
      <c r="M986">
        <v>2934.75</v>
      </c>
      <c r="N986">
        <v>45600</v>
      </c>
      <c r="O986">
        <v>11</v>
      </c>
      <c r="P986" t="s">
        <v>43</v>
      </c>
      <c r="Q986">
        <v>2024</v>
      </c>
    </row>
    <row r="987" spans="1:17" x14ac:dyDescent="0.3">
      <c r="A987" t="s">
        <v>25</v>
      </c>
      <c r="B987" t="s">
        <v>17</v>
      </c>
      <c r="C987" t="s">
        <v>28</v>
      </c>
      <c r="D987" t="s">
        <v>63</v>
      </c>
      <c r="E987" t="s">
        <v>33</v>
      </c>
      <c r="F987">
        <v>829</v>
      </c>
      <c r="G987">
        <v>11</v>
      </c>
      <c r="H987">
        <v>21</v>
      </c>
      <c r="I987">
        <v>17409</v>
      </c>
      <c r="J987">
        <v>870.45</v>
      </c>
      <c r="K987">
        <v>16538.55</v>
      </c>
      <c r="L987">
        <v>9119</v>
      </c>
      <c r="M987">
        <v>7419.5499999999993</v>
      </c>
      <c r="N987">
        <v>45716</v>
      </c>
      <c r="O987">
        <v>2</v>
      </c>
      <c r="P987" t="s">
        <v>52</v>
      </c>
      <c r="Q987">
        <v>2025</v>
      </c>
    </row>
    <row r="988" spans="1:17" x14ac:dyDescent="0.3">
      <c r="A988" t="s">
        <v>16</v>
      </c>
      <c r="B988" t="s">
        <v>36</v>
      </c>
      <c r="C988" t="s">
        <v>28</v>
      </c>
      <c r="D988" t="s">
        <v>69</v>
      </c>
      <c r="E988" t="s">
        <v>33</v>
      </c>
      <c r="F988">
        <v>889</v>
      </c>
      <c r="G988">
        <v>20</v>
      </c>
      <c r="H988">
        <v>25</v>
      </c>
      <c r="I988">
        <v>22225</v>
      </c>
      <c r="J988">
        <v>1111.25</v>
      </c>
      <c r="K988">
        <v>21113.75</v>
      </c>
      <c r="L988">
        <v>17780</v>
      </c>
      <c r="M988">
        <v>3333.75</v>
      </c>
      <c r="N988">
        <v>45643</v>
      </c>
      <c r="O988">
        <v>12</v>
      </c>
      <c r="P988" t="s">
        <v>77</v>
      </c>
      <c r="Q988">
        <v>2024</v>
      </c>
    </row>
    <row r="989" spans="1:17" x14ac:dyDescent="0.3">
      <c r="A989" t="s">
        <v>26</v>
      </c>
      <c r="B989" t="s">
        <v>17</v>
      </c>
      <c r="C989" t="s">
        <v>29</v>
      </c>
      <c r="D989" t="s">
        <v>79</v>
      </c>
      <c r="E989" t="s">
        <v>33</v>
      </c>
      <c r="F989">
        <v>999</v>
      </c>
      <c r="G989">
        <v>16</v>
      </c>
      <c r="H989">
        <v>28</v>
      </c>
      <c r="I989">
        <v>27972</v>
      </c>
      <c r="J989">
        <v>1398.6000000000001</v>
      </c>
      <c r="K989">
        <v>26573.4</v>
      </c>
      <c r="L989">
        <v>15984</v>
      </c>
      <c r="M989">
        <v>10589.400000000001</v>
      </c>
      <c r="N989">
        <v>45569</v>
      </c>
      <c r="O989">
        <v>10</v>
      </c>
      <c r="P989" t="s">
        <v>55</v>
      </c>
      <c r="Q989">
        <v>2024</v>
      </c>
    </row>
    <row r="990" spans="1:17" x14ac:dyDescent="0.3">
      <c r="A990" t="s">
        <v>26</v>
      </c>
      <c r="B990" t="s">
        <v>36</v>
      </c>
      <c r="C990" t="s">
        <v>29</v>
      </c>
      <c r="D990" t="s">
        <v>78</v>
      </c>
      <c r="E990" t="s">
        <v>33</v>
      </c>
      <c r="F990">
        <v>788</v>
      </c>
      <c r="G990">
        <v>12</v>
      </c>
      <c r="H990">
        <v>36</v>
      </c>
      <c r="I990">
        <v>28368</v>
      </c>
      <c r="J990">
        <v>1418.4</v>
      </c>
      <c r="K990">
        <v>26949.599999999999</v>
      </c>
      <c r="L990">
        <v>9456</v>
      </c>
      <c r="M990">
        <v>17493.599999999999</v>
      </c>
      <c r="N990">
        <v>45312</v>
      </c>
      <c r="O990">
        <v>1</v>
      </c>
      <c r="P990" t="s">
        <v>58</v>
      </c>
      <c r="Q990">
        <v>2024</v>
      </c>
    </row>
    <row r="991" spans="1:17" x14ac:dyDescent="0.3">
      <c r="A991" t="s">
        <v>21</v>
      </c>
      <c r="B991" t="s">
        <v>20</v>
      </c>
      <c r="C991" t="s">
        <v>29</v>
      </c>
      <c r="D991" t="s">
        <v>171</v>
      </c>
      <c r="E991" t="s">
        <v>33</v>
      </c>
      <c r="F991">
        <v>773</v>
      </c>
      <c r="G991">
        <v>20</v>
      </c>
      <c r="H991">
        <v>38</v>
      </c>
      <c r="I991">
        <v>29374</v>
      </c>
      <c r="J991">
        <v>1468.7</v>
      </c>
      <c r="K991">
        <v>27905.3</v>
      </c>
      <c r="L991">
        <v>15460</v>
      </c>
      <c r="M991">
        <v>12445.3</v>
      </c>
      <c r="N991">
        <v>45437</v>
      </c>
      <c r="O991">
        <v>5</v>
      </c>
      <c r="P991" t="s">
        <v>46</v>
      </c>
      <c r="Q991">
        <v>2024</v>
      </c>
    </row>
    <row r="992" spans="1:17" x14ac:dyDescent="0.3">
      <c r="A992" t="s">
        <v>16</v>
      </c>
      <c r="B992" t="s">
        <v>22</v>
      </c>
      <c r="C992" t="s">
        <v>29</v>
      </c>
      <c r="D992" t="s">
        <v>94</v>
      </c>
      <c r="E992" t="s">
        <v>33</v>
      </c>
      <c r="F992">
        <v>700</v>
      </c>
      <c r="G992">
        <v>19</v>
      </c>
      <c r="H992">
        <v>22</v>
      </c>
      <c r="I992">
        <v>15400</v>
      </c>
      <c r="J992">
        <v>770</v>
      </c>
      <c r="K992">
        <v>14630</v>
      </c>
      <c r="L992">
        <v>13300</v>
      </c>
      <c r="M992">
        <v>1330</v>
      </c>
      <c r="N992">
        <v>45475</v>
      </c>
      <c r="O992">
        <v>7</v>
      </c>
      <c r="P992" t="s">
        <v>48</v>
      </c>
      <c r="Q992">
        <v>2024</v>
      </c>
    </row>
    <row r="993" spans="1:17" x14ac:dyDescent="0.3">
      <c r="A993" t="s">
        <v>16</v>
      </c>
      <c r="B993" t="s">
        <v>23</v>
      </c>
      <c r="C993" t="s">
        <v>29</v>
      </c>
      <c r="D993" t="s">
        <v>72</v>
      </c>
      <c r="E993" t="s">
        <v>33</v>
      </c>
      <c r="F993">
        <v>42</v>
      </c>
      <c r="G993">
        <v>18</v>
      </c>
      <c r="H993">
        <v>33</v>
      </c>
      <c r="I993">
        <v>1386</v>
      </c>
      <c r="J993">
        <v>69.3</v>
      </c>
      <c r="K993">
        <v>1316.7</v>
      </c>
      <c r="L993">
        <v>756</v>
      </c>
      <c r="M993">
        <v>560.70000000000005</v>
      </c>
      <c r="N993">
        <v>45517</v>
      </c>
      <c r="O993">
        <v>8</v>
      </c>
      <c r="P993" t="s">
        <v>62</v>
      </c>
      <c r="Q993">
        <v>2024</v>
      </c>
    </row>
    <row r="994" spans="1:17" x14ac:dyDescent="0.3">
      <c r="A994" t="s">
        <v>27</v>
      </c>
      <c r="B994" t="s">
        <v>22</v>
      </c>
      <c r="C994" t="s">
        <v>29</v>
      </c>
      <c r="D994" t="s">
        <v>172</v>
      </c>
      <c r="E994" t="s">
        <v>33</v>
      </c>
      <c r="F994">
        <v>904</v>
      </c>
      <c r="G994">
        <v>10</v>
      </c>
      <c r="H994">
        <v>34</v>
      </c>
      <c r="I994">
        <v>30736</v>
      </c>
      <c r="J994">
        <v>1536.8000000000002</v>
      </c>
      <c r="K994">
        <v>29199.200000000001</v>
      </c>
      <c r="L994">
        <v>9040</v>
      </c>
      <c r="M994">
        <v>20159.2</v>
      </c>
      <c r="N994">
        <v>45371</v>
      </c>
      <c r="O994">
        <v>3</v>
      </c>
      <c r="P994" t="s">
        <v>38</v>
      </c>
      <c r="Q994">
        <v>2024</v>
      </c>
    </row>
    <row r="995" spans="1:17" x14ac:dyDescent="0.3">
      <c r="A995" t="s">
        <v>16</v>
      </c>
      <c r="B995" t="s">
        <v>22</v>
      </c>
      <c r="C995" t="s">
        <v>29</v>
      </c>
      <c r="D995" t="s">
        <v>94</v>
      </c>
      <c r="E995" t="s">
        <v>33</v>
      </c>
      <c r="F995">
        <v>744</v>
      </c>
      <c r="G995">
        <v>19</v>
      </c>
      <c r="H995">
        <v>22</v>
      </c>
      <c r="I995">
        <v>16368</v>
      </c>
      <c r="J995">
        <v>818.40000000000009</v>
      </c>
      <c r="K995">
        <v>15549.6</v>
      </c>
      <c r="L995">
        <v>14136</v>
      </c>
      <c r="M995">
        <v>1413.6000000000004</v>
      </c>
      <c r="N995">
        <v>45225</v>
      </c>
      <c r="O995">
        <v>10</v>
      </c>
      <c r="P995" t="s">
        <v>55</v>
      </c>
      <c r="Q995">
        <v>2023</v>
      </c>
    </row>
    <row r="996" spans="1:17" x14ac:dyDescent="0.3">
      <c r="A996" t="s">
        <v>21</v>
      </c>
      <c r="B996" t="s">
        <v>17</v>
      </c>
      <c r="C996" t="s">
        <v>30</v>
      </c>
      <c r="D996" t="s">
        <v>173</v>
      </c>
      <c r="E996" t="s">
        <v>33</v>
      </c>
      <c r="F996">
        <v>858</v>
      </c>
      <c r="G996">
        <v>16</v>
      </c>
      <c r="H996">
        <v>31</v>
      </c>
      <c r="I996">
        <v>26598</v>
      </c>
      <c r="J996">
        <v>1329.9</v>
      </c>
      <c r="K996">
        <v>25268.1</v>
      </c>
      <c r="L996">
        <v>13728</v>
      </c>
      <c r="M996">
        <v>11540.099999999999</v>
      </c>
      <c r="N996">
        <v>45534</v>
      </c>
      <c r="O996">
        <v>8</v>
      </c>
      <c r="P996" t="s">
        <v>62</v>
      </c>
      <c r="Q996">
        <v>2024</v>
      </c>
    </row>
    <row r="997" spans="1:17" x14ac:dyDescent="0.3">
      <c r="A997" t="s">
        <v>16</v>
      </c>
      <c r="B997" t="s">
        <v>23</v>
      </c>
      <c r="C997" t="s">
        <v>30</v>
      </c>
      <c r="D997" t="s">
        <v>119</v>
      </c>
      <c r="E997" t="s">
        <v>33</v>
      </c>
      <c r="F997">
        <v>539</v>
      </c>
      <c r="G997">
        <v>18</v>
      </c>
      <c r="H997">
        <v>19</v>
      </c>
      <c r="I997">
        <v>10241</v>
      </c>
      <c r="J997">
        <v>512.05000000000007</v>
      </c>
      <c r="K997">
        <v>9728.9500000000007</v>
      </c>
      <c r="L997">
        <v>9702</v>
      </c>
      <c r="M997">
        <v>26.950000000000728</v>
      </c>
      <c r="N997">
        <v>45285</v>
      </c>
      <c r="O997">
        <v>12</v>
      </c>
      <c r="P997" t="s">
        <v>77</v>
      </c>
      <c r="Q997">
        <v>2023</v>
      </c>
    </row>
    <row r="998" spans="1:17" x14ac:dyDescent="0.3">
      <c r="A998" t="s">
        <v>27</v>
      </c>
      <c r="B998" t="s">
        <v>22</v>
      </c>
      <c r="C998" t="s">
        <v>30</v>
      </c>
      <c r="D998" t="s">
        <v>85</v>
      </c>
      <c r="E998" t="s">
        <v>33</v>
      </c>
      <c r="F998">
        <v>141</v>
      </c>
      <c r="G998">
        <v>18</v>
      </c>
      <c r="H998">
        <v>30</v>
      </c>
      <c r="I998">
        <v>4230</v>
      </c>
      <c r="J998">
        <v>211.5</v>
      </c>
      <c r="K998">
        <v>4018.5</v>
      </c>
      <c r="L998">
        <v>2538</v>
      </c>
      <c r="M998">
        <v>1480.5</v>
      </c>
      <c r="N998">
        <v>45297</v>
      </c>
      <c r="O998">
        <v>1</v>
      </c>
      <c r="P998" t="s">
        <v>58</v>
      </c>
      <c r="Q998">
        <v>2024</v>
      </c>
    </row>
    <row r="999" spans="1:17" x14ac:dyDescent="0.3">
      <c r="A999" t="s">
        <v>16</v>
      </c>
      <c r="B999" t="s">
        <v>23</v>
      </c>
      <c r="C999" t="s">
        <v>30</v>
      </c>
      <c r="D999" t="s">
        <v>119</v>
      </c>
      <c r="E999" t="s">
        <v>33</v>
      </c>
      <c r="F999">
        <v>183</v>
      </c>
      <c r="G999">
        <v>18</v>
      </c>
      <c r="H999">
        <v>19</v>
      </c>
      <c r="I999">
        <v>3477</v>
      </c>
      <c r="J999">
        <v>173.85000000000002</v>
      </c>
      <c r="K999">
        <v>3303.15</v>
      </c>
      <c r="L999">
        <v>3294</v>
      </c>
      <c r="M999">
        <v>9.1500000000000909</v>
      </c>
      <c r="N999">
        <v>45435</v>
      </c>
      <c r="O999">
        <v>5</v>
      </c>
      <c r="P999" t="s">
        <v>46</v>
      </c>
      <c r="Q999">
        <v>2024</v>
      </c>
    </row>
    <row r="1000" spans="1:17" x14ac:dyDescent="0.3">
      <c r="A1000" t="s">
        <v>27</v>
      </c>
      <c r="B1000" t="s">
        <v>17</v>
      </c>
      <c r="C1000" t="s">
        <v>30</v>
      </c>
      <c r="D1000" t="s">
        <v>80</v>
      </c>
      <c r="E1000" t="s">
        <v>33</v>
      </c>
      <c r="F1000">
        <v>556</v>
      </c>
      <c r="G1000">
        <v>16</v>
      </c>
      <c r="H1000">
        <v>16</v>
      </c>
      <c r="I1000">
        <v>8896</v>
      </c>
      <c r="J1000">
        <v>444.8</v>
      </c>
      <c r="K1000">
        <v>8451.2000000000007</v>
      </c>
      <c r="L1000">
        <v>8896</v>
      </c>
      <c r="M1000">
        <v>-444.79999999999927</v>
      </c>
      <c r="N1000">
        <v>45116</v>
      </c>
      <c r="O1000">
        <v>7</v>
      </c>
      <c r="P1000" t="s">
        <v>48</v>
      </c>
      <c r="Q1000">
        <v>2023</v>
      </c>
    </row>
    <row r="1001" spans="1:17" x14ac:dyDescent="0.3">
      <c r="A1001" t="s">
        <v>26</v>
      </c>
      <c r="B1001" t="s">
        <v>22</v>
      </c>
      <c r="C1001" t="s">
        <v>31</v>
      </c>
      <c r="D1001" t="s">
        <v>174</v>
      </c>
      <c r="E1001" t="s">
        <v>33</v>
      </c>
      <c r="F1001">
        <v>991</v>
      </c>
      <c r="G1001">
        <v>20</v>
      </c>
      <c r="H1001">
        <v>29</v>
      </c>
      <c r="I1001">
        <v>28739</v>
      </c>
      <c r="J1001">
        <v>1436.95</v>
      </c>
      <c r="K1001">
        <v>27302.05</v>
      </c>
      <c r="L1001">
        <v>19820</v>
      </c>
      <c r="M1001">
        <v>7482.0499999999993</v>
      </c>
      <c r="N1001">
        <v>45222</v>
      </c>
      <c r="O1001">
        <v>10</v>
      </c>
      <c r="P1001" t="s">
        <v>55</v>
      </c>
      <c r="Q1001">
        <v>2023</v>
      </c>
    </row>
    <row r="1002" spans="1:17" x14ac:dyDescent="0.3">
      <c r="A1002" t="s">
        <v>16</v>
      </c>
      <c r="B1002" t="s">
        <v>23</v>
      </c>
      <c r="C1002" t="s">
        <v>31</v>
      </c>
      <c r="D1002" t="s">
        <v>157</v>
      </c>
      <c r="E1002" t="s">
        <v>33</v>
      </c>
      <c r="F1002">
        <v>512</v>
      </c>
      <c r="G1002">
        <v>14</v>
      </c>
      <c r="H1002">
        <v>32</v>
      </c>
      <c r="I1002">
        <v>16384</v>
      </c>
      <c r="J1002">
        <v>819.2</v>
      </c>
      <c r="K1002">
        <v>15564.8</v>
      </c>
      <c r="L1002">
        <v>7168</v>
      </c>
      <c r="M1002">
        <v>8396.7999999999993</v>
      </c>
      <c r="N1002">
        <v>45416</v>
      </c>
      <c r="O1002">
        <v>5</v>
      </c>
      <c r="P1002" t="s">
        <v>46</v>
      </c>
      <c r="Q1002">
        <v>2024</v>
      </c>
    </row>
    <row r="1003" spans="1:17" x14ac:dyDescent="0.3">
      <c r="A1003" t="s">
        <v>16</v>
      </c>
      <c r="B1003" t="s">
        <v>36</v>
      </c>
      <c r="C1003" t="s">
        <v>31</v>
      </c>
      <c r="D1003" t="s">
        <v>91</v>
      </c>
      <c r="E1003" t="s">
        <v>33</v>
      </c>
      <c r="F1003">
        <v>662</v>
      </c>
      <c r="G1003">
        <v>10</v>
      </c>
      <c r="H1003">
        <v>19</v>
      </c>
      <c r="I1003">
        <v>12578</v>
      </c>
      <c r="J1003">
        <v>628.90000000000009</v>
      </c>
      <c r="K1003">
        <v>11949.1</v>
      </c>
      <c r="L1003">
        <v>6620</v>
      </c>
      <c r="M1003">
        <v>5329.1</v>
      </c>
      <c r="N1003">
        <v>45293</v>
      </c>
      <c r="O1003">
        <v>1</v>
      </c>
      <c r="P1003" t="s">
        <v>58</v>
      </c>
      <c r="Q1003">
        <v>2024</v>
      </c>
    </row>
    <row r="1004" spans="1:17" x14ac:dyDescent="0.3">
      <c r="A1004" t="s">
        <v>16</v>
      </c>
      <c r="B1004" t="s">
        <v>22</v>
      </c>
      <c r="C1004" t="s">
        <v>31</v>
      </c>
      <c r="D1004" t="s">
        <v>87</v>
      </c>
      <c r="E1004" t="s">
        <v>33</v>
      </c>
      <c r="F1004">
        <v>321</v>
      </c>
      <c r="G1004">
        <v>19</v>
      </c>
      <c r="H1004">
        <v>19</v>
      </c>
      <c r="I1004">
        <v>6099</v>
      </c>
      <c r="J1004">
        <v>304.95</v>
      </c>
      <c r="K1004">
        <v>5794.05</v>
      </c>
      <c r="L1004">
        <v>6099</v>
      </c>
      <c r="M1004">
        <v>-304.94999999999982</v>
      </c>
      <c r="N1004">
        <v>45130</v>
      </c>
      <c r="O1004">
        <v>7</v>
      </c>
      <c r="P1004" t="s">
        <v>48</v>
      </c>
      <c r="Q1004">
        <v>2023</v>
      </c>
    </row>
    <row r="1005" spans="1:17" x14ac:dyDescent="0.3">
      <c r="A1005" t="s">
        <v>16</v>
      </c>
      <c r="B1005" t="s">
        <v>22</v>
      </c>
      <c r="C1005" t="s">
        <v>31</v>
      </c>
      <c r="D1005" t="s">
        <v>87</v>
      </c>
      <c r="E1005" t="s">
        <v>33</v>
      </c>
      <c r="F1005">
        <v>124</v>
      </c>
      <c r="G1005">
        <v>19</v>
      </c>
      <c r="H1005">
        <v>19</v>
      </c>
      <c r="I1005">
        <v>2356</v>
      </c>
      <c r="J1005">
        <v>117.80000000000001</v>
      </c>
      <c r="K1005">
        <v>2238.1999999999998</v>
      </c>
      <c r="L1005">
        <v>2356</v>
      </c>
      <c r="M1005">
        <v>-117.80000000000018</v>
      </c>
      <c r="N1005">
        <v>45604</v>
      </c>
      <c r="O1005">
        <v>11</v>
      </c>
      <c r="P1005" t="s">
        <v>43</v>
      </c>
      <c r="Q1005">
        <v>2024</v>
      </c>
    </row>
    <row r="1006" spans="1:17" x14ac:dyDescent="0.3">
      <c r="A1006" t="s">
        <v>16</v>
      </c>
      <c r="B1006" t="s">
        <v>22</v>
      </c>
      <c r="C1006" t="s">
        <v>24</v>
      </c>
      <c r="D1006" t="s">
        <v>50</v>
      </c>
      <c r="E1006" t="s">
        <v>33</v>
      </c>
      <c r="F1006">
        <v>164</v>
      </c>
      <c r="G1006">
        <v>12</v>
      </c>
      <c r="H1006">
        <v>35</v>
      </c>
      <c r="I1006">
        <v>5740</v>
      </c>
      <c r="J1006">
        <v>287</v>
      </c>
      <c r="K1006">
        <v>5453</v>
      </c>
      <c r="L1006">
        <v>1968</v>
      </c>
      <c r="M1006">
        <v>3485</v>
      </c>
      <c r="N1006">
        <v>45104</v>
      </c>
      <c r="O1006">
        <v>6</v>
      </c>
      <c r="P1006" t="s">
        <v>45</v>
      </c>
      <c r="Q1006">
        <v>2023</v>
      </c>
    </row>
    <row r="1007" spans="1:17" x14ac:dyDescent="0.3">
      <c r="A1007" t="s">
        <v>21</v>
      </c>
      <c r="B1007" t="s">
        <v>36</v>
      </c>
      <c r="C1007" t="s">
        <v>28</v>
      </c>
      <c r="D1007" t="s">
        <v>107</v>
      </c>
      <c r="E1007" t="s">
        <v>33</v>
      </c>
      <c r="F1007">
        <v>54</v>
      </c>
      <c r="G1007">
        <v>13</v>
      </c>
      <c r="H1007">
        <v>31</v>
      </c>
      <c r="I1007">
        <v>1674</v>
      </c>
      <c r="J1007">
        <v>83.7</v>
      </c>
      <c r="K1007">
        <v>1590.3</v>
      </c>
      <c r="L1007">
        <v>702</v>
      </c>
      <c r="M1007">
        <v>888.3</v>
      </c>
      <c r="N1007">
        <v>45632</v>
      </c>
      <c r="O1007">
        <v>12</v>
      </c>
      <c r="P1007" t="s">
        <v>77</v>
      </c>
      <c r="Q1007">
        <v>2024</v>
      </c>
    </row>
    <row r="1008" spans="1:17" x14ac:dyDescent="0.3">
      <c r="A1008" t="s">
        <v>21</v>
      </c>
      <c r="B1008" t="s">
        <v>20</v>
      </c>
      <c r="C1008" t="s">
        <v>28</v>
      </c>
      <c r="D1008" t="s">
        <v>111</v>
      </c>
      <c r="E1008" t="s">
        <v>33</v>
      </c>
      <c r="F1008">
        <v>472</v>
      </c>
      <c r="G1008">
        <v>16</v>
      </c>
      <c r="H1008">
        <v>27</v>
      </c>
      <c r="I1008">
        <v>12744</v>
      </c>
      <c r="J1008">
        <v>637.20000000000005</v>
      </c>
      <c r="K1008">
        <v>12106.8</v>
      </c>
      <c r="L1008">
        <v>7552</v>
      </c>
      <c r="M1008">
        <v>4554.7999999999993</v>
      </c>
      <c r="N1008">
        <v>45042</v>
      </c>
      <c r="O1008">
        <v>4</v>
      </c>
      <c r="P1008" t="s">
        <v>75</v>
      </c>
      <c r="Q1008">
        <v>2023</v>
      </c>
    </row>
    <row r="1009" spans="1:17" x14ac:dyDescent="0.3">
      <c r="A1009" t="s">
        <v>21</v>
      </c>
      <c r="B1009" t="s">
        <v>36</v>
      </c>
      <c r="C1009" t="s">
        <v>28</v>
      </c>
      <c r="D1009" t="s">
        <v>107</v>
      </c>
      <c r="E1009" t="s">
        <v>33</v>
      </c>
      <c r="F1009">
        <v>824</v>
      </c>
      <c r="G1009">
        <v>13</v>
      </c>
      <c r="H1009">
        <v>31</v>
      </c>
      <c r="I1009">
        <v>25544</v>
      </c>
      <c r="J1009">
        <v>1277.2</v>
      </c>
      <c r="K1009">
        <v>24266.799999999999</v>
      </c>
      <c r="L1009">
        <v>10712</v>
      </c>
      <c r="M1009">
        <v>13554.8</v>
      </c>
      <c r="N1009">
        <v>45722</v>
      </c>
      <c r="O1009">
        <v>3</v>
      </c>
      <c r="P1009" t="s">
        <v>38</v>
      </c>
      <c r="Q1009">
        <v>2025</v>
      </c>
    </row>
    <row r="1010" spans="1:17" x14ac:dyDescent="0.3">
      <c r="A1010" t="s">
        <v>16</v>
      </c>
      <c r="B1010" t="s">
        <v>22</v>
      </c>
      <c r="C1010" t="s">
        <v>28</v>
      </c>
      <c r="D1010" t="s">
        <v>93</v>
      </c>
      <c r="E1010" t="s">
        <v>33</v>
      </c>
      <c r="F1010">
        <v>690</v>
      </c>
      <c r="G1010">
        <v>12</v>
      </c>
      <c r="H1010">
        <v>27</v>
      </c>
      <c r="I1010">
        <v>18630</v>
      </c>
      <c r="J1010">
        <v>931.5</v>
      </c>
      <c r="K1010">
        <v>17698.5</v>
      </c>
      <c r="L1010">
        <v>8280</v>
      </c>
      <c r="M1010">
        <v>9418.5</v>
      </c>
      <c r="N1010">
        <v>45440</v>
      </c>
      <c r="O1010">
        <v>5</v>
      </c>
      <c r="P1010" t="s">
        <v>46</v>
      </c>
      <c r="Q1010">
        <v>2024</v>
      </c>
    </row>
    <row r="1011" spans="1:17" x14ac:dyDescent="0.3">
      <c r="A1011" t="s">
        <v>16</v>
      </c>
      <c r="B1011" t="s">
        <v>20</v>
      </c>
      <c r="C1011" t="s">
        <v>29</v>
      </c>
      <c r="D1011" t="s">
        <v>76</v>
      </c>
      <c r="E1011" t="s">
        <v>33</v>
      </c>
      <c r="F1011">
        <v>559</v>
      </c>
      <c r="G1011">
        <v>11</v>
      </c>
      <c r="H1011">
        <v>30</v>
      </c>
      <c r="I1011">
        <v>16770</v>
      </c>
      <c r="J1011">
        <v>838.5</v>
      </c>
      <c r="K1011">
        <v>15931.5</v>
      </c>
      <c r="L1011">
        <v>6149</v>
      </c>
      <c r="M1011">
        <v>9782.5</v>
      </c>
      <c r="N1011">
        <v>45445</v>
      </c>
      <c r="O1011">
        <v>6</v>
      </c>
      <c r="P1011" t="s">
        <v>45</v>
      </c>
      <c r="Q1011">
        <v>2024</v>
      </c>
    </row>
    <row r="1012" spans="1:17" x14ac:dyDescent="0.3">
      <c r="A1012" t="s">
        <v>16</v>
      </c>
      <c r="B1012" t="s">
        <v>23</v>
      </c>
      <c r="C1012" t="s">
        <v>29</v>
      </c>
      <c r="D1012" t="s">
        <v>72</v>
      </c>
      <c r="E1012" t="s">
        <v>33</v>
      </c>
      <c r="F1012">
        <v>460</v>
      </c>
      <c r="G1012">
        <v>18</v>
      </c>
      <c r="H1012">
        <v>33</v>
      </c>
      <c r="I1012">
        <v>15180</v>
      </c>
      <c r="J1012">
        <v>759</v>
      </c>
      <c r="K1012">
        <v>14421</v>
      </c>
      <c r="L1012">
        <v>8280</v>
      </c>
      <c r="M1012">
        <v>6141</v>
      </c>
      <c r="N1012">
        <v>45262</v>
      </c>
      <c r="O1012">
        <v>12</v>
      </c>
      <c r="P1012" t="s">
        <v>77</v>
      </c>
      <c r="Q1012">
        <v>2023</v>
      </c>
    </row>
    <row r="1013" spans="1:17" x14ac:dyDescent="0.3">
      <c r="A1013" t="s">
        <v>21</v>
      </c>
      <c r="B1013" t="s">
        <v>36</v>
      </c>
      <c r="C1013" t="s">
        <v>30</v>
      </c>
      <c r="D1013" t="s">
        <v>175</v>
      </c>
      <c r="E1013" t="s">
        <v>33</v>
      </c>
      <c r="F1013">
        <v>410</v>
      </c>
      <c r="G1013">
        <v>11</v>
      </c>
      <c r="H1013">
        <v>21</v>
      </c>
      <c r="I1013">
        <v>8610</v>
      </c>
      <c r="J1013">
        <v>430.5</v>
      </c>
      <c r="K1013">
        <v>8179.5</v>
      </c>
      <c r="L1013">
        <v>4510</v>
      </c>
      <c r="M1013">
        <v>3669.5</v>
      </c>
      <c r="N1013">
        <v>45494</v>
      </c>
      <c r="O1013">
        <v>7</v>
      </c>
      <c r="P1013" t="s">
        <v>48</v>
      </c>
      <c r="Q1013">
        <v>2024</v>
      </c>
    </row>
    <row r="1014" spans="1:17" x14ac:dyDescent="0.3">
      <c r="A1014" t="s">
        <v>25</v>
      </c>
      <c r="B1014" t="s">
        <v>23</v>
      </c>
      <c r="C1014" t="s">
        <v>18</v>
      </c>
      <c r="D1014" t="s">
        <v>168</v>
      </c>
      <c r="E1014" t="s">
        <v>33</v>
      </c>
      <c r="F1014">
        <v>624</v>
      </c>
      <c r="G1014">
        <v>17</v>
      </c>
      <c r="H1014">
        <v>26</v>
      </c>
      <c r="I1014">
        <v>16224</v>
      </c>
      <c r="J1014">
        <v>811.2</v>
      </c>
      <c r="K1014">
        <v>15412.8</v>
      </c>
      <c r="L1014">
        <v>10608</v>
      </c>
      <c r="M1014">
        <v>4804.7999999999993</v>
      </c>
      <c r="N1014">
        <v>45231</v>
      </c>
      <c r="O1014">
        <v>11</v>
      </c>
      <c r="P1014" t="s">
        <v>43</v>
      </c>
      <c r="Q1014">
        <v>2023</v>
      </c>
    </row>
    <row r="1015" spans="1:17" x14ac:dyDescent="0.3">
      <c r="A1015" t="s">
        <v>25</v>
      </c>
      <c r="B1015" t="s">
        <v>17</v>
      </c>
      <c r="C1015" t="s">
        <v>18</v>
      </c>
      <c r="D1015" t="s">
        <v>98</v>
      </c>
      <c r="E1015" t="s">
        <v>33</v>
      </c>
      <c r="F1015">
        <v>695</v>
      </c>
      <c r="G1015">
        <v>20</v>
      </c>
      <c r="H1015">
        <v>18</v>
      </c>
      <c r="I1015">
        <v>12510</v>
      </c>
      <c r="J1015">
        <v>625.5</v>
      </c>
      <c r="K1015">
        <v>11884.5</v>
      </c>
      <c r="L1015">
        <v>13900</v>
      </c>
      <c r="M1015">
        <v>-2015.5</v>
      </c>
      <c r="N1015">
        <v>45758</v>
      </c>
      <c r="O1015">
        <v>4</v>
      </c>
      <c r="P1015" t="s">
        <v>75</v>
      </c>
      <c r="Q1015">
        <v>2025</v>
      </c>
    </row>
    <row r="1016" spans="1:17" x14ac:dyDescent="0.3">
      <c r="A1016" t="s">
        <v>16</v>
      </c>
      <c r="B1016" t="s">
        <v>23</v>
      </c>
      <c r="C1016" t="s">
        <v>18</v>
      </c>
      <c r="D1016" t="s">
        <v>96</v>
      </c>
      <c r="E1016" t="s">
        <v>33</v>
      </c>
      <c r="F1016">
        <v>248</v>
      </c>
      <c r="G1016">
        <v>14</v>
      </c>
      <c r="H1016">
        <v>35</v>
      </c>
      <c r="I1016">
        <v>8680</v>
      </c>
      <c r="J1016">
        <v>434</v>
      </c>
      <c r="K1016">
        <v>8246</v>
      </c>
      <c r="L1016">
        <v>3472</v>
      </c>
      <c r="M1016">
        <v>4774</v>
      </c>
      <c r="N1016">
        <v>45433</v>
      </c>
      <c r="O1016">
        <v>5</v>
      </c>
      <c r="P1016" t="s">
        <v>46</v>
      </c>
      <c r="Q1016">
        <v>2024</v>
      </c>
    </row>
    <row r="1017" spans="1:17" x14ac:dyDescent="0.3">
      <c r="A1017" t="s">
        <v>25</v>
      </c>
      <c r="B1017" t="s">
        <v>23</v>
      </c>
      <c r="C1017" t="s">
        <v>24</v>
      </c>
      <c r="D1017" t="s">
        <v>125</v>
      </c>
      <c r="E1017" t="s">
        <v>33</v>
      </c>
      <c r="F1017">
        <v>765</v>
      </c>
      <c r="G1017">
        <v>10</v>
      </c>
      <c r="H1017">
        <v>19</v>
      </c>
      <c r="I1017">
        <v>14535</v>
      </c>
      <c r="J1017">
        <v>726.75</v>
      </c>
      <c r="K1017">
        <v>13808.25</v>
      </c>
      <c r="L1017">
        <v>7650</v>
      </c>
      <c r="M1017">
        <v>6158.25</v>
      </c>
      <c r="N1017">
        <v>45414</v>
      </c>
      <c r="O1017">
        <v>5</v>
      </c>
      <c r="P1017" t="s">
        <v>46</v>
      </c>
      <c r="Q1017">
        <v>2024</v>
      </c>
    </row>
    <row r="1018" spans="1:17" x14ac:dyDescent="0.3">
      <c r="A1018" t="s">
        <v>25</v>
      </c>
      <c r="B1018" t="s">
        <v>22</v>
      </c>
      <c r="C1018" t="s">
        <v>24</v>
      </c>
      <c r="D1018" t="s">
        <v>146</v>
      </c>
      <c r="E1018" t="s">
        <v>33</v>
      </c>
      <c r="F1018">
        <v>210</v>
      </c>
      <c r="G1018">
        <v>11</v>
      </c>
      <c r="H1018">
        <v>32</v>
      </c>
      <c r="I1018">
        <v>6720</v>
      </c>
      <c r="J1018">
        <v>336</v>
      </c>
      <c r="K1018">
        <v>6384</v>
      </c>
      <c r="L1018">
        <v>2310</v>
      </c>
      <c r="M1018">
        <v>4074</v>
      </c>
      <c r="N1018">
        <v>45690</v>
      </c>
      <c r="O1018">
        <v>2</v>
      </c>
      <c r="P1018" t="s">
        <v>52</v>
      </c>
      <c r="Q1018">
        <v>2025</v>
      </c>
    </row>
    <row r="1019" spans="1:17" x14ac:dyDescent="0.3">
      <c r="A1019" t="s">
        <v>16</v>
      </c>
      <c r="B1019" t="s">
        <v>22</v>
      </c>
      <c r="C1019" t="s">
        <v>28</v>
      </c>
      <c r="D1019" t="s">
        <v>93</v>
      </c>
      <c r="E1019" t="s">
        <v>33</v>
      </c>
      <c r="F1019">
        <v>112</v>
      </c>
      <c r="G1019">
        <v>12</v>
      </c>
      <c r="H1019">
        <v>27</v>
      </c>
      <c r="I1019">
        <v>3024</v>
      </c>
      <c r="J1019">
        <v>151.20000000000002</v>
      </c>
      <c r="K1019">
        <v>2872.8</v>
      </c>
      <c r="L1019">
        <v>1344</v>
      </c>
      <c r="M1019">
        <v>1528.8000000000002</v>
      </c>
      <c r="N1019">
        <v>45541</v>
      </c>
      <c r="O1019">
        <v>9</v>
      </c>
      <c r="P1019" t="s">
        <v>40</v>
      </c>
      <c r="Q1019">
        <v>2024</v>
      </c>
    </row>
    <row r="1020" spans="1:17" x14ac:dyDescent="0.3">
      <c r="A1020" t="s">
        <v>21</v>
      </c>
      <c r="B1020" t="s">
        <v>17</v>
      </c>
      <c r="C1020" t="s">
        <v>29</v>
      </c>
      <c r="D1020" t="s">
        <v>176</v>
      </c>
      <c r="E1020" t="s">
        <v>33</v>
      </c>
      <c r="F1020">
        <v>401</v>
      </c>
      <c r="G1020">
        <v>14</v>
      </c>
      <c r="H1020">
        <v>29</v>
      </c>
      <c r="I1020">
        <v>11629</v>
      </c>
      <c r="J1020">
        <v>581.45000000000005</v>
      </c>
      <c r="K1020">
        <v>11047.55</v>
      </c>
      <c r="L1020">
        <v>5614</v>
      </c>
      <c r="M1020">
        <v>5433.5499999999993</v>
      </c>
      <c r="N1020">
        <v>45602</v>
      </c>
      <c r="O1020">
        <v>11</v>
      </c>
      <c r="P1020" t="s">
        <v>43</v>
      </c>
      <c r="Q1020">
        <v>2024</v>
      </c>
    </row>
    <row r="1021" spans="1:17" x14ac:dyDescent="0.3">
      <c r="A1021" t="s">
        <v>16</v>
      </c>
      <c r="B1021" t="s">
        <v>17</v>
      </c>
      <c r="C1021" t="s">
        <v>29</v>
      </c>
      <c r="D1021" t="s">
        <v>113</v>
      </c>
      <c r="E1021" t="s">
        <v>33</v>
      </c>
      <c r="F1021">
        <v>496</v>
      </c>
      <c r="G1021">
        <v>18</v>
      </c>
      <c r="H1021">
        <v>23</v>
      </c>
      <c r="I1021">
        <v>11408</v>
      </c>
      <c r="J1021">
        <v>570.4</v>
      </c>
      <c r="K1021">
        <v>10837.6</v>
      </c>
      <c r="L1021">
        <v>8928</v>
      </c>
      <c r="M1021">
        <v>1909.6000000000004</v>
      </c>
      <c r="N1021">
        <v>45294</v>
      </c>
      <c r="O1021">
        <v>1</v>
      </c>
      <c r="P1021" t="s">
        <v>58</v>
      </c>
      <c r="Q1021">
        <v>2024</v>
      </c>
    </row>
    <row r="1022" spans="1:17" x14ac:dyDescent="0.3">
      <c r="A1022" t="s">
        <v>16</v>
      </c>
      <c r="B1022" t="s">
        <v>36</v>
      </c>
      <c r="C1022" t="s">
        <v>29</v>
      </c>
      <c r="D1022" t="s">
        <v>134</v>
      </c>
      <c r="E1022" t="s">
        <v>33</v>
      </c>
      <c r="F1022">
        <v>616</v>
      </c>
      <c r="G1022">
        <v>13</v>
      </c>
      <c r="H1022">
        <v>38</v>
      </c>
      <c r="I1022">
        <v>23408</v>
      </c>
      <c r="J1022">
        <v>1170.4000000000001</v>
      </c>
      <c r="K1022">
        <v>22237.599999999999</v>
      </c>
      <c r="L1022">
        <v>8008</v>
      </c>
      <c r="M1022">
        <v>14229.599999999999</v>
      </c>
      <c r="N1022">
        <v>45480</v>
      </c>
      <c r="O1022">
        <v>7</v>
      </c>
      <c r="P1022" t="s">
        <v>48</v>
      </c>
      <c r="Q1022">
        <v>2024</v>
      </c>
    </row>
    <row r="1023" spans="1:17" x14ac:dyDescent="0.3">
      <c r="A1023" t="s">
        <v>16</v>
      </c>
      <c r="B1023" t="s">
        <v>17</v>
      </c>
      <c r="C1023" t="s">
        <v>29</v>
      </c>
      <c r="D1023" t="s">
        <v>113</v>
      </c>
      <c r="E1023" t="s">
        <v>33</v>
      </c>
      <c r="F1023">
        <v>986</v>
      </c>
      <c r="G1023">
        <v>18</v>
      </c>
      <c r="H1023">
        <v>23</v>
      </c>
      <c r="I1023">
        <v>22678</v>
      </c>
      <c r="J1023">
        <v>1133.9000000000001</v>
      </c>
      <c r="K1023">
        <v>21544.1</v>
      </c>
      <c r="L1023">
        <v>17748</v>
      </c>
      <c r="M1023">
        <v>3796.0999999999985</v>
      </c>
      <c r="N1023">
        <v>45389</v>
      </c>
      <c r="O1023">
        <v>4</v>
      </c>
      <c r="P1023" t="s">
        <v>75</v>
      </c>
      <c r="Q1023">
        <v>2024</v>
      </c>
    </row>
    <row r="1024" spans="1:17" x14ac:dyDescent="0.3">
      <c r="A1024" t="s">
        <v>25</v>
      </c>
      <c r="B1024" t="s">
        <v>22</v>
      </c>
      <c r="C1024" t="s">
        <v>30</v>
      </c>
      <c r="D1024" t="s">
        <v>155</v>
      </c>
      <c r="E1024" t="s">
        <v>33</v>
      </c>
      <c r="F1024">
        <v>254</v>
      </c>
      <c r="G1024">
        <v>15</v>
      </c>
      <c r="H1024">
        <v>36</v>
      </c>
      <c r="I1024">
        <v>9144</v>
      </c>
      <c r="J1024">
        <v>457.20000000000005</v>
      </c>
      <c r="K1024">
        <v>8686.7999999999993</v>
      </c>
      <c r="L1024">
        <v>3810</v>
      </c>
      <c r="M1024">
        <v>4876.7999999999993</v>
      </c>
      <c r="N1024">
        <v>45371</v>
      </c>
      <c r="O1024">
        <v>3</v>
      </c>
      <c r="P1024" t="s">
        <v>38</v>
      </c>
      <c r="Q1024">
        <v>2024</v>
      </c>
    </row>
    <row r="1025" spans="1:17" x14ac:dyDescent="0.3">
      <c r="A1025" t="s">
        <v>25</v>
      </c>
      <c r="B1025" t="s">
        <v>20</v>
      </c>
      <c r="C1025" t="s">
        <v>30</v>
      </c>
      <c r="D1025" t="s">
        <v>81</v>
      </c>
      <c r="E1025" t="s">
        <v>33</v>
      </c>
      <c r="F1025">
        <v>366</v>
      </c>
      <c r="G1025">
        <v>15</v>
      </c>
      <c r="H1025">
        <v>25</v>
      </c>
      <c r="I1025">
        <v>9150</v>
      </c>
      <c r="J1025">
        <v>457.5</v>
      </c>
      <c r="K1025">
        <v>8692.5</v>
      </c>
      <c r="L1025">
        <v>5490</v>
      </c>
      <c r="M1025">
        <v>3202.5</v>
      </c>
      <c r="N1025">
        <v>45263</v>
      </c>
      <c r="O1025">
        <v>12</v>
      </c>
      <c r="P1025" t="s">
        <v>77</v>
      </c>
      <c r="Q1025">
        <v>2023</v>
      </c>
    </row>
    <row r="1026" spans="1:17" x14ac:dyDescent="0.3">
      <c r="A1026" t="s">
        <v>16</v>
      </c>
      <c r="B1026" t="s">
        <v>17</v>
      </c>
      <c r="C1026" t="s">
        <v>30</v>
      </c>
      <c r="D1026" t="s">
        <v>86</v>
      </c>
      <c r="E1026" t="s">
        <v>33</v>
      </c>
      <c r="F1026">
        <v>218</v>
      </c>
      <c r="G1026">
        <v>15</v>
      </c>
      <c r="H1026">
        <v>36</v>
      </c>
      <c r="I1026">
        <v>7848</v>
      </c>
      <c r="J1026">
        <v>392.40000000000003</v>
      </c>
      <c r="K1026">
        <v>7455.6</v>
      </c>
      <c r="L1026">
        <v>3270</v>
      </c>
      <c r="M1026">
        <v>4185.6000000000004</v>
      </c>
      <c r="N1026">
        <v>45758</v>
      </c>
      <c r="O1026">
        <v>4</v>
      </c>
      <c r="P1026" t="s">
        <v>75</v>
      </c>
      <c r="Q1026">
        <v>2025</v>
      </c>
    </row>
    <row r="1027" spans="1:17" x14ac:dyDescent="0.3">
      <c r="A1027" t="s">
        <v>16</v>
      </c>
      <c r="B1027" t="s">
        <v>17</v>
      </c>
      <c r="C1027" t="s">
        <v>31</v>
      </c>
      <c r="D1027" t="s">
        <v>159</v>
      </c>
      <c r="E1027" t="s">
        <v>33</v>
      </c>
      <c r="F1027">
        <v>944</v>
      </c>
      <c r="G1027">
        <v>19</v>
      </c>
      <c r="H1027">
        <v>38</v>
      </c>
      <c r="I1027">
        <v>35872</v>
      </c>
      <c r="J1027">
        <v>1793.6000000000001</v>
      </c>
      <c r="K1027">
        <v>34078.400000000001</v>
      </c>
      <c r="L1027">
        <v>17936</v>
      </c>
      <c r="M1027">
        <v>16142.400000000001</v>
      </c>
      <c r="N1027">
        <v>45434</v>
      </c>
      <c r="O1027">
        <v>5</v>
      </c>
      <c r="P1027" t="s">
        <v>46</v>
      </c>
      <c r="Q1027">
        <v>2024</v>
      </c>
    </row>
    <row r="1028" spans="1:17" x14ac:dyDescent="0.3">
      <c r="A1028" t="s">
        <v>16</v>
      </c>
      <c r="B1028" t="s">
        <v>36</v>
      </c>
      <c r="C1028" t="s">
        <v>18</v>
      </c>
      <c r="D1028" t="s">
        <v>97</v>
      </c>
      <c r="E1028" t="s">
        <v>33</v>
      </c>
      <c r="F1028">
        <v>478</v>
      </c>
      <c r="G1028">
        <v>11</v>
      </c>
      <c r="H1028">
        <v>19</v>
      </c>
      <c r="I1028">
        <v>9082</v>
      </c>
      <c r="J1028">
        <v>454.1</v>
      </c>
      <c r="K1028">
        <v>8627.9</v>
      </c>
      <c r="L1028">
        <v>5258</v>
      </c>
      <c r="M1028">
        <v>3369.8999999999996</v>
      </c>
      <c r="N1028">
        <v>45649</v>
      </c>
      <c r="O1028">
        <v>12</v>
      </c>
      <c r="P1028" t="s">
        <v>77</v>
      </c>
      <c r="Q1028">
        <v>2024</v>
      </c>
    </row>
    <row r="1029" spans="1:17" x14ac:dyDescent="0.3">
      <c r="A1029" t="s">
        <v>27</v>
      </c>
      <c r="B1029" t="s">
        <v>22</v>
      </c>
      <c r="C1029" t="s">
        <v>18</v>
      </c>
      <c r="D1029" t="s">
        <v>177</v>
      </c>
      <c r="E1029" t="s">
        <v>33</v>
      </c>
      <c r="F1029">
        <v>553</v>
      </c>
      <c r="G1029">
        <v>18</v>
      </c>
      <c r="H1029">
        <v>21</v>
      </c>
      <c r="I1029">
        <v>11613</v>
      </c>
      <c r="J1029">
        <v>580.65</v>
      </c>
      <c r="K1029">
        <v>11032.35</v>
      </c>
      <c r="L1029">
        <v>9954</v>
      </c>
      <c r="M1029">
        <v>1078.3500000000004</v>
      </c>
      <c r="N1029">
        <v>45059</v>
      </c>
      <c r="O1029">
        <v>5</v>
      </c>
      <c r="P1029" t="s">
        <v>46</v>
      </c>
      <c r="Q1029">
        <v>2023</v>
      </c>
    </row>
    <row r="1030" spans="1:17" x14ac:dyDescent="0.3">
      <c r="A1030" t="s">
        <v>27</v>
      </c>
      <c r="B1030" t="s">
        <v>22</v>
      </c>
      <c r="C1030" t="s">
        <v>18</v>
      </c>
      <c r="D1030" t="s">
        <v>177</v>
      </c>
      <c r="E1030" t="s">
        <v>33</v>
      </c>
      <c r="F1030">
        <v>147</v>
      </c>
      <c r="G1030">
        <v>18</v>
      </c>
      <c r="H1030">
        <v>21</v>
      </c>
      <c r="I1030">
        <v>3087</v>
      </c>
      <c r="J1030">
        <v>154.35000000000002</v>
      </c>
      <c r="K1030">
        <v>2932.65</v>
      </c>
      <c r="L1030">
        <v>2646</v>
      </c>
      <c r="M1030">
        <v>286.65000000000009</v>
      </c>
      <c r="N1030">
        <v>45381</v>
      </c>
      <c r="O1030">
        <v>3</v>
      </c>
      <c r="P1030" t="s">
        <v>38</v>
      </c>
      <c r="Q1030">
        <v>2024</v>
      </c>
    </row>
    <row r="1031" spans="1:17" x14ac:dyDescent="0.3">
      <c r="A1031" t="s">
        <v>16</v>
      </c>
      <c r="B1031" t="s">
        <v>22</v>
      </c>
      <c r="C1031" t="s">
        <v>24</v>
      </c>
      <c r="D1031" t="s">
        <v>50</v>
      </c>
      <c r="E1031" t="s">
        <v>33</v>
      </c>
      <c r="F1031">
        <v>501</v>
      </c>
      <c r="G1031">
        <v>12</v>
      </c>
      <c r="H1031">
        <v>35</v>
      </c>
      <c r="I1031">
        <v>17535</v>
      </c>
      <c r="J1031">
        <v>876.75</v>
      </c>
      <c r="K1031">
        <v>16658.25</v>
      </c>
      <c r="L1031">
        <v>6012</v>
      </c>
      <c r="M1031">
        <v>10646.25</v>
      </c>
      <c r="N1031">
        <v>45511</v>
      </c>
      <c r="O1031">
        <v>8</v>
      </c>
      <c r="P1031" t="s">
        <v>62</v>
      </c>
      <c r="Q1031">
        <v>2024</v>
      </c>
    </row>
    <row r="1032" spans="1:17" x14ac:dyDescent="0.3">
      <c r="A1032" t="s">
        <v>27</v>
      </c>
      <c r="B1032" t="s">
        <v>22</v>
      </c>
      <c r="C1032" t="s">
        <v>24</v>
      </c>
      <c r="D1032" t="s">
        <v>178</v>
      </c>
      <c r="E1032" t="s">
        <v>33</v>
      </c>
      <c r="F1032">
        <v>705</v>
      </c>
      <c r="G1032">
        <v>15</v>
      </c>
      <c r="H1032">
        <v>36</v>
      </c>
      <c r="I1032">
        <v>25380</v>
      </c>
      <c r="J1032">
        <v>1269</v>
      </c>
      <c r="K1032">
        <v>24111</v>
      </c>
      <c r="L1032">
        <v>10575</v>
      </c>
      <c r="M1032">
        <v>13536</v>
      </c>
      <c r="N1032">
        <v>45377</v>
      </c>
      <c r="O1032">
        <v>3</v>
      </c>
      <c r="P1032" t="s">
        <v>38</v>
      </c>
      <c r="Q1032">
        <v>2024</v>
      </c>
    </row>
    <row r="1033" spans="1:17" x14ac:dyDescent="0.3">
      <c r="A1033" t="s">
        <v>26</v>
      </c>
      <c r="B1033" t="s">
        <v>20</v>
      </c>
      <c r="C1033" t="s">
        <v>24</v>
      </c>
      <c r="D1033" t="s">
        <v>148</v>
      </c>
      <c r="E1033" t="s">
        <v>33</v>
      </c>
      <c r="F1033">
        <v>577</v>
      </c>
      <c r="G1033">
        <v>17</v>
      </c>
      <c r="H1033">
        <v>37</v>
      </c>
      <c r="I1033">
        <v>21349</v>
      </c>
      <c r="J1033">
        <v>1067.45</v>
      </c>
      <c r="K1033">
        <v>20281.55</v>
      </c>
      <c r="L1033">
        <v>9809</v>
      </c>
      <c r="M1033">
        <v>10472.549999999999</v>
      </c>
      <c r="N1033">
        <v>45732</v>
      </c>
      <c r="O1033">
        <v>3</v>
      </c>
      <c r="P1033" t="s">
        <v>38</v>
      </c>
      <c r="Q1033">
        <v>2025</v>
      </c>
    </row>
    <row r="1034" spans="1:17" x14ac:dyDescent="0.3">
      <c r="A1034" t="s">
        <v>27</v>
      </c>
      <c r="B1034" t="s">
        <v>17</v>
      </c>
      <c r="C1034" t="s">
        <v>28</v>
      </c>
      <c r="D1034" t="s">
        <v>131</v>
      </c>
      <c r="E1034" t="s">
        <v>33</v>
      </c>
      <c r="F1034">
        <v>674</v>
      </c>
      <c r="G1034">
        <v>10</v>
      </c>
      <c r="H1034">
        <v>23</v>
      </c>
      <c r="I1034">
        <v>15502</v>
      </c>
      <c r="J1034">
        <v>775.1</v>
      </c>
      <c r="K1034">
        <v>14726.9</v>
      </c>
      <c r="L1034">
        <v>6740</v>
      </c>
      <c r="M1034">
        <v>7986.9</v>
      </c>
      <c r="N1034">
        <v>45610</v>
      </c>
      <c r="O1034">
        <v>11</v>
      </c>
      <c r="P1034" t="s">
        <v>43</v>
      </c>
      <c r="Q1034">
        <v>2024</v>
      </c>
    </row>
    <row r="1035" spans="1:17" x14ac:dyDescent="0.3">
      <c r="A1035" t="s">
        <v>27</v>
      </c>
      <c r="B1035" t="s">
        <v>22</v>
      </c>
      <c r="C1035" t="s">
        <v>28</v>
      </c>
      <c r="D1035" t="s">
        <v>127</v>
      </c>
      <c r="E1035" t="s">
        <v>33</v>
      </c>
      <c r="F1035">
        <v>457</v>
      </c>
      <c r="G1035">
        <v>19</v>
      </c>
      <c r="H1035">
        <v>28</v>
      </c>
      <c r="I1035">
        <v>12796</v>
      </c>
      <c r="J1035">
        <v>639.80000000000007</v>
      </c>
      <c r="K1035">
        <v>12156.2</v>
      </c>
      <c r="L1035">
        <v>8683</v>
      </c>
      <c r="M1035">
        <v>3473.2000000000007</v>
      </c>
      <c r="N1035">
        <v>45273</v>
      </c>
      <c r="O1035">
        <v>12</v>
      </c>
      <c r="P1035" t="s">
        <v>77</v>
      </c>
      <c r="Q1035">
        <v>2023</v>
      </c>
    </row>
    <row r="1036" spans="1:17" x14ac:dyDescent="0.3">
      <c r="A1036" t="s">
        <v>26</v>
      </c>
      <c r="B1036" t="s">
        <v>20</v>
      </c>
      <c r="C1036" t="s">
        <v>28</v>
      </c>
      <c r="D1036" t="s">
        <v>129</v>
      </c>
      <c r="E1036" t="s">
        <v>33</v>
      </c>
      <c r="F1036">
        <v>658</v>
      </c>
      <c r="G1036">
        <v>12</v>
      </c>
      <c r="H1036">
        <v>31</v>
      </c>
      <c r="I1036">
        <v>20398</v>
      </c>
      <c r="J1036">
        <v>1019.9000000000001</v>
      </c>
      <c r="K1036">
        <v>19378.099999999999</v>
      </c>
      <c r="L1036">
        <v>7896</v>
      </c>
      <c r="M1036">
        <v>11482.099999999999</v>
      </c>
      <c r="N1036">
        <v>45749</v>
      </c>
      <c r="O1036">
        <v>4</v>
      </c>
      <c r="P1036" t="s">
        <v>75</v>
      </c>
      <c r="Q1036">
        <v>2025</v>
      </c>
    </row>
    <row r="1037" spans="1:17" x14ac:dyDescent="0.3">
      <c r="A1037" t="s">
        <v>21</v>
      </c>
      <c r="B1037" t="s">
        <v>22</v>
      </c>
      <c r="C1037" t="s">
        <v>28</v>
      </c>
      <c r="D1037" t="s">
        <v>67</v>
      </c>
      <c r="E1037" t="s">
        <v>33</v>
      </c>
      <c r="F1037">
        <v>473</v>
      </c>
      <c r="G1037">
        <v>16</v>
      </c>
      <c r="H1037">
        <v>27</v>
      </c>
      <c r="I1037">
        <v>12771</v>
      </c>
      <c r="J1037">
        <v>638.55000000000007</v>
      </c>
      <c r="K1037">
        <v>12132.45</v>
      </c>
      <c r="L1037">
        <v>7568</v>
      </c>
      <c r="M1037">
        <v>4564.4500000000007</v>
      </c>
      <c r="N1037">
        <v>45393</v>
      </c>
      <c r="O1037">
        <v>4</v>
      </c>
      <c r="P1037" t="s">
        <v>75</v>
      </c>
      <c r="Q1037">
        <v>2024</v>
      </c>
    </row>
    <row r="1038" spans="1:17" x14ac:dyDescent="0.3">
      <c r="A1038" t="s">
        <v>21</v>
      </c>
      <c r="B1038" t="s">
        <v>36</v>
      </c>
      <c r="C1038" t="s">
        <v>28</v>
      </c>
      <c r="D1038" t="s">
        <v>107</v>
      </c>
      <c r="E1038" t="s">
        <v>33</v>
      </c>
      <c r="F1038">
        <v>401</v>
      </c>
      <c r="G1038">
        <v>13</v>
      </c>
      <c r="H1038">
        <v>31</v>
      </c>
      <c r="I1038">
        <v>12431</v>
      </c>
      <c r="J1038">
        <v>621.55000000000007</v>
      </c>
      <c r="K1038">
        <v>11809.45</v>
      </c>
      <c r="L1038">
        <v>5213</v>
      </c>
      <c r="M1038">
        <v>6596.4500000000007</v>
      </c>
      <c r="N1038">
        <v>45237</v>
      </c>
      <c r="O1038">
        <v>11</v>
      </c>
      <c r="P1038" t="s">
        <v>43</v>
      </c>
      <c r="Q1038">
        <v>2023</v>
      </c>
    </row>
    <row r="1039" spans="1:17" x14ac:dyDescent="0.3">
      <c r="A1039" t="s">
        <v>16</v>
      </c>
      <c r="B1039" t="s">
        <v>22</v>
      </c>
      <c r="C1039" t="s">
        <v>28</v>
      </c>
      <c r="D1039" t="s">
        <v>93</v>
      </c>
      <c r="E1039" t="s">
        <v>33</v>
      </c>
      <c r="F1039">
        <v>878</v>
      </c>
      <c r="G1039">
        <v>12</v>
      </c>
      <c r="H1039">
        <v>27</v>
      </c>
      <c r="I1039">
        <v>23706</v>
      </c>
      <c r="J1039">
        <v>1185.3</v>
      </c>
      <c r="K1039">
        <v>22520.7</v>
      </c>
      <c r="L1039">
        <v>10536</v>
      </c>
      <c r="M1039">
        <v>11984.7</v>
      </c>
      <c r="N1039">
        <v>45652</v>
      </c>
      <c r="O1039">
        <v>12</v>
      </c>
      <c r="P1039" t="s">
        <v>77</v>
      </c>
      <c r="Q1039">
        <v>2024</v>
      </c>
    </row>
    <row r="1040" spans="1:17" x14ac:dyDescent="0.3">
      <c r="A1040" t="s">
        <v>27</v>
      </c>
      <c r="B1040" t="s">
        <v>20</v>
      </c>
      <c r="C1040" t="s">
        <v>28</v>
      </c>
      <c r="D1040" t="s">
        <v>128</v>
      </c>
      <c r="E1040" t="s">
        <v>33</v>
      </c>
      <c r="F1040">
        <v>661</v>
      </c>
      <c r="G1040">
        <v>14</v>
      </c>
      <c r="H1040">
        <v>16</v>
      </c>
      <c r="I1040">
        <v>10576</v>
      </c>
      <c r="J1040">
        <v>528.80000000000007</v>
      </c>
      <c r="K1040">
        <v>10047.200000000001</v>
      </c>
      <c r="L1040">
        <v>9254</v>
      </c>
      <c r="M1040">
        <v>793.20000000000073</v>
      </c>
      <c r="N1040">
        <v>45709</v>
      </c>
      <c r="O1040">
        <v>2</v>
      </c>
      <c r="P1040" t="s">
        <v>52</v>
      </c>
      <c r="Q1040">
        <v>2025</v>
      </c>
    </row>
    <row r="1041" spans="1:17" x14ac:dyDescent="0.3">
      <c r="A1041" t="s">
        <v>27</v>
      </c>
      <c r="B1041" t="s">
        <v>17</v>
      </c>
      <c r="C1041" t="s">
        <v>28</v>
      </c>
      <c r="D1041" t="s">
        <v>131</v>
      </c>
      <c r="E1041" t="s">
        <v>33</v>
      </c>
      <c r="F1041">
        <v>746</v>
      </c>
      <c r="G1041">
        <v>10</v>
      </c>
      <c r="H1041">
        <v>23</v>
      </c>
      <c r="I1041">
        <v>17158</v>
      </c>
      <c r="J1041">
        <v>857.90000000000009</v>
      </c>
      <c r="K1041">
        <v>16300.1</v>
      </c>
      <c r="L1041">
        <v>7460</v>
      </c>
      <c r="M1041">
        <v>8840.1</v>
      </c>
      <c r="N1041">
        <v>45208</v>
      </c>
      <c r="O1041">
        <v>10</v>
      </c>
      <c r="P1041" t="s">
        <v>55</v>
      </c>
      <c r="Q1041">
        <v>2023</v>
      </c>
    </row>
    <row r="1042" spans="1:17" x14ac:dyDescent="0.3">
      <c r="A1042" t="s">
        <v>25</v>
      </c>
      <c r="B1042" t="s">
        <v>23</v>
      </c>
      <c r="C1042" t="s">
        <v>28</v>
      </c>
      <c r="D1042" t="s">
        <v>133</v>
      </c>
      <c r="E1042" t="s">
        <v>33</v>
      </c>
      <c r="F1042">
        <v>366</v>
      </c>
      <c r="G1042">
        <v>11</v>
      </c>
      <c r="H1042">
        <v>24</v>
      </c>
      <c r="I1042">
        <v>8784</v>
      </c>
      <c r="J1042">
        <v>439.20000000000005</v>
      </c>
      <c r="K1042">
        <v>8344.7999999999993</v>
      </c>
      <c r="L1042">
        <v>4026</v>
      </c>
      <c r="M1042">
        <v>4318.7999999999993</v>
      </c>
      <c r="N1042">
        <v>45533</v>
      </c>
      <c r="O1042">
        <v>8</v>
      </c>
      <c r="P1042" t="s">
        <v>62</v>
      </c>
      <c r="Q1042">
        <v>2024</v>
      </c>
    </row>
    <row r="1043" spans="1:17" x14ac:dyDescent="0.3">
      <c r="A1043" t="s">
        <v>16</v>
      </c>
      <c r="B1043" t="s">
        <v>20</v>
      </c>
      <c r="C1043" t="s">
        <v>28</v>
      </c>
      <c r="D1043" t="s">
        <v>64</v>
      </c>
      <c r="E1043" t="s">
        <v>33</v>
      </c>
      <c r="F1043">
        <v>225</v>
      </c>
      <c r="G1043">
        <v>14</v>
      </c>
      <c r="H1043">
        <v>22</v>
      </c>
      <c r="I1043">
        <v>4950</v>
      </c>
      <c r="J1043">
        <v>247.5</v>
      </c>
      <c r="K1043">
        <v>4702.5</v>
      </c>
      <c r="L1043">
        <v>3150</v>
      </c>
      <c r="M1043">
        <v>1552.5</v>
      </c>
      <c r="N1043">
        <v>45262</v>
      </c>
      <c r="O1043">
        <v>12</v>
      </c>
      <c r="P1043" t="s">
        <v>77</v>
      </c>
      <c r="Q1043">
        <v>2023</v>
      </c>
    </row>
    <row r="1044" spans="1:17" x14ac:dyDescent="0.3">
      <c r="A1044" t="s">
        <v>27</v>
      </c>
      <c r="B1044" t="s">
        <v>22</v>
      </c>
      <c r="C1044" t="s">
        <v>29</v>
      </c>
      <c r="D1044" t="s">
        <v>172</v>
      </c>
      <c r="E1044" t="s">
        <v>33</v>
      </c>
      <c r="F1044">
        <v>832</v>
      </c>
      <c r="G1044">
        <v>10</v>
      </c>
      <c r="H1044">
        <v>34</v>
      </c>
      <c r="I1044">
        <v>28288</v>
      </c>
      <c r="J1044">
        <v>1414.4</v>
      </c>
      <c r="K1044">
        <v>26873.599999999999</v>
      </c>
      <c r="L1044">
        <v>8320</v>
      </c>
      <c r="M1044">
        <v>18553.599999999999</v>
      </c>
      <c r="N1044">
        <v>45281</v>
      </c>
      <c r="O1044">
        <v>12</v>
      </c>
      <c r="P1044" t="s">
        <v>77</v>
      </c>
      <c r="Q1044">
        <v>2023</v>
      </c>
    </row>
    <row r="1045" spans="1:17" x14ac:dyDescent="0.3">
      <c r="A1045" t="s">
        <v>16</v>
      </c>
      <c r="B1045" t="s">
        <v>23</v>
      </c>
      <c r="C1045" t="s">
        <v>29</v>
      </c>
      <c r="D1045" t="s">
        <v>72</v>
      </c>
      <c r="E1045" t="s">
        <v>33</v>
      </c>
      <c r="F1045">
        <v>960</v>
      </c>
      <c r="G1045">
        <v>18</v>
      </c>
      <c r="H1045">
        <v>33</v>
      </c>
      <c r="I1045">
        <v>31680</v>
      </c>
      <c r="J1045">
        <v>1584</v>
      </c>
      <c r="K1045">
        <v>30096</v>
      </c>
      <c r="L1045">
        <v>17280</v>
      </c>
      <c r="M1045">
        <v>12816</v>
      </c>
      <c r="N1045">
        <v>45307</v>
      </c>
      <c r="O1045">
        <v>1</v>
      </c>
      <c r="P1045" t="s">
        <v>58</v>
      </c>
      <c r="Q1045">
        <v>2024</v>
      </c>
    </row>
    <row r="1046" spans="1:17" x14ac:dyDescent="0.3">
      <c r="A1046" t="s">
        <v>26</v>
      </c>
      <c r="B1046" t="s">
        <v>20</v>
      </c>
      <c r="C1046" t="s">
        <v>29</v>
      </c>
      <c r="D1046" t="s">
        <v>135</v>
      </c>
      <c r="E1046" t="s">
        <v>33</v>
      </c>
      <c r="F1046">
        <v>829</v>
      </c>
      <c r="G1046">
        <v>20</v>
      </c>
      <c r="H1046">
        <v>38</v>
      </c>
      <c r="I1046">
        <v>31502</v>
      </c>
      <c r="J1046">
        <v>1575.1000000000001</v>
      </c>
      <c r="K1046">
        <v>29926.9</v>
      </c>
      <c r="L1046">
        <v>16580</v>
      </c>
      <c r="M1046">
        <v>13346.900000000001</v>
      </c>
      <c r="N1046">
        <v>45170</v>
      </c>
      <c r="O1046">
        <v>9</v>
      </c>
      <c r="P1046" t="s">
        <v>40</v>
      </c>
      <c r="Q1046">
        <v>2023</v>
      </c>
    </row>
    <row r="1047" spans="1:17" x14ac:dyDescent="0.3">
      <c r="A1047" t="s">
        <v>16</v>
      </c>
      <c r="B1047" t="s">
        <v>22</v>
      </c>
      <c r="C1047" t="s">
        <v>29</v>
      </c>
      <c r="D1047" t="s">
        <v>94</v>
      </c>
      <c r="E1047" t="s">
        <v>33</v>
      </c>
      <c r="F1047">
        <v>89</v>
      </c>
      <c r="G1047">
        <v>19</v>
      </c>
      <c r="H1047">
        <v>22</v>
      </c>
      <c r="I1047">
        <v>1958</v>
      </c>
      <c r="J1047">
        <v>97.9</v>
      </c>
      <c r="K1047">
        <v>1860.1</v>
      </c>
      <c r="L1047">
        <v>1691</v>
      </c>
      <c r="M1047">
        <v>169.09999999999991</v>
      </c>
      <c r="N1047">
        <v>45201</v>
      </c>
      <c r="O1047">
        <v>10</v>
      </c>
      <c r="P1047" t="s">
        <v>55</v>
      </c>
      <c r="Q1047">
        <v>2023</v>
      </c>
    </row>
    <row r="1048" spans="1:17" x14ac:dyDescent="0.3">
      <c r="A1048" t="s">
        <v>16</v>
      </c>
      <c r="B1048" t="s">
        <v>36</v>
      </c>
      <c r="C1048" t="s">
        <v>29</v>
      </c>
      <c r="D1048" t="s">
        <v>134</v>
      </c>
      <c r="E1048" t="s">
        <v>33</v>
      </c>
      <c r="F1048">
        <v>671</v>
      </c>
      <c r="G1048">
        <v>13</v>
      </c>
      <c r="H1048">
        <v>38</v>
      </c>
      <c r="I1048">
        <v>25498</v>
      </c>
      <c r="J1048">
        <v>1274.9000000000001</v>
      </c>
      <c r="K1048">
        <v>24223.1</v>
      </c>
      <c r="L1048">
        <v>8723</v>
      </c>
      <c r="M1048">
        <v>15500.099999999999</v>
      </c>
      <c r="N1048">
        <v>45254</v>
      </c>
      <c r="O1048">
        <v>11</v>
      </c>
      <c r="P1048" t="s">
        <v>43</v>
      </c>
      <c r="Q1048">
        <v>2023</v>
      </c>
    </row>
    <row r="1049" spans="1:17" x14ac:dyDescent="0.3">
      <c r="A1049" t="s">
        <v>27</v>
      </c>
      <c r="B1049" t="s">
        <v>36</v>
      </c>
      <c r="C1049" t="s">
        <v>29</v>
      </c>
      <c r="D1049" t="s">
        <v>179</v>
      </c>
      <c r="E1049" t="s">
        <v>33</v>
      </c>
      <c r="F1049">
        <v>467</v>
      </c>
      <c r="G1049">
        <v>20</v>
      </c>
      <c r="H1049">
        <v>33</v>
      </c>
      <c r="I1049">
        <v>15411</v>
      </c>
      <c r="J1049">
        <v>770.55000000000007</v>
      </c>
      <c r="K1049">
        <v>14640.45</v>
      </c>
      <c r="L1049">
        <v>9340</v>
      </c>
      <c r="M1049">
        <v>5300.4500000000007</v>
      </c>
      <c r="N1049">
        <v>45551</v>
      </c>
      <c r="O1049">
        <v>9</v>
      </c>
      <c r="P1049" t="s">
        <v>40</v>
      </c>
      <c r="Q1049">
        <v>2024</v>
      </c>
    </row>
    <row r="1050" spans="1:17" x14ac:dyDescent="0.3">
      <c r="A1050" t="s">
        <v>16</v>
      </c>
      <c r="B1050" t="s">
        <v>20</v>
      </c>
      <c r="C1050" t="s">
        <v>29</v>
      </c>
      <c r="D1050" t="s">
        <v>76</v>
      </c>
      <c r="E1050" t="s">
        <v>33</v>
      </c>
      <c r="F1050">
        <v>393</v>
      </c>
      <c r="G1050">
        <v>11</v>
      </c>
      <c r="H1050">
        <v>30</v>
      </c>
      <c r="I1050">
        <v>11790</v>
      </c>
      <c r="J1050">
        <v>589.5</v>
      </c>
      <c r="K1050">
        <v>11200.5</v>
      </c>
      <c r="L1050">
        <v>4323</v>
      </c>
      <c r="M1050">
        <v>6877.5</v>
      </c>
      <c r="N1050">
        <v>45625</v>
      </c>
      <c r="O1050">
        <v>11</v>
      </c>
      <c r="P1050" t="s">
        <v>43</v>
      </c>
      <c r="Q1050">
        <v>2024</v>
      </c>
    </row>
    <row r="1051" spans="1:17" x14ac:dyDescent="0.3">
      <c r="A1051" t="s">
        <v>25</v>
      </c>
      <c r="B1051" t="s">
        <v>17</v>
      </c>
      <c r="C1051" t="s">
        <v>30</v>
      </c>
      <c r="D1051" t="s">
        <v>180</v>
      </c>
      <c r="E1051" t="s">
        <v>33</v>
      </c>
      <c r="F1051">
        <v>813</v>
      </c>
      <c r="G1051">
        <v>19</v>
      </c>
      <c r="H1051">
        <v>24</v>
      </c>
      <c r="I1051">
        <v>19512</v>
      </c>
      <c r="J1051">
        <v>975.6</v>
      </c>
      <c r="K1051">
        <v>18536.400000000001</v>
      </c>
      <c r="L1051">
        <v>15447</v>
      </c>
      <c r="M1051">
        <v>3089.4000000000015</v>
      </c>
      <c r="N1051">
        <v>45547</v>
      </c>
      <c r="O1051">
        <v>9</v>
      </c>
      <c r="P1051" t="s">
        <v>40</v>
      </c>
      <c r="Q1051">
        <v>2024</v>
      </c>
    </row>
    <row r="1052" spans="1:17" x14ac:dyDescent="0.3">
      <c r="A1052" t="s">
        <v>27</v>
      </c>
      <c r="B1052" t="s">
        <v>22</v>
      </c>
      <c r="C1052" t="s">
        <v>30</v>
      </c>
      <c r="D1052" t="s">
        <v>85</v>
      </c>
      <c r="E1052" t="s">
        <v>33</v>
      </c>
      <c r="F1052">
        <v>910</v>
      </c>
      <c r="G1052">
        <v>18</v>
      </c>
      <c r="H1052">
        <v>30</v>
      </c>
      <c r="I1052">
        <v>27300</v>
      </c>
      <c r="J1052">
        <v>1365</v>
      </c>
      <c r="K1052">
        <v>25935</v>
      </c>
      <c r="L1052">
        <v>16380</v>
      </c>
      <c r="M1052">
        <v>9555</v>
      </c>
      <c r="N1052">
        <v>45091</v>
      </c>
      <c r="O1052">
        <v>6</v>
      </c>
      <c r="P1052" t="s">
        <v>45</v>
      </c>
      <c r="Q1052">
        <v>2023</v>
      </c>
    </row>
    <row r="1053" spans="1:17" x14ac:dyDescent="0.3">
      <c r="A1053" t="s">
        <v>27</v>
      </c>
      <c r="B1053" t="s">
        <v>23</v>
      </c>
      <c r="C1053" t="s">
        <v>30</v>
      </c>
      <c r="D1053" t="s">
        <v>118</v>
      </c>
      <c r="E1053" t="s">
        <v>33</v>
      </c>
      <c r="F1053">
        <v>823</v>
      </c>
      <c r="G1053">
        <v>10</v>
      </c>
      <c r="H1053">
        <v>19</v>
      </c>
      <c r="I1053">
        <v>15637</v>
      </c>
      <c r="J1053">
        <v>781.85</v>
      </c>
      <c r="K1053">
        <v>14855.15</v>
      </c>
      <c r="L1053">
        <v>8230</v>
      </c>
      <c r="M1053">
        <v>6625.15</v>
      </c>
      <c r="N1053">
        <v>45464</v>
      </c>
      <c r="O1053">
        <v>6</v>
      </c>
      <c r="P1053" t="s">
        <v>45</v>
      </c>
      <c r="Q1053">
        <v>2024</v>
      </c>
    </row>
    <row r="1054" spans="1:17" x14ac:dyDescent="0.3">
      <c r="A1054" t="s">
        <v>26</v>
      </c>
      <c r="B1054" t="s">
        <v>17</v>
      </c>
      <c r="C1054" t="s">
        <v>31</v>
      </c>
      <c r="D1054" t="s">
        <v>181</v>
      </c>
      <c r="E1054" t="s">
        <v>33</v>
      </c>
      <c r="F1054">
        <v>77</v>
      </c>
      <c r="G1054">
        <v>14</v>
      </c>
      <c r="H1054">
        <v>20</v>
      </c>
      <c r="I1054">
        <v>1540</v>
      </c>
      <c r="J1054">
        <v>77</v>
      </c>
      <c r="K1054">
        <v>1463</v>
      </c>
      <c r="L1054">
        <v>1078</v>
      </c>
      <c r="M1054">
        <v>385</v>
      </c>
      <c r="N1054">
        <v>45115</v>
      </c>
      <c r="O1054">
        <v>7</v>
      </c>
      <c r="P1054" t="s">
        <v>48</v>
      </c>
      <c r="Q1054">
        <v>2023</v>
      </c>
    </row>
    <row r="1055" spans="1:17" x14ac:dyDescent="0.3">
      <c r="A1055" t="s">
        <v>16</v>
      </c>
      <c r="B1055" t="s">
        <v>22</v>
      </c>
      <c r="C1055" t="s">
        <v>31</v>
      </c>
      <c r="D1055" t="s">
        <v>87</v>
      </c>
      <c r="E1055" t="s">
        <v>33</v>
      </c>
      <c r="F1055">
        <v>841</v>
      </c>
      <c r="G1055">
        <v>19</v>
      </c>
      <c r="H1055">
        <v>19</v>
      </c>
      <c r="I1055">
        <v>15979</v>
      </c>
      <c r="J1055">
        <v>798.95</v>
      </c>
      <c r="K1055">
        <v>15180.05</v>
      </c>
      <c r="L1055">
        <v>15979</v>
      </c>
      <c r="M1055">
        <v>-798.95000000000073</v>
      </c>
      <c r="N1055">
        <v>45475</v>
      </c>
      <c r="O1055">
        <v>7</v>
      </c>
      <c r="P1055" t="s">
        <v>48</v>
      </c>
      <c r="Q1055">
        <v>2024</v>
      </c>
    </row>
    <row r="1056" spans="1:17" x14ac:dyDescent="0.3">
      <c r="A1056" t="s">
        <v>26</v>
      </c>
      <c r="B1056" t="s">
        <v>20</v>
      </c>
      <c r="C1056" t="s">
        <v>31</v>
      </c>
      <c r="D1056" t="s">
        <v>89</v>
      </c>
      <c r="E1056" t="s">
        <v>33</v>
      </c>
      <c r="F1056">
        <v>332</v>
      </c>
      <c r="G1056">
        <v>10</v>
      </c>
      <c r="H1056">
        <v>19</v>
      </c>
      <c r="I1056">
        <v>6308</v>
      </c>
      <c r="J1056">
        <v>315.40000000000003</v>
      </c>
      <c r="K1056">
        <v>5992.6</v>
      </c>
      <c r="L1056">
        <v>3320</v>
      </c>
      <c r="M1056">
        <v>2672.6000000000004</v>
      </c>
      <c r="N1056">
        <v>45388</v>
      </c>
      <c r="O1056">
        <v>4</v>
      </c>
      <c r="P1056" t="s">
        <v>75</v>
      </c>
      <c r="Q1056">
        <v>2024</v>
      </c>
    </row>
    <row r="1057" spans="1:17" x14ac:dyDescent="0.3">
      <c r="A1057" t="s">
        <v>16</v>
      </c>
      <c r="B1057" t="s">
        <v>17</v>
      </c>
      <c r="C1057" t="s">
        <v>31</v>
      </c>
      <c r="D1057" t="s">
        <v>159</v>
      </c>
      <c r="E1057" t="s">
        <v>33</v>
      </c>
      <c r="F1057">
        <v>893</v>
      </c>
      <c r="G1057">
        <v>19</v>
      </c>
      <c r="H1057">
        <v>38</v>
      </c>
      <c r="I1057">
        <v>33934</v>
      </c>
      <c r="J1057">
        <v>1696.7</v>
      </c>
      <c r="K1057">
        <v>32237.3</v>
      </c>
      <c r="L1057">
        <v>16967</v>
      </c>
      <c r="M1057">
        <v>15270.3</v>
      </c>
      <c r="N1057">
        <v>45067</v>
      </c>
      <c r="O1057">
        <v>5</v>
      </c>
      <c r="P1057" t="s">
        <v>46</v>
      </c>
      <c r="Q1057">
        <v>2023</v>
      </c>
    </row>
    <row r="1058" spans="1:17" x14ac:dyDescent="0.3">
      <c r="A1058" t="s">
        <v>27</v>
      </c>
      <c r="B1058" t="s">
        <v>36</v>
      </c>
      <c r="C1058" t="s">
        <v>31</v>
      </c>
      <c r="D1058" t="s">
        <v>182</v>
      </c>
      <c r="E1058" t="s">
        <v>33</v>
      </c>
      <c r="F1058">
        <v>409</v>
      </c>
      <c r="G1058">
        <v>11</v>
      </c>
      <c r="H1058">
        <v>29</v>
      </c>
      <c r="I1058">
        <v>11861</v>
      </c>
      <c r="J1058">
        <v>593.05000000000007</v>
      </c>
      <c r="K1058">
        <v>11267.95</v>
      </c>
      <c r="L1058">
        <v>4499</v>
      </c>
      <c r="M1058">
        <v>6768.9500000000007</v>
      </c>
      <c r="N1058">
        <v>45144</v>
      </c>
      <c r="O1058">
        <v>8</v>
      </c>
      <c r="P1058" t="s">
        <v>62</v>
      </c>
      <c r="Q1058">
        <v>2023</v>
      </c>
    </row>
    <row r="1059" spans="1:17" x14ac:dyDescent="0.3">
      <c r="A1059" t="s">
        <v>16</v>
      </c>
      <c r="B1059" t="s">
        <v>17</v>
      </c>
      <c r="C1059" t="s">
        <v>24</v>
      </c>
      <c r="D1059" t="s">
        <v>105</v>
      </c>
      <c r="E1059" t="s">
        <v>33</v>
      </c>
      <c r="F1059">
        <v>266</v>
      </c>
      <c r="G1059">
        <v>12</v>
      </c>
      <c r="H1059">
        <v>26</v>
      </c>
      <c r="I1059">
        <v>6916</v>
      </c>
      <c r="J1059">
        <v>345.8</v>
      </c>
      <c r="K1059">
        <v>6570.2</v>
      </c>
      <c r="L1059">
        <v>3192</v>
      </c>
      <c r="M1059">
        <v>3378.2</v>
      </c>
      <c r="N1059">
        <v>45754</v>
      </c>
      <c r="O1059">
        <v>4</v>
      </c>
      <c r="P1059" t="s">
        <v>75</v>
      </c>
      <c r="Q1059">
        <v>2025</v>
      </c>
    </row>
    <row r="1060" spans="1:17" x14ac:dyDescent="0.3">
      <c r="A1060" t="s">
        <v>16</v>
      </c>
      <c r="B1060" t="s">
        <v>36</v>
      </c>
      <c r="C1060" t="s">
        <v>24</v>
      </c>
      <c r="D1060" t="s">
        <v>124</v>
      </c>
      <c r="E1060" t="s">
        <v>33</v>
      </c>
      <c r="F1060">
        <v>128</v>
      </c>
      <c r="G1060">
        <v>15</v>
      </c>
      <c r="H1060">
        <v>34</v>
      </c>
      <c r="I1060">
        <v>4352</v>
      </c>
      <c r="J1060">
        <v>217.60000000000002</v>
      </c>
      <c r="K1060">
        <v>4134.3999999999996</v>
      </c>
      <c r="L1060">
        <v>1920</v>
      </c>
      <c r="M1060">
        <v>2214.3999999999996</v>
      </c>
      <c r="N1060">
        <v>45362</v>
      </c>
      <c r="O1060">
        <v>3</v>
      </c>
      <c r="P1060" t="s">
        <v>38</v>
      </c>
      <c r="Q1060">
        <v>2024</v>
      </c>
    </row>
    <row r="1061" spans="1:17" x14ac:dyDescent="0.3">
      <c r="A1061" t="s">
        <v>16</v>
      </c>
      <c r="B1061" t="s">
        <v>17</v>
      </c>
      <c r="C1061" t="s">
        <v>28</v>
      </c>
      <c r="D1061" t="s">
        <v>60</v>
      </c>
      <c r="E1061" t="s">
        <v>33</v>
      </c>
      <c r="F1061">
        <v>694</v>
      </c>
      <c r="G1061">
        <v>17</v>
      </c>
      <c r="H1061">
        <v>38</v>
      </c>
      <c r="I1061">
        <v>26372</v>
      </c>
      <c r="J1061">
        <v>1318.6000000000001</v>
      </c>
      <c r="K1061">
        <v>25053.4</v>
      </c>
      <c r="L1061">
        <v>11798</v>
      </c>
      <c r="M1061">
        <v>13255.400000000001</v>
      </c>
      <c r="N1061">
        <v>45048</v>
      </c>
      <c r="O1061">
        <v>5</v>
      </c>
      <c r="P1061" t="s">
        <v>46</v>
      </c>
      <c r="Q1061">
        <v>2023</v>
      </c>
    </row>
    <row r="1062" spans="1:17" x14ac:dyDescent="0.3">
      <c r="A1062" t="s">
        <v>16</v>
      </c>
      <c r="B1062" t="s">
        <v>36</v>
      </c>
      <c r="C1062" t="s">
        <v>31</v>
      </c>
      <c r="D1062" t="s">
        <v>91</v>
      </c>
      <c r="E1062" t="s">
        <v>33</v>
      </c>
      <c r="F1062">
        <v>548</v>
      </c>
      <c r="G1062">
        <v>10</v>
      </c>
      <c r="H1062">
        <v>19</v>
      </c>
      <c r="I1062">
        <v>10412</v>
      </c>
      <c r="J1062">
        <v>520.6</v>
      </c>
      <c r="K1062">
        <v>9891.4</v>
      </c>
      <c r="L1062">
        <v>5480</v>
      </c>
      <c r="M1062">
        <v>4411.3999999999996</v>
      </c>
      <c r="N1062">
        <v>45419</v>
      </c>
      <c r="O1062">
        <v>5</v>
      </c>
      <c r="P1062" t="s">
        <v>46</v>
      </c>
      <c r="Q1062">
        <v>2024</v>
      </c>
    </row>
    <row r="1063" spans="1:17" x14ac:dyDescent="0.3">
      <c r="A1063" t="s">
        <v>26</v>
      </c>
      <c r="B1063" t="s">
        <v>23</v>
      </c>
      <c r="C1063" t="s">
        <v>18</v>
      </c>
      <c r="D1063" t="s">
        <v>183</v>
      </c>
      <c r="E1063" t="s">
        <v>33</v>
      </c>
      <c r="F1063">
        <v>820</v>
      </c>
      <c r="G1063">
        <v>12</v>
      </c>
      <c r="H1063">
        <v>26</v>
      </c>
      <c r="I1063">
        <v>21320</v>
      </c>
      <c r="J1063">
        <v>1066</v>
      </c>
      <c r="K1063">
        <v>20254</v>
      </c>
      <c r="L1063">
        <v>9840</v>
      </c>
      <c r="M1063">
        <v>10414</v>
      </c>
      <c r="N1063">
        <v>45330</v>
      </c>
      <c r="O1063">
        <v>2</v>
      </c>
      <c r="P1063" t="s">
        <v>52</v>
      </c>
      <c r="Q1063">
        <v>2024</v>
      </c>
    </row>
    <row r="1064" spans="1:17" x14ac:dyDescent="0.3">
      <c r="A1064" t="s">
        <v>21</v>
      </c>
      <c r="B1064" t="s">
        <v>22</v>
      </c>
      <c r="C1064" t="s">
        <v>18</v>
      </c>
      <c r="D1064" t="s">
        <v>41</v>
      </c>
      <c r="E1064" t="s">
        <v>33</v>
      </c>
      <c r="F1064">
        <v>725</v>
      </c>
      <c r="G1064">
        <v>16</v>
      </c>
      <c r="H1064">
        <v>22</v>
      </c>
      <c r="I1064">
        <v>15950</v>
      </c>
      <c r="J1064">
        <v>797.5</v>
      </c>
      <c r="K1064">
        <v>15152.5</v>
      </c>
      <c r="L1064">
        <v>11600</v>
      </c>
      <c r="M1064">
        <v>3552.5</v>
      </c>
      <c r="N1064">
        <v>45152</v>
      </c>
      <c r="O1064">
        <v>8</v>
      </c>
      <c r="P1064" t="s">
        <v>62</v>
      </c>
      <c r="Q1064">
        <v>2023</v>
      </c>
    </row>
    <row r="1065" spans="1:17" x14ac:dyDescent="0.3">
      <c r="A1065" t="s">
        <v>16</v>
      </c>
      <c r="B1065" t="s">
        <v>23</v>
      </c>
      <c r="C1065" t="s">
        <v>18</v>
      </c>
      <c r="D1065" t="s">
        <v>96</v>
      </c>
      <c r="E1065" t="s">
        <v>33</v>
      </c>
      <c r="F1065">
        <v>646</v>
      </c>
      <c r="G1065">
        <v>14</v>
      </c>
      <c r="H1065">
        <v>35</v>
      </c>
      <c r="I1065">
        <v>22610</v>
      </c>
      <c r="J1065">
        <v>1130.5</v>
      </c>
      <c r="K1065">
        <v>21479.5</v>
      </c>
      <c r="L1065">
        <v>9044</v>
      </c>
      <c r="M1065">
        <v>12435.5</v>
      </c>
      <c r="N1065">
        <v>45439</v>
      </c>
      <c r="O1065">
        <v>5</v>
      </c>
      <c r="P1065" t="s">
        <v>46</v>
      </c>
      <c r="Q1065">
        <v>2024</v>
      </c>
    </row>
    <row r="1066" spans="1:17" x14ac:dyDescent="0.3">
      <c r="A1066" t="s">
        <v>21</v>
      </c>
      <c r="B1066" t="s">
        <v>22</v>
      </c>
      <c r="C1066" t="s">
        <v>24</v>
      </c>
      <c r="D1066" t="s">
        <v>184</v>
      </c>
      <c r="E1066" t="s">
        <v>33</v>
      </c>
      <c r="F1066">
        <v>589</v>
      </c>
      <c r="G1066">
        <v>15</v>
      </c>
      <c r="H1066">
        <v>17</v>
      </c>
      <c r="I1066">
        <v>10013</v>
      </c>
      <c r="J1066">
        <v>500.65000000000003</v>
      </c>
      <c r="K1066">
        <v>9512.35</v>
      </c>
      <c r="L1066">
        <v>8835</v>
      </c>
      <c r="M1066">
        <v>677.35000000000036</v>
      </c>
      <c r="N1066">
        <v>45250</v>
      </c>
      <c r="O1066">
        <v>11</v>
      </c>
      <c r="P1066" t="s">
        <v>43</v>
      </c>
      <c r="Q1066">
        <v>2023</v>
      </c>
    </row>
    <row r="1067" spans="1:17" x14ac:dyDescent="0.3">
      <c r="A1067" t="s">
        <v>16</v>
      </c>
      <c r="B1067" t="s">
        <v>17</v>
      </c>
      <c r="C1067" t="s">
        <v>24</v>
      </c>
      <c r="D1067" t="s">
        <v>105</v>
      </c>
      <c r="E1067" t="s">
        <v>33</v>
      </c>
      <c r="F1067">
        <v>182</v>
      </c>
      <c r="G1067">
        <v>12</v>
      </c>
      <c r="H1067">
        <v>26</v>
      </c>
      <c r="I1067">
        <v>4732</v>
      </c>
      <c r="J1067">
        <v>236.60000000000002</v>
      </c>
      <c r="K1067">
        <v>4495.3999999999996</v>
      </c>
      <c r="L1067">
        <v>2184</v>
      </c>
      <c r="M1067">
        <v>2311.3999999999996</v>
      </c>
      <c r="N1067">
        <v>45365</v>
      </c>
      <c r="O1067">
        <v>3</v>
      </c>
      <c r="P1067" t="s">
        <v>38</v>
      </c>
      <c r="Q1067">
        <v>2024</v>
      </c>
    </row>
    <row r="1068" spans="1:17" x14ac:dyDescent="0.3">
      <c r="A1068" t="s">
        <v>16</v>
      </c>
      <c r="B1068" t="s">
        <v>20</v>
      </c>
      <c r="C1068" t="s">
        <v>24</v>
      </c>
      <c r="D1068" t="s">
        <v>57</v>
      </c>
      <c r="E1068" t="s">
        <v>33</v>
      </c>
      <c r="F1068">
        <v>233</v>
      </c>
      <c r="G1068">
        <v>16</v>
      </c>
      <c r="H1068">
        <v>31</v>
      </c>
      <c r="I1068">
        <v>7223</v>
      </c>
      <c r="J1068">
        <v>361.15000000000003</v>
      </c>
      <c r="K1068">
        <v>6861.85</v>
      </c>
      <c r="L1068">
        <v>3728</v>
      </c>
      <c r="M1068">
        <v>3133.8500000000004</v>
      </c>
      <c r="N1068">
        <v>45614</v>
      </c>
      <c r="O1068">
        <v>11</v>
      </c>
      <c r="P1068" t="s">
        <v>43</v>
      </c>
      <c r="Q1068">
        <v>2024</v>
      </c>
    </row>
    <row r="1069" spans="1:17" x14ac:dyDescent="0.3">
      <c r="A1069" t="s">
        <v>27</v>
      </c>
      <c r="B1069" t="s">
        <v>22</v>
      </c>
      <c r="C1069" t="s">
        <v>24</v>
      </c>
      <c r="D1069" t="s">
        <v>178</v>
      </c>
      <c r="E1069" t="s">
        <v>33</v>
      </c>
      <c r="F1069">
        <v>831</v>
      </c>
      <c r="G1069">
        <v>15</v>
      </c>
      <c r="H1069">
        <v>36</v>
      </c>
      <c r="I1069">
        <v>29916</v>
      </c>
      <c r="J1069">
        <v>1495.8000000000002</v>
      </c>
      <c r="K1069">
        <v>28420.2</v>
      </c>
      <c r="L1069">
        <v>12465</v>
      </c>
      <c r="M1069">
        <v>15955.2</v>
      </c>
      <c r="N1069">
        <v>45266</v>
      </c>
      <c r="O1069">
        <v>12</v>
      </c>
      <c r="P1069" t="s">
        <v>77</v>
      </c>
      <c r="Q1069">
        <v>2023</v>
      </c>
    </row>
    <row r="1070" spans="1:17" x14ac:dyDescent="0.3">
      <c r="A1070" t="s">
        <v>27</v>
      </c>
      <c r="B1070" t="s">
        <v>17</v>
      </c>
      <c r="C1070" t="s">
        <v>24</v>
      </c>
      <c r="D1070" t="s">
        <v>185</v>
      </c>
      <c r="E1070" t="s">
        <v>33</v>
      </c>
      <c r="F1070">
        <v>62</v>
      </c>
      <c r="G1070">
        <v>10</v>
      </c>
      <c r="H1070">
        <v>37</v>
      </c>
      <c r="I1070">
        <v>2294</v>
      </c>
      <c r="J1070">
        <v>114.7</v>
      </c>
      <c r="K1070">
        <v>2179.3000000000002</v>
      </c>
      <c r="L1070">
        <v>620</v>
      </c>
      <c r="M1070">
        <v>1559.3000000000002</v>
      </c>
      <c r="N1070">
        <v>45303</v>
      </c>
      <c r="O1070">
        <v>1</v>
      </c>
      <c r="P1070" t="s">
        <v>58</v>
      </c>
      <c r="Q1070">
        <v>2024</v>
      </c>
    </row>
    <row r="1071" spans="1:17" x14ac:dyDescent="0.3">
      <c r="A1071" t="s">
        <v>21</v>
      </c>
      <c r="B1071" t="s">
        <v>20</v>
      </c>
      <c r="C1071" t="s">
        <v>24</v>
      </c>
      <c r="D1071" t="s">
        <v>47</v>
      </c>
      <c r="E1071" t="s">
        <v>33</v>
      </c>
      <c r="F1071">
        <v>939</v>
      </c>
      <c r="G1071">
        <v>17</v>
      </c>
      <c r="H1071">
        <v>16</v>
      </c>
      <c r="I1071">
        <v>15024</v>
      </c>
      <c r="J1071">
        <v>751.2</v>
      </c>
      <c r="K1071">
        <v>14272.8</v>
      </c>
      <c r="L1071">
        <v>15963</v>
      </c>
      <c r="M1071">
        <v>-1690.2000000000007</v>
      </c>
      <c r="N1071">
        <v>45099</v>
      </c>
      <c r="O1071">
        <v>6</v>
      </c>
      <c r="P1071" t="s">
        <v>45</v>
      </c>
      <c r="Q1071">
        <v>2023</v>
      </c>
    </row>
    <row r="1072" spans="1:17" x14ac:dyDescent="0.3">
      <c r="A1072" t="s">
        <v>26</v>
      </c>
      <c r="B1072" t="s">
        <v>23</v>
      </c>
      <c r="C1072" t="s">
        <v>28</v>
      </c>
      <c r="D1072" t="s">
        <v>110</v>
      </c>
      <c r="E1072" t="s">
        <v>33</v>
      </c>
      <c r="F1072">
        <v>345</v>
      </c>
      <c r="G1072">
        <v>20</v>
      </c>
      <c r="H1072">
        <v>25</v>
      </c>
      <c r="I1072">
        <v>8625</v>
      </c>
      <c r="J1072">
        <v>431.25</v>
      </c>
      <c r="K1072">
        <v>8193.75</v>
      </c>
      <c r="L1072">
        <v>6900</v>
      </c>
      <c r="M1072">
        <v>1293.75</v>
      </c>
      <c r="N1072">
        <v>45139</v>
      </c>
      <c r="O1072">
        <v>8</v>
      </c>
      <c r="P1072" t="s">
        <v>62</v>
      </c>
      <c r="Q1072">
        <v>2023</v>
      </c>
    </row>
    <row r="1073" spans="1:17" x14ac:dyDescent="0.3">
      <c r="A1073" t="s">
        <v>16</v>
      </c>
      <c r="B1073" t="s">
        <v>20</v>
      </c>
      <c r="C1073" t="s">
        <v>28</v>
      </c>
      <c r="D1073" t="s">
        <v>64</v>
      </c>
      <c r="E1073" t="s">
        <v>33</v>
      </c>
      <c r="F1073">
        <v>270</v>
      </c>
      <c r="G1073">
        <v>14</v>
      </c>
      <c r="H1073">
        <v>22</v>
      </c>
      <c r="I1073">
        <v>5940</v>
      </c>
      <c r="J1073">
        <v>297</v>
      </c>
      <c r="K1073">
        <v>5643</v>
      </c>
      <c r="L1073">
        <v>3780</v>
      </c>
      <c r="M1073">
        <v>1863</v>
      </c>
      <c r="N1073">
        <v>45193</v>
      </c>
      <c r="O1073">
        <v>9</v>
      </c>
      <c r="P1073" t="s">
        <v>40</v>
      </c>
      <c r="Q1073">
        <v>2023</v>
      </c>
    </row>
    <row r="1074" spans="1:17" x14ac:dyDescent="0.3">
      <c r="A1074" t="s">
        <v>16</v>
      </c>
      <c r="B1074" t="s">
        <v>20</v>
      </c>
      <c r="C1074" t="s">
        <v>28</v>
      </c>
      <c r="D1074" t="s">
        <v>64</v>
      </c>
      <c r="E1074" t="s">
        <v>33</v>
      </c>
      <c r="F1074">
        <v>954</v>
      </c>
      <c r="G1074">
        <v>14</v>
      </c>
      <c r="H1074">
        <v>22</v>
      </c>
      <c r="I1074">
        <v>20988</v>
      </c>
      <c r="J1074">
        <v>1049.4000000000001</v>
      </c>
      <c r="K1074">
        <v>19938.599999999999</v>
      </c>
      <c r="L1074">
        <v>13356</v>
      </c>
      <c r="M1074">
        <v>6582.5999999999985</v>
      </c>
      <c r="N1074">
        <v>45720</v>
      </c>
      <c r="O1074">
        <v>3</v>
      </c>
      <c r="P1074" t="s">
        <v>38</v>
      </c>
      <c r="Q1074">
        <v>2025</v>
      </c>
    </row>
    <row r="1075" spans="1:17" x14ac:dyDescent="0.3">
      <c r="A1075" t="s">
        <v>16</v>
      </c>
      <c r="B1075" t="s">
        <v>20</v>
      </c>
      <c r="C1075" t="s">
        <v>28</v>
      </c>
      <c r="D1075" t="s">
        <v>64</v>
      </c>
      <c r="E1075" t="s">
        <v>33</v>
      </c>
      <c r="F1075">
        <v>821</v>
      </c>
      <c r="G1075">
        <v>14</v>
      </c>
      <c r="H1075">
        <v>22</v>
      </c>
      <c r="I1075">
        <v>18062</v>
      </c>
      <c r="J1075">
        <v>903.1</v>
      </c>
      <c r="K1075">
        <v>17158.900000000001</v>
      </c>
      <c r="L1075">
        <v>11494</v>
      </c>
      <c r="M1075">
        <v>5664.9000000000015</v>
      </c>
      <c r="N1075">
        <v>45340</v>
      </c>
      <c r="O1075">
        <v>2</v>
      </c>
      <c r="P1075" t="s">
        <v>52</v>
      </c>
      <c r="Q1075">
        <v>2024</v>
      </c>
    </row>
    <row r="1076" spans="1:17" x14ac:dyDescent="0.3">
      <c r="A1076" t="s">
        <v>27</v>
      </c>
      <c r="B1076" t="s">
        <v>23</v>
      </c>
      <c r="C1076" t="s">
        <v>28</v>
      </c>
      <c r="D1076" t="s">
        <v>68</v>
      </c>
      <c r="E1076" t="s">
        <v>33</v>
      </c>
      <c r="F1076">
        <v>272</v>
      </c>
      <c r="G1076">
        <v>11</v>
      </c>
      <c r="H1076">
        <v>33</v>
      </c>
      <c r="I1076">
        <v>8976</v>
      </c>
      <c r="J1076">
        <v>448.8</v>
      </c>
      <c r="K1076">
        <v>8527.2000000000007</v>
      </c>
      <c r="L1076">
        <v>2992</v>
      </c>
      <c r="M1076">
        <v>5535.2000000000007</v>
      </c>
      <c r="N1076">
        <v>45263</v>
      </c>
      <c r="O1076">
        <v>12</v>
      </c>
      <c r="P1076" t="s">
        <v>77</v>
      </c>
      <c r="Q1076">
        <v>2023</v>
      </c>
    </row>
    <row r="1077" spans="1:17" x14ac:dyDescent="0.3">
      <c r="A1077" t="s">
        <v>16</v>
      </c>
      <c r="B1077" t="s">
        <v>36</v>
      </c>
      <c r="C1077" t="s">
        <v>28</v>
      </c>
      <c r="D1077" t="s">
        <v>69</v>
      </c>
      <c r="E1077" t="s">
        <v>33</v>
      </c>
      <c r="F1077">
        <v>570</v>
      </c>
      <c r="G1077">
        <v>20</v>
      </c>
      <c r="H1077">
        <v>25</v>
      </c>
      <c r="I1077">
        <v>14250</v>
      </c>
      <c r="J1077">
        <v>712.5</v>
      </c>
      <c r="K1077">
        <v>13537.5</v>
      </c>
      <c r="L1077">
        <v>11400</v>
      </c>
      <c r="M1077">
        <v>2137.5</v>
      </c>
      <c r="N1077">
        <v>45666</v>
      </c>
      <c r="O1077">
        <v>1</v>
      </c>
      <c r="P1077" t="s">
        <v>58</v>
      </c>
      <c r="Q1077">
        <v>2025</v>
      </c>
    </row>
    <row r="1078" spans="1:17" x14ac:dyDescent="0.3">
      <c r="A1078" t="s">
        <v>16</v>
      </c>
      <c r="B1078" t="s">
        <v>20</v>
      </c>
      <c r="C1078" t="s">
        <v>28</v>
      </c>
      <c r="D1078" t="s">
        <v>64</v>
      </c>
      <c r="E1078" t="s">
        <v>33</v>
      </c>
      <c r="F1078">
        <v>130</v>
      </c>
      <c r="G1078">
        <v>14</v>
      </c>
      <c r="H1078">
        <v>22</v>
      </c>
      <c r="I1078">
        <v>2860</v>
      </c>
      <c r="J1078">
        <v>143</v>
      </c>
      <c r="K1078">
        <v>2717</v>
      </c>
      <c r="L1078">
        <v>1820</v>
      </c>
      <c r="M1078">
        <v>897</v>
      </c>
      <c r="N1078">
        <v>45066</v>
      </c>
      <c r="O1078">
        <v>5</v>
      </c>
      <c r="P1078" t="s">
        <v>46</v>
      </c>
      <c r="Q1078">
        <v>2023</v>
      </c>
    </row>
    <row r="1079" spans="1:17" x14ac:dyDescent="0.3">
      <c r="A1079" t="s">
        <v>16</v>
      </c>
      <c r="B1079" t="s">
        <v>20</v>
      </c>
      <c r="C1079" t="s">
        <v>28</v>
      </c>
      <c r="D1079" t="s">
        <v>64</v>
      </c>
      <c r="E1079" t="s">
        <v>33</v>
      </c>
      <c r="F1079">
        <v>399</v>
      </c>
      <c r="G1079">
        <v>14</v>
      </c>
      <c r="H1079">
        <v>22</v>
      </c>
      <c r="I1079">
        <v>8778</v>
      </c>
      <c r="J1079">
        <v>438.90000000000003</v>
      </c>
      <c r="K1079">
        <v>8339.1</v>
      </c>
      <c r="L1079">
        <v>5586</v>
      </c>
      <c r="M1079">
        <v>2753.1000000000004</v>
      </c>
      <c r="N1079">
        <v>45035</v>
      </c>
      <c r="O1079">
        <v>4</v>
      </c>
      <c r="P1079" t="s">
        <v>75</v>
      </c>
      <c r="Q1079">
        <v>2023</v>
      </c>
    </row>
    <row r="1080" spans="1:17" x14ac:dyDescent="0.3">
      <c r="A1080" t="s">
        <v>16</v>
      </c>
      <c r="B1080" t="s">
        <v>20</v>
      </c>
      <c r="C1080" t="s">
        <v>28</v>
      </c>
      <c r="D1080" t="s">
        <v>64</v>
      </c>
      <c r="E1080" t="s">
        <v>33</v>
      </c>
      <c r="F1080">
        <v>31</v>
      </c>
      <c r="G1080">
        <v>14</v>
      </c>
      <c r="H1080">
        <v>22</v>
      </c>
      <c r="I1080">
        <v>682</v>
      </c>
      <c r="J1080">
        <v>6.82</v>
      </c>
      <c r="K1080">
        <v>675.18</v>
      </c>
      <c r="L1080">
        <v>434</v>
      </c>
      <c r="M1080">
        <v>241.17999999999995</v>
      </c>
      <c r="N1080">
        <v>45349</v>
      </c>
      <c r="O1080">
        <v>2</v>
      </c>
      <c r="P1080" t="s">
        <v>52</v>
      </c>
      <c r="Q1080">
        <v>2024</v>
      </c>
    </row>
    <row r="1081" spans="1:17" x14ac:dyDescent="0.3">
      <c r="A1081" t="s">
        <v>16</v>
      </c>
      <c r="B1081" t="s">
        <v>23</v>
      </c>
      <c r="C1081" t="s">
        <v>28</v>
      </c>
      <c r="D1081" t="s">
        <v>66</v>
      </c>
      <c r="E1081" t="s">
        <v>33</v>
      </c>
      <c r="F1081">
        <v>309</v>
      </c>
      <c r="G1081">
        <v>11</v>
      </c>
      <c r="H1081">
        <v>21</v>
      </c>
      <c r="I1081">
        <v>6489</v>
      </c>
      <c r="J1081">
        <v>324.45000000000005</v>
      </c>
      <c r="K1081">
        <v>6164.55</v>
      </c>
      <c r="L1081">
        <v>3399</v>
      </c>
      <c r="M1081">
        <v>2765.55</v>
      </c>
      <c r="N1081">
        <v>45173</v>
      </c>
      <c r="O1081">
        <v>9</v>
      </c>
      <c r="P1081" t="s">
        <v>40</v>
      </c>
      <c r="Q1081">
        <v>2023</v>
      </c>
    </row>
    <row r="1082" spans="1:17" x14ac:dyDescent="0.3">
      <c r="A1082" t="s">
        <v>16</v>
      </c>
      <c r="B1082" t="s">
        <v>20</v>
      </c>
      <c r="C1082" t="s">
        <v>28</v>
      </c>
      <c r="D1082" t="s">
        <v>64</v>
      </c>
      <c r="E1082" t="s">
        <v>33</v>
      </c>
      <c r="F1082">
        <v>891</v>
      </c>
      <c r="G1082">
        <v>14</v>
      </c>
      <c r="H1082">
        <v>22</v>
      </c>
      <c r="I1082">
        <v>19602</v>
      </c>
      <c r="J1082">
        <v>980.1</v>
      </c>
      <c r="K1082">
        <v>18621.900000000001</v>
      </c>
      <c r="L1082">
        <v>12474</v>
      </c>
      <c r="M1082">
        <v>6147.9000000000015</v>
      </c>
      <c r="N1082">
        <v>45222</v>
      </c>
      <c r="O1082">
        <v>10</v>
      </c>
      <c r="P1082" t="s">
        <v>55</v>
      </c>
      <c r="Q1082">
        <v>2023</v>
      </c>
    </row>
    <row r="1083" spans="1:17" x14ac:dyDescent="0.3">
      <c r="A1083" t="s">
        <v>16</v>
      </c>
      <c r="B1083" t="s">
        <v>23</v>
      </c>
      <c r="C1083" t="s">
        <v>28</v>
      </c>
      <c r="D1083" t="s">
        <v>66</v>
      </c>
      <c r="E1083" t="s">
        <v>33</v>
      </c>
      <c r="F1083">
        <v>72</v>
      </c>
      <c r="G1083">
        <v>11</v>
      </c>
      <c r="H1083">
        <v>21</v>
      </c>
      <c r="I1083">
        <v>1512</v>
      </c>
      <c r="J1083">
        <v>75.600000000000009</v>
      </c>
      <c r="K1083">
        <v>1436.4</v>
      </c>
      <c r="L1083">
        <v>792</v>
      </c>
      <c r="M1083">
        <v>644.40000000000009</v>
      </c>
      <c r="N1083">
        <v>45736</v>
      </c>
      <c r="O1083">
        <v>3</v>
      </c>
      <c r="P1083" t="s">
        <v>38</v>
      </c>
      <c r="Q1083">
        <v>2025</v>
      </c>
    </row>
    <row r="1084" spans="1:17" x14ac:dyDescent="0.3">
      <c r="A1084" t="s">
        <v>16</v>
      </c>
      <c r="B1084" t="s">
        <v>23</v>
      </c>
      <c r="C1084" t="s">
        <v>28</v>
      </c>
      <c r="D1084" t="s">
        <v>66</v>
      </c>
      <c r="E1084" t="s">
        <v>33</v>
      </c>
      <c r="F1084">
        <v>366</v>
      </c>
      <c r="G1084">
        <v>11</v>
      </c>
      <c r="H1084">
        <v>21</v>
      </c>
      <c r="I1084">
        <v>7686</v>
      </c>
      <c r="J1084">
        <v>384.3</v>
      </c>
      <c r="K1084">
        <v>7301.7</v>
      </c>
      <c r="L1084">
        <v>4026</v>
      </c>
      <c r="M1084">
        <v>3275.7</v>
      </c>
      <c r="N1084">
        <v>45313</v>
      </c>
      <c r="O1084">
        <v>1</v>
      </c>
      <c r="P1084" t="s">
        <v>58</v>
      </c>
      <c r="Q1084">
        <v>2024</v>
      </c>
    </row>
    <row r="1085" spans="1:17" x14ac:dyDescent="0.3">
      <c r="A1085" t="s">
        <v>25</v>
      </c>
      <c r="B1085" t="s">
        <v>17</v>
      </c>
      <c r="C1085" t="s">
        <v>29</v>
      </c>
      <c r="D1085" t="s">
        <v>160</v>
      </c>
      <c r="E1085" t="s">
        <v>33</v>
      </c>
      <c r="F1085">
        <v>69</v>
      </c>
      <c r="G1085">
        <v>12</v>
      </c>
      <c r="H1085">
        <v>21</v>
      </c>
      <c r="I1085">
        <v>1449</v>
      </c>
      <c r="J1085">
        <v>72.45</v>
      </c>
      <c r="K1085">
        <v>1376.55</v>
      </c>
      <c r="L1085">
        <v>828</v>
      </c>
      <c r="M1085">
        <v>548.54999999999995</v>
      </c>
      <c r="N1085">
        <v>45082</v>
      </c>
      <c r="O1085">
        <v>6</v>
      </c>
      <c r="P1085" t="s">
        <v>45</v>
      </c>
      <c r="Q1085">
        <v>2023</v>
      </c>
    </row>
    <row r="1086" spans="1:17" x14ac:dyDescent="0.3">
      <c r="A1086" t="s">
        <v>16</v>
      </c>
      <c r="B1086" t="s">
        <v>36</v>
      </c>
      <c r="C1086" t="s">
        <v>29</v>
      </c>
      <c r="D1086" t="s">
        <v>134</v>
      </c>
      <c r="E1086" t="s">
        <v>33</v>
      </c>
      <c r="F1086">
        <v>541</v>
      </c>
      <c r="G1086">
        <v>13</v>
      </c>
      <c r="H1086">
        <v>38</v>
      </c>
      <c r="I1086">
        <v>20558</v>
      </c>
      <c r="J1086">
        <v>1027.9000000000001</v>
      </c>
      <c r="K1086">
        <v>19530.099999999999</v>
      </c>
      <c r="L1086">
        <v>7033</v>
      </c>
      <c r="M1086">
        <v>12497.099999999999</v>
      </c>
      <c r="N1086">
        <v>45300</v>
      </c>
      <c r="O1086">
        <v>1</v>
      </c>
      <c r="P1086" t="s">
        <v>58</v>
      </c>
      <c r="Q1086">
        <v>2024</v>
      </c>
    </row>
    <row r="1087" spans="1:17" x14ac:dyDescent="0.3">
      <c r="A1087" t="s">
        <v>16</v>
      </c>
      <c r="B1087" t="s">
        <v>20</v>
      </c>
      <c r="C1087" t="s">
        <v>29</v>
      </c>
      <c r="D1087" t="s">
        <v>76</v>
      </c>
      <c r="E1087" t="s">
        <v>33</v>
      </c>
      <c r="F1087">
        <v>702</v>
      </c>
      <c r="G1087">
        <v>11</v>
      </c>
      <c r="H1087">
        <v>30</v>
      </c>
      <c r="I1087">
        <v>21060</v>
      </c>
      <c r="J1087">
        <v>1053</v>
      </c>
      <c r="K1087">
        <v>20007</v>
      </c>
      <c r="L1087">
        <v>7722</v>
      </c>
      <c r="M1087">
        <v>12285</v>
      </c>
      <c r="N1087">
        <v>45336</v>
      </c>
      <c r="O1087">
        <v>2</v>
      </c>
      <c r="P1087" t="s">
        <v>52</v>
      </c>
      <c r="Q1087">
        <v>2024</v>
      </c>
    </row>
    <row r="1088" spans="1:17" x14ac:dyDescent="0.3">
      <c r="A1088" t="s">
        <v>27</v>
      </c>
      <c r="B1088" t="s">
        <v>22</v>
      </c>
      <c r="C1088" t="s">
        <v>29</v>
      </c>
      <c r="D1088" t="s">
        <v>172</v>
      </c>
      <c r="E1088" t="s">
        <v>33</v>
      </c>
      <c r="F1088">
        <v>791</v>
      </c>
      <c r="G1088">
        <v>10</v>
      </c>
      <c r="H1088">
        <v>34</v>
      </c>
      <c r="I1088">
        <v>26894</v>
      </c>
      <c r="J1088">
        <v>1344.7</v>
      </c>
      <c r="K1088">
        <v>25549.3</v>
      </c>
      <c r="L1088">
        <v>7910</v>
      </c>
      <c r="M1088">
        <v>17639.3</v>
      </c>
      <c r="N1088">
        <v>45338</v>
      </c>
      <c r="O1088">
        <v>2</v>
      </c>
      <c r="P1088" t="s">
        <v>52</v>
      </c>
      <c r="Q1088">
        <v>2024</v>
      </c>
    </row>
    <row r="1089" spans="1:17" x14ac:dyDescent="0.3">
      <c r="A1089" t="s">
        <v>27</v>
      </c>
      <c r="B1089" t="s">
        <v>23</v>
      </c>
      <c r="C1089" t="s">
        <v>29</v>
      </c>
      <c r="D1089" t="s">
        <v>186</v>
      </c>
      <c r="E1089" t="s">
        <v>33</v>
      </c>
      <c r="F1089">
        <v>900</v>
      </c>
      <c r="G1089">
        <v>18</v>
      </c>
      <c r="H1089">
        <v>35</v>
      </c>
      <c r="I1089">
        <v>31500</v>
      </c>
      <c r="J1089">
        <v>1575</v>
      </c>
      <c r="K1089">
        <v>29925</v>
      </c>
      <c r="L1089">
        <v>16200</v>
      </c>
      <c r="M1089">
        <v>13725</v>
      </c>
      <c r="N1089">
        <v>45616</v>
      </c>
      <c r="O1089">
        <v>11</v>
      </c>
      <c r="P1089" t="s">
        <v>43</v>
      </c>
      <c r="Q1089">
        <v>2024</v>
      </c>
    </row>
    <row r="1090" spans="1:17" x14ac:dyDescent="0.3">
      <c r="A1090" t="s">
        <v>16</v>
      </c>
      <c r="B1090" t="s">
        <v>22</v>
      </c>
      <c r="C1090" t="s">
        <v>30</v>
      </c>
      <c r="D1090" t="s">
        <v>84</v>
      </c>
      <c r="E1090" t="s">
        <v>33</v>
      </c>
      <c r="F1090">
        <v>308</v>
      </c>
      <c r="G1090">
        <v>20</v>
      </c>
      <c r="H1090">
        <v>23</v>
      </c>
      <c r="I1090">
        <v>7084</v>
      </c>
      <c r="J1090">
        <v>354.20000000000005</v>
      </c>
      <c r="K1090">
        <v>6729.8</v>
      </c>
      <c r="L1090">
        <v>6160</v>
      </c>
      <c r="M1090">
        <v>569.80000000000018</v>
      </c>
      <c r="N1090">
        <v>45505</v>
      </c>
      <c r="O1090">
        <v>8</v>
      </c>
      <c r="P1090" t="s">
        <v>62</v>
      </c>
      <c r="Q1090">
        <v>2024</v>
      </c>
    </row>
    <row r="1091" spans="1:17" x14ac:dyDescent="0.3">
      <c r="A1091" t="s">
        <v>16</v>
      </c>
      <c r="B1091" t="s">
        <v>20</v>
      </c>
      <c r="C1091" t="s">
        <v>30</v>
      </c>
      <c r="D1091" t="s">
        <v>114</v>
      </c>
      <c r="E1091" t="s">
        <v>33</v>
      </c>
      <c r="F1091">
        <v>881</v>
      </c>
      <c r="G1091">
        <v>13</v>
      </c>
      <c r="H1091">
        <v>38</v>
      </c>
      <c r="I1091">
        <v>33478</v>
      </c>
      <c r="J1091">
        <v>1673.9</v>
      </c>
      <c r="K1091">
        <v>31804.1</v>
      </c>
      <c r="L1091">
        <v>11453</v>
      </c>
      <c r="M1091">
        <v>20351.099999999999</v>
      </c>
      <c r="N1091">
        <v>45310</v>
      </c>
      <c r="O1091">
        <v>1</v>
      </c>
      <c r="P1091" t="s">
        <v>58</v>
      </c>
      <c r="Q1091">
        <v>2024</v>
      </c>
    </row>
    <row r="1092" spans="1:17" x14ac:dyDescent="0.3">
      <c r="A1092" t="s">
        <v>16</v>
      </c>
      <c r="B1092" t="s">
        <v>22</v>
      </c>
      <c r="C1092" t="s">
        <v>30</v>
      </c>
      <c r="D1092" t="s">
        <v>84</v>
      </c>
      <c r="E1092" t="s">
        <v>33</v>
      </c>
      <c r="F1092">
        <v>604</v>
      </c>
      <c r="G1092">
        <v>20</v>
      </c>
      <c r="H1092">
        <v>23</v>
      </c>
      <c r="I1092">
        <v>13892</v>
      </c>
      <c r="J1092">
        <v>694.6</v>
      </c>
      <c r="K1092">
        <v>13197.4</v>
      </c>
      <c r="L1092">
        <v>12080</v>
      </c>
      <c r="M1092">
        <v>1117.3999999999996</v>
      </c>
      <c r="N1092">
        <v>45294</v>
      </c>
      <c r="O1092">
        <v>1</v>
      </c>
      <c r="P1092" t="s">
        <v>58</v>
      </c>
      <c r="Q1092">
        <v>2024</v>
      </c>
    </row>
    <row r="1093" spans="1:17" x14ac:dyDescent="0.3">
      <c r="A1093" t="s">
        <v>16</v>
      </c>
      <c r="B1093" t="s">
        <v>20</v>
      </c>
      <c r="C1093" t="s">
        <v>30</v>
      </c>
      <c r="D1093" t="s">
        <v>114</v>
      </c>
      <c r="E1093" t="s">
        <v>33</v>
      </c>
      <c r="F1093">
        <v>241</v>
      </c>
      <c r="G1093">
        <v>13</v>
      </c>
      <c r="H1093">
        <v>38</v>
      </c>
      <c r="I1093">
        <v>9158</v>
      </c>
      <c r="J1093">
        <v>457.90000000000003</v>
      </c>
      <c r="K1093">
        <v>8700.1</v>
      </c>
      <c r="L1093">
        <v>3133</v>
      </c>
      <c r="M1093">
        <v>5567.1</v>
      </c>
      <c r="N1093">
        <v>45528</v>
      </c>
      <c r="O1093">
        <v>8</v>
      </c>
      <c r="P1093" t="s">
        <v>62</v>
      </c>
      <c r="Q1093">
        <v>2024</v>
      </c>
    </row>
    <row r="1094" spans="1:17" x14ac:dyDescent="0.3">
      <c r="A1094" t="s">
        <v>27</v>
      </c>
      <c r="B1094" t="s">
        <v>17</v>
      </c>
      <c r="C1094" t="s">
        <v>30</v>
      </c>
      <c r="D1094" t="s">
        <v>80</v>
      </c>
      <c r="E1094" t="s">
        <v>33</v>
      </c>
      <c r="F1094">
        <v>579</v>
      </c>
      <c r="G1094">
        <v>16</v>
      </c>
      <c r="H1094">
        <v>16</v>
      </c>
      <c r="I1094">
        <v>9264</v>
      </c>
      <c r="J1094">
        <v>463.20000000000005</v>
      </c>
      <c r="K1094">
        <v>8800.7999999999993</v>
      </c>
      <c r="L1094">
        <v>9264</v>
      </c>
      <c r="M1094">
        <v>-463.20000000000073</v>
      </c>
      <c r="N1094">
        <v>45547</v>
      </c>
      <c r="O1094">
        <v>9</v>
      </c>
      <c r="P1094" t="s">
        <v>40</v>
      </c>
      <c r="Q1094">
        <v>2024</v>
      </c>
    </row>
    <row r="1095" spans="1:17" x14ac:dyDescent="0.3">
      <c r="A1095" t="s">
        <v>27</v>
      </c>
      <c r="B1095" t="s">
        <v>36</v>
      </c>
      <c r="C1095" t="s">
        <v>30</v>
      </c>
      <c r="D1095" t="s">
        <v>149</v>
      </c>
      <c r="E1095" t="s">
        <v>33</v>
      </c>
      <c r="F1095">
        <v>247</v>
      </c>
      <c r="G1095">
        <v>10</v>
      </c>
      <c r="H1095">
        <v>38</v>
      </c>
      <c r="I1095">
        <v>9386</v>
      </c>
      <c r="J1095">
        <v>469.3</v>
      </c>
      <c r="K1095">
        <v>8916.7000000000007</v>
      </c>
      <c r="L1095">
        <v>2470</v>
      </c>
      <c r="M1095">
        <v>6446.7000000000007</v>
      </c>
      <c r="N1095">
        <v>45646</v>
      </c>
      <c r="O1095">
        <v>12</v>
      </c>
      <c r="P1095" t="s">
        <v>77</v>
      </c>
      <c r="Q1095">
        <v>2024</v>
      </c>
    </row>
    <row r="1096" spans="1:17" x14ac:dyDescent="0.3">
      <c r="A1096" t="s">
        <v>16</v>
      </c>
      <c r="B1096" t="s">
        <v>17</v>
      </c>
      <c r="C1096" t="s">
        <v>31</v>
      </c>
      <c r="D1096" t="s">
        <v>159</v>
      </c>
      <c r="E1096" t="s">
        <v>33</v>
      </c>
      <c r="F1096">
        <v>126</v>
      </c>
      <c r="G1096">
        <v>19</v>
      </c>
      <c r="H1096">
        <v>38</v>
      </c>
      <c r="I1096">
        <v>4788</v>
      </c>
      <c r="J1096">
        <v>239.4</v>
      </c>
      <c r="K1096">
        <v>4548.6000000000004</v>
      </c>
      <c r="L1096">
        <v>2394</v>
      </c>
      <c r="M1096">
        <v>2154.6000000000004</v>
      </c>
      <c r="N1096">
        <v>45033</v>
      </c>
      <c r="O1096">
        <v>4</v>
      </c>
      <c r="P1096" t="s">
        <v>75</v>
      </c>
      <c r="Q1096">
        <v>2023</v>
      </c>
    </row>
    <row r="1097" spans="1:17" x14ac:dyDescent="0.3">
      <c r="A1097" t="s">
        <v>16</v>
      </c>
      <c r="B1097" t="s">
        <v>36</v>
      </c>
      <c r="C1097" t="s">
        <v>31</v>
      </c>
      <c r="D1097" t="s">
        <v>91</v>
      </c>
      <c r="E1097" t="s">
        <v>33</v>
      </c>
      <c r="F1097">
        <v>128</v>
      </c>
      <c r="G1097">
        <v>10</v>
      </c>
      <c r="H1097">
        <v>19</v>
      </c>
      <c r="I1097">
        <v>2432</v>
      </c>
      <c r="J1097">
        <v>121.60000000000001</v>
      </c>
      <c r="K1097">
        <v>2310.4</v>
      </c>
      <c r="L1097">
        <v>1280</v>
      </c>
      <c r="M1097">
        <v>1030.4000000000001</v>
      </c>
      <c r="N1097">
        <v>45348</v>
      </c>
      <c r="O1097">
        <v>2</v>
      </c>
      <c r="P1097" t="s">
        <v>52</v>
      </c>
      <c r="Q1097">
        <v>2024</v>
      </c>
    </row>
    <row r="1098" spans="1:17" x14ac:dyDescent="0.3">
      <c r="A1098" t="s">
        <v>16</v>
      </c>
      <c r="B1098" t="s">
        <v>20</v>
      </c>
      <c r="C1098" t="s">
        <v>31</v>
      </c>
      <c r="D1098" t="s">
        <v>90</v>
      </c>
      <c r="E1098" t="s">
        <v>33</v>
      </c>
      <c r="F1098">
        <v>834</v>
      </c>
      <c r="G1098">
        <v>19</v>
      </c>
      <c r="H1098">
        <v>17</v>
      </c>
      <c r="I1098">
        <v>14178</v>
      </c>
      <c r="J1098">
        <v>708.90000000000009</v>
      </c>
      <c r="K1098">
        <v>13469.1</v>
      </c>
      <c r="L1098">
        <v>15846</v>
      </c>
      <c r="M1098">
        <v>-2376.8999999999996</v>
      </c>
      <c r="N1098">
        <v>45753</v>
      </c>
      <c r="O1098">
        <v>4</v>
      </c>
      <c r="P1098" t="s">
        <v>75</v>
      </c>
      <c r="Q1098">
        <v>2025</v>
      </c>
    </row>
    <row r="1099" spans="1:17" x14ac:dyDescent="0.3">
      <c r="A1099" t="s">
        <v>27</v>
      </c>
      <c r="B1099" t="s">
        <v>23</v>
      </c>
      <c r="C1099" t="s">
        <v>31</v>
      </c>
      <c r="D1099" t="s">
        <v>143</v>
      </c>
      <c r="E1099" t="s">
        <v>33</v>
      </c>
      <c r="F1099">
        <v>328</v>
      </c>
      <c r="G1099">
        <v>13</v>
      </c>
      <c r="H1099">
        <v>16</v>
      </c>
      <c r="I1099">
        <v>5248</v>
      </c>
      <c r="J1099">
        <v>262.40000000000003</v>
      </c>
      <c r="K1099">
        <v>4985.6000000000004</v>
      </c>
      <c r="L1099">
        <v>4264</v>
      </c>
      <c r="M1099">
        <v>721.60000000000036</v>
      </c>
      <c r="N1099">
        <v>45745</v>
      </c>
      <c r="O1099">
        <v>3</v>
      </c>
      <c r="P1099" t="s">
        <v>38</v>
      </c>
      <c r="Q1099">
        <v>2025</v>
      </c>
    </row>
    <row r="1100" spans="1:17" x14ac:dyDescent="0.3">
      <c r="A1100" t="s">
        <v>16</v>
      </c>
      <c r="B1100" t="s">
        <v>20</v>
      </c>
      <c r="C1100" t="s">
        <v>31</v>
      </c>
      <c r="D1100" t="s">
        <v>90</v>
      </c>
      <c r="E1100" t="s">
        <v>33</v>
      </c>
      <c r="F1100">
        <v>933</v>
      </c>
      <c r="G1100">
        <v>19</v>
      </c>
      <c r="H1100">
        <v>17</v>
      </c>
      <c r="I1100">
        <v>15861</v>
      </c>
      <c r="J1100">
        <v>793.05000000000007</v>
      </c>
      <c r="K1100">
        <v>15067.95</v>
      </c>
      <c r="L1100">
        <v>17727</v>
      </c>
      <c r="M1100">
        <v>-2659.0499999999993</v>
      </c>
      <c r="N1100">
        <v>45701</v>
      </c>
      <c r="O1100">
        <v>2</v>
      </c>
      <c r="P1100" t="s">
        <v>52</v>
      </c>
      <c r="Q1100">
        <v>2025</v>
      </c>
    </row>
    <row r="1101" spans="1:17" x14ac:dyDescent="0.3">
      <c r="A1101" t="s">
        <v>21</v>
      </c>
      <c r="B1101" t="s">
        <v>20</v>
      </c>
      <c r="C1101" t="s">
        <v>31</v>
      </c>
      <c r="D1101" t="s">
        <v>187</v>
      </c>
      <c r="E1101" t="s">
        <v>33</v>
      </c>
      <c r="F1101">
        <v>82</v>
      </c>
      <c r="G1101">
        <v>19</v>
      </c>
      <c r="H1101">
        <v>24</v>
      </c>
      <c r="I1101">
        <v>1968</v>
      </c>
      <c r="J1101">
        <v>98.4</v>
      </c>
      <c r="K1101">
        <v>1869.6</v>
      </c>
      <c r="L1101">
        <v>1558</v>
      </c>
      <c r="M1101">
        <v>311.59999999999991</v>
      </c>
      <c r="N1101">
        <v>45428</v>
      </c>
      <c r="O1101">
        <v>5</v>
      </c>
      <c r="P1101" t="s">
        <v>46</v>
      </c>
      <c r="Q1101">
        <v>2024</v>
      </c>
    </row>
    <row r="1102" spans="1:17" x14ac:dyDescent="0.3">
      <c r="A1102" t="s">
        <v>25</v>
      </c>
      <c r="B1102" t="s">
        <v>23</v>
      </c>
      <c r="C1102" t="s">
        <v>31</v>
      </c>
      <c r="D1102" t="s">
        <v>161</v>
      </c>
      <c r="E1102" t="s">
        <v>33</v>
      </c>
      <c r="F1102">
        <v>864</v>
      </c>
      <c r="G1102">
        <v>19</v>
      </c>
      <c r="H1102">
        <v>32</v>
      </c>
      <c r="I1102">
        <v>27648</v>
      </c>
      <c r="J1102">
        <v>1382.4</v>
      </c>
      <c r="K1102">
        <v>26265.599999999999</v>
      </c>
      <c r="L1102">
        <v>16416</v>
      </c>
      <c r="M1102">
        <v>9849.5999999999985</v>
      </c>
      <c r="N1102">
        <v>45528</v>
      </c>
      <c r="O1102">
        <v>8</v>
      </c>
      <c r="P1102" t="s">
        <v>62</v>
      </c>
      <c r="Q1102">
        <v>2024</v>
      </c>
    </row>
    <row r="1103" spans="1:17" x14ac:dyDescent="0.3">
      <c r="A1103" t="s">
        <v>27</v>
      </c>
      <c r="B1103" t="s">
        <v>23</v>
      </c>
      <c r="C1103" t="s">
        <v>31</v>
      </c>
      <c r="D1103" t="s">
        <v>143</v>
      </c>
      <c r="E1103" t="s">
        <v>33</v>
      </c>
      <c r="F1103">
        <v>969</v>
      </c>
      <c r="G1103">
        <v>13</v>
      </c>
      <c r="H1103">
        <v>16</v>
      </c>
      <c r="I1103">
        <v>15504</v>
      </c>
      <c r="J1103">
        <v>775.2</v>
      </c>
      <c r="K1103">
        <v>14728.8</v>
      </c>
      <c r="L1103">
        <v>12597</v>
      </c>
      <c r="M1103">
        <v>2131.7999999999993</v>
      </c>
      <c r="N1103">
        <v>45702</v>
      </c>
      <c r="O1103">
        <v>2</v>
      </c>
      <c r="P1103" t="s">
        <v>52</v>
      </c>
      <c r="Q1103">
        <v>2025</v>
      </c>
    </row>
    <row r="1104" spans="1:17" x14ac:dyDescent="0.3">
      <c r="A1104" t="s">
        <v>16</v>
      </c>
      <c r="B1104" t="s">
        <v>36</v>
      </c>
      <c r="C1104" t="s">
        <v>30</v>
      </c>
      <c r="D1104" t="s">
        <v>141</v>
      </c>
      <c r="E1104" t="s">
        <v>33</v>
      </c>
      <c r="F1104">
        <v>611</v>
      </c>
      <c r="G1104">
        <v>13</v>
      </c>
      <c r="H1104">
        <v>25</v>
      </c>
      <c r="I1104">
        <v>15275</v>
      </c>
      <c r="J1104">
        <v>763.75</v>
      </c>
      <c r="K1104">
        <v>14511.25</v>
      </c>
      <c r="L1104">
        <v>7943</v>
      </c>
      <c r="M1104">
        <v>6568.25</v>
      </c>
      <c r="N1104">
        <v>45630</v>
      </c>
      <c r="O1104">
        <v>12</v>
      </c>
      <c r="P1104" t="s">
        <v>77</v>
      </c>
      <c r="Q1104">
        <v>2024</v>
      </c>
    </row>
    <row r="1105" spans="1:17" x14ac:dyDescent="0.3">
      <c r="A1105" t="s">
        <v>27</v>
      </c>
      <c r="B1105" t="s">
        <v>17</v>
      </c>
      <c r="C1105" t="s">
        <v>18</v>
      </c>
      <c r="D1105" t="s">
        <v>188</v>
      </c>
      <c r="E1105" t="s">
        <v>33</v>
      </c>
      <c r="F1105">
        <v>956</v>
      </c>
      <c r="G1105">
        <v>16</v>
      </c>
      <c r="H1105">
        <v>27</v>
      </c>
      <c r="I1105">
        <v>25812</v>
      </c>
      <c r="J1105">
        <v>1290.6000000000001</v>
      </c>
      <c r="K1105">
        <v>24521.4</v>
      </c>
      <c r="L1105">
        <v>15296</v>
      </c>
      <c r="M1105">
        <v>9225.4000000000015</v>
      </c>
      <c r="N1105">
        <v>45090</v>
      </c>
      <c r="O1105">
        <v>6</v>
      </c>
      <c r="P1105" t="s">
        <v>45</v>
      </c>
      <c r="Q1105">
        <v>2023</v>
      </c>
    </row>
    <row r="1106" spans="1:17" x14ac:dyDescent="0.3">
      <c r="A1106" t="s">
        <v>25</v>
      </c>
      <c r="B1106" t="s">
        <v>23</v>
      </c>
      <c r="C1106" t="s">
        <v>18</v>
      </c>
      <c r="D1106" t="s">
        <v>168</v>
      </c>
      <c r="E1106" t="s">
        <v>33</v>
      </c>
      <c r="F1106">
        <v>911</v>
      </c>
      <c r="G1106">
        <v>17</v>
      </c>
      <c r="H1106">
        <v>26</v>
      </c>
      <c r="I1106">
        <v>23686</v>
      </c>
      <c r="J1106">
        <v>1184.3</v>
      </c>
      <c r="K1106">
        <v>22501.7</v>
      </c>
      <c r="L1106">
        <v>15487</v>
      </c>
      <c r="M1106">
        <v>7014.7000000000007</v>
      </c>
      <c r="N1106">
        <v>45665</v>
      </c>
      <c r="O1106">
        <v>1</v>
      </c>
      <c r="P1106" t="s">
        <v>58</v>
      </c>
      <c r="Q1106">
        <v>2025</v>
      </c>
    </row>
    <row r="1107" spans="1:17" x14ac:dyDescent="0.3">
      <c r="A1107" t="s">
        <v>27</v>
      </c>
      <c r="B1107" t="s">
        <v>17</v>
      </c>
      <c r="C1107" t="s">
        <v>24</v>
      </c>
      <c r="D1107" t="s">
        <v>185</v>
      </c>
      <c r="E1107" t="s">
        <v>33</v>
      </c>
      <c r="F1107">
        <v>967</v>
      </c>
      <c r="G1107">
        <v>10</v>
      </c>
      <c r="H1107">
        <v>37</v>
      </c>
      <c r="I1107">
        <v>35779</v>
      </c>
      <c r="J1107">
        <v>1788.95</v>
      </c>
      <c r="K1107">
        <v>33990.050000000003</v>
      </c>
      <c r="L1107">
        <v>9670</v>
      </c>
      <c r="M1107">
        <v>24320.050000000003</v>
      </c>
      <c r="N1107">
        <v>45121</v>
      </c>
      <c r="O1107">
        <v>7</v>
      </c>
      <c r="P1107" t="s">
        <v>48</v>
      </c>
      <c r="Q1107">
        <v>2023</v>
      </c>
    </row>
    <row r="1108" spans="1:17" x14ac:dyDescent="0.3">
      <c r="A1108" t="s">
        <v>16</v>
      </c>
      <c r="B1108" t="s">
        <v>22</v>
      </c>
      <c r="C1108" t="s">
        <v>24</v>
      </c>
      <c r="D1108" t="s">
        <v>50</v>
      </c>
      <c r="E1108" t="s">
        <v>33</v>
      </c>
      <c r="F1108">
        <v>690</v>
      </c>
      <c r="G1108">
        <v>12</v>
      </c>
      <c r="H1108">
        <v>35</v>
      </c>
      <c r="I1108">
        <v>24150</v>
      </c>
      <c r="J1108">
        <v>1207.5</v>
      </c>
      <c r="K1108">
        <v>22942.5</v>
      </c>
      <c r="L1108">
        <v>8280</v>
      </c>
      <c r="M1108">
        <v>14662.5</v>
      </c>
      <c r="N1108">
        <v>45515</v>
      </c>
      <c r="O1108">
        <v>8</v>
      </c>
      <c r="P1108" t="s">
        <v>62</v>
      </c>
      <c r="Q1108">
        <v>2024</v>
      </c>
    </row>
    <row r="1109" spans="1:17" x14ac:dyDescent="0.3">
      <c r="A1109" t="s">
        <v>27</v>
      </c>
      <c r="B1109" t="s">
        <v>22</v>
      </c>
      <c r="C1109" t="s">
        <v>24</v>
      </c>
      <c r="D1109" t="s">
        <v>178</v>
      </c>
      <c r="E1109" t="s">
        <v>33</v>
      </c>
      <c r="F1109">
        <v>871</v>
      </c>
      <c r="G1109">
        <v>15</v>
      </c>
      <c r="H1109">
        <v>36</v>
      </c>
      <c r="I1109">
        <v>31356</v>
      </c>
      <c r="J1109">
        <v>1567.8000000000002</v>
      </c>
      <c r="K1109">
        <v>29788.2</v>
      </c>
      <c r="L1109">
        <v>13065</v>
      </c>
      <c r="M1109">
        <v>16723.2</v>
      </c>
      <c r="N1109">
        <v>45050</v>
      </c>
      <c r="O1109">
        <v>5</v>
      </c>
      <c r="P1109" t="s">
        <v>46</v>
      </c>
      <c r="Q1109">
        <v>2023</v>
      </c>
    </row>
    <row r="1110" spans="1:17" x14ac:dyDescent="0.3">
      <c r="A1110" t="s">
        <v>25</v>
      </c>
      <c r="B1110" t="s">
        <v>17</v>
      </c>
      <c r="C1110" t="s">
        <v>24</v>
      </c>
      <c r="D1110" t="s">
        <v>49</v>
      </c>
      <c r="E1110" t="s">
        <v>33</v>
      </c>
      <c r="F1110">
        <v>248</v>
      </c>
      <c r="G1110">
        <v>13</v>
      </c>
      <c r="H1110">
        <v>33</v>
      </c>
      <c r="I1110">
        <v>8184</v>
      </c>
      <c r="J1110">
        <v>409.20000000000005</v>
      </c>
      <c r="K1110">
        <v>7774.8</v>
      </c>
      <c r="L1110">
        <v>3224</v>
      </c>
      <c r="M1110">
        <v>4550.8</v>
      </c>
      <c r="N1110">
        <v>45326</v>
      </c>
      <c r="O1110">
        <v>2</v>
      </c>
      <c r="P1110" t="s">
        <v>52</v>
      </c>
      <c r="Q1110">
        <v>2024</v>
      </c>
    </row>
    <row r="1111" spans="1:17" x14ac:dyDescent="0.3">
      <c r="A1111" t="s">
        <v>26</v>
      </c>
      <c r="B1111" t="s">
        <v>22</v>
      </c>
      <c r="C1111" t="s">
        <v>24</v>
      </c>
      <c r="D1111" t="s">
        <v>147</v>
      </c>
      <c r="E1111" t="s">
        <v>33</v>
      </c>
      <c r="F1111">
        <v>506</v>
      </c>
      <c r="G1111">
        <v>13</v>
      </c>
      <c r="H1111">
        <v>33</v>
      </c>
      <c r="I1111">
        <v>16698</v>
      </c>
      <c r="J1111">
        <v>834.90000000000009</v>
      </c>
      <c r="K1111">
        <v>15863.1</v>
      </c>
      <c r="L1111">
        <v>6578</v>
      </c>
      <c r="M1111">
        <v>9285.1</v>
      </c>
      <c r="N1111">
        <v>45043</v>
      </c>
      <c r="O1111">
        <v>4</v>
      </c>
      <c r="P1111" t="s">
        <v>75</v>
      </c>
      <c r="Q1111">
        <v>2023</v>
      </c>
    </row>
    <row r="1112" spans="1:17" x14ac:dyDescent="0.3">
      <c r="A1112" t="s">
        <v>16</v>
      </c>
      <c r="B1112" t="s">
        <v>17</v>
      </c>
      <c r="C1112" t="s">
        <v>24</v>
      </c>
      <c r="D1112" t="s">
        <v>105</v>
      </c>
      <c r="E1112" t="s">
        <v>33</v>
      </c>
      <c r="F1112">
        <v>853</v>
      </c>
      <c r="G1112">
        <v>12</v>
      </c>
      <c r="H1112">
        <v>26</v>
      </c>
      <c r="I1112">
        <v>22178</v>
      </c>
      <c r="J1112">
        <v>1108.9000000000001</v>
      </c>
      <c r="K1112">
        <v>21069.1</v>
      </c>
      <c r="L1112">
        <v>10236</v>
      </c>
      <c r="M1112">
        <v>10833.099999999999</v>
      </c>
      <c r="N1112">
        <v>45283</v>
      </c>
      <c r="O1112">
        <v>12</v>
      </c>
      <c r="P1112" t="s">
        <v>77</v>
      </c>
      <c r="Q1112">
        <v>2023</v>
      </c>
    </row>
    <row r="1113" spans="1:17" x14ac:dyDescent="0.3">
      <c r="A1113" t="s">
        <v>26</v>
      </c>
      <c r="B1113" t="s">
        <v>36</v>
      </c>
      <c r="C1113" t="s">
        <v>24</v>
      </c>
      <c r="D1113" t="s">
        <v>106</v>
      </c>
      <c r="E1113" t="s">
        <v>33</v>
      </c>
      <c r="F1113">
        <v>528</v>
      </c>
      <c r="G1113">
        <v>17</v>
      </c>
      <c r="H1113">
        <v>36</v>
      </c>
      <c r="I1113">
        <v>19008</v>
      </c>
      <c r="J1113">
        <v>950.40000000000009</v>
      </c>
      <c r="K1113">
        <v>18057.599999999999</v>
      </c>
      <c r="L1113">
        <v>8976</v>
      </c>
      <c r="M1113">
        <v>9081.5999999999985</v>
      </c>
      <c r="N1113">
        <v>45108</v>
      </c>
      <c r="O1113">
        <v>7</v>
      </c>
      <c r="P1113" t="s">
        <v>48</v>
      </c>
      <c r="Q1113">
        <v>2023</v>
      </c>
    </row>
    <row r="1114" spans="1:17" x14ac:dyDescent="0.3">
      <c r="A1114" t="s">
        <v>27</v>
      </c>
      <c r="B1114" t="s">
        <v>20</v>
      </c>
      <c r="C1114" t="s">
        <v>24</v>
      </c>
      <c r="D1114" t="s">
        <v>153</v>
      </c>
      <c r="E1114" t="s">
        <v>33</v>
      </c>
      <c r="F1114">
        <v>458</v>
      </c>
      <c r="G1114">
        <v>14</v>
      </c>
      <c r="H1114">
        <v>16</v>
      </c>
      <c r="I1114">
        <v>7328</v>
      </c>
      <c r="J1114">
        <v>366.40000000000003</v>
      </c>
      <c r="K1114">
        <v>6961.6</v>
      </c>
      <c r="L1114">
        <v>6412</v>
      </c>
      <c r="M1114">
        <v>549.60000000000036</v>
      </c>
      <c r="N1114">
        <v>45293</v>
      </c>
      <c r="O1114">
        <v>1</v>
      </c>
      <c r="P1114" t="s">
        <v>58</v>
      </c>
      <c r="Q1114">
        <v>2024</v>
      </c>
    </row>
    <row r="1115" spans="1:17" x14ac:dyDescent="0.3">
      <c r="A1115" t="s">
        <v>27</v>
      </c>
      <c r="B1115" t="s">
        <v>23</v>
      </c>
      <c r="C1115" t="s">
        <v>28</v>
      </c>
      <c r="D1115" t="s">
        <v>68</v>
      </c>
      <c r="E1115" t="s">
        <v>33</v>
      </c>
      <c r="F1115">
        <v>971</v>
      </c>
      <c r="G1115">
        <v>11</v>
      </c>
      <c r="H1115">
        <v>33</v>
      </c>
      <c r="I1115">
        <v>32043</v>
      </c>
      <c r="J1115">
        <v>1602.15</v>
      </c>
      <c r="K1115">
        <v>30440.85</v>
      </c>
      <c r="L1115">
        <v>10681</v>
      </c>
      <c r="M1115">
        <v>19759.849999999999</v>
      </c>
      <c r="N1115">
        <v>45728</v>
      </c>
      <c r="O1115">
        <v>3</v>
      </c>
      <c r="P1115" t="s">
        <v>38</v>
      </c>
      <c r="Q1115">
        <v>2025</v>
      </c>
    </row>
    <row r="1116" spans="1:17" x14ac:dyDescent="0.3">
      <c r="A1116" t="s">
        <v>16</v>
      </c>
      <c r="B1116" t="s">
        <v>23</v>
      </c>
      <c r="C1116" t="s">
        <v>28</v>
      </c>
      <c r="D1116" t="s">
        <v>66</v>
      </c>
      <c r="E1116" t="s">
        <v>33</v>
      </c>
      <c r="F1116">
        <v>668</v>
      </c>
      <c r="G1116">
        <v>11</v>
      </c>
      <c r="H1116">
        <v>21</v>
      </c>
      <c r="I1116">
        <v>14028</v>
      </c>
      <c r="J1116">
        <v>701.40000000000009</v>
      </c>
      <c r="K1116">
        <v>13326.6</v>
      </c>
      <c r="L1116">
        <v>7348</v>
      </c>
      <c r="M1116">
        <v>5978.6</v>
      </c>
      <c r="N1116">
        <v>45157</v>
      </c>
      <c r="O1116">
        <v>8</v>
      </c>
      <c r="P1116" t="s">
        <v>62</v>
      </c>
      <c r="Q1116">
        <v>2023</v>
      </c>
    </row>
    <row r="1117" spans="1:17" x14ac:dyDescent="0.3">
      <c r="A1117" t="s">
        <v>21</v>
      </c>
      <c r="B1117" t="s">
        <v>36</v>
      </c>
      <c r="C1117" t="s">
        <v>28</v>
      </c>
      <c r="D1117" t="s">
        <v>107</v>
      </c>
      <c r="E1117" t="s">
        <v>33</v>
      </c>
      <c r="F1117">
        <v>87</v>
      </c>
      <c r="G1117">
        <v>13</v>
      </c>
      <c r="H1117">
        <v>31</v>
      </c>
      <c r="I1117">
        <v>2697</v>
      </c>
      <c r="J1117">
        <v>134.85</v>
      </c>
      <c r="K1117">
        <v>2562.15</v>
      </c>
      <c r="L1117">
        <v>1131</v>
      </c>
      <c r="M1117">
        <v>1431.15</v>
      </c>
      <c r="N1117">
        <v>45199</v>
      </c>
      <c r="O1117">
        <v>9</v>
      </c>
      <c r="P1117" t="s">
        <v>40</v>
      </c>
      <c r="Q1117">
        <v>2023</v>
      </c>
    </row>
    <row r="1118" spans="1:17" x14ac:dyDescent="0.3">
      <c r="A1118" t="s">
        <v>27</v>
      </c>
      <c r="B1118" t="s">
        <v>17</v>
      </c>
      <c r="C1118" t="s">
        <v>28</v>
      </c>
      <c r="D1118" t="s">
        <v>131</v>
      </c>
      <c r="E1118" t="s">
        <v>33</v>
      </c>
      <c r="F1118">
        <v>455</v>
      </c>
      <c r="G1118">
        <v>10</v>
      </c>
      <c r="H1118">
        <v>23</v>
      </c>
      <c r="I1118">
        <v>10465</v>
      </c>
      <c r="J1118">
        <v>523.25</v>
      </c>
      <c r="K1118">
        <v>9941.75</v>
      </c>
      <c r="L1118">
        <v>4550</v>
      </c>
      <c r="M1118">
        <v>5391.75</v>
      </c>
      <c r="N1118">
        <v>45591</v>
      </c>
      <c r="O1118">
        <v>10</v>
      </c>
      <c r="P1118" t="s">
        <v>55</v>
      </c>
      <c r="Q1118">
        <v>2024</v>
      </c>
    </row>
    <row r="1119" spans="1:17" x14ac:dyDescent="0.3">
      <c r="A1119" t="s">
        <v>21</v>
      </c>
      <c r="B1119" t="s">
        <v>22</v>
      </c>
      <c r="C1119" t="s">
        <v>28</v>
      </c>
      <c r="D1119" t="s">
        <v>67</v>
      </c>
      <c r="E1119" t="s">
        <v>33</v>
      </c>
      <c r="F1119">
        <v>582</v>
      </c>
      <c r="G1119">
        <v>16</v>
      </c>
      <c r="H1119">
        <v>27</v>
      </c>
      <c r="I1119">
        <v>15714</v>
      </c>
      <c r="J1119">
        <v>785.7</v>
      </c>
      <c r="K1119">
        <v>14928.3</v>
      </c>
      <c r="L1119">
        <v>9312</v>
      </c>
      <c r="M1119">
        <v>5616.2999999999993</v>
      </c>
      <c r="N1119">
        <v>45360</v>
      </c>
      <c r="O1119">
        <v>3</v>
      </c>
      <c r="P1119" t="s">
        <v>38</v>
      </c>
      <c r="Q1119">
        <v>2024</v>
      </c>
    </row>
    <row r="1120" spans="1:17" x14ac:dyDescent="0.3">
      <c r="A1120" t="s">
        <v>25</v>
      </c>
      <c r="B1120" t="s">
        <v>23</v>
      </c>
      <c r="C1120" t="s">
        <v>28</v>
      </c>
      <c r="D1120" t="s">
        <v>133</v>
      </c>
      <c r="E1120" t="s">
        <v>33</v>
      </c>
      <c r="F1120">
        <v>929</v>
      </c>
      <c r="G1120">
        <v>11</v>
      </c>
      <c r="H1120">
        <v>24</v>
      </c>
      <c r="I1120">
        <v>22296</v>
      </c>
      <c r="J1120">
        <v>1114.8</v>
      </c>
      <c r="K1120">
        <v>21181.200000000001</v>
      </c>
      <c r="L1120">
        <v>10219</v>
      </c>
      <c r="M1120">
        <v>10962.2</v>
      </c>
      <c r="N1120">
        <v>45040</v>
      </c>
      <c r="O1120">
        <v>4</v>
      </c>
      <c r="P1120" t="s">
        <v>75</v>
      </c>
      <c r="Q1120">
        <v>2023</v>
      </c>
    </row>
    <row r="1121" spans="1:17" x14ac:dyDescent="0.3">
      <c r="A1121" t="s">
        <v>27</v>
      </c>
      <c r="B1121" t="s">
        <v>22</v>
      </c>
      <c r="C1121" t="s">
        <v>28</v>
      </c>
      <c r="D1121" t="s">
        <v>127</v>
      </c>
      <c r="E1121" t="s">
        <v>33</v>
      </c>
      <c r="F1121">
        <v>696</v>
      </c>
      <c r="G1121">
        <v>19</v>
      </c>
      <c r="H1121">
        <v>28</v>
      </c>
      <c r="I1121">
        <v>19488</v>
      </c>
      <c r="J1121">
        <v>974.40000000000009</v>
      </c>
      <c r="K1121">
        <v>18513.599999999999</v>
      </c>
      <c r="L1121">
        <v>13224</v>
      </c>
      <c r="M1121">
        <v>5289.5999999999985</v>
      </c>
      <c r="N1121">
        <v>45129</v>
      </c>
      <c r="O1121">
        <v>7</v>
      </c>
      <c r="P1121" t="s">
        <v>48</v>
      </c>
      <c r="Q1121">
        <v>2023</v>
      </c>
    </row>
    <row r="1122" spans="1:17" x14ac:dyDescent="0.3">
      <c r="A1122" t="s">
        <v>25</v>
      </c>
      <c r="B1122" t="s">
        <v>20</v>
      </c>
      <c r="C1122" t="s">
        <v>28</v>
      </c>
      <c r="D1122" t="s">
        <v>65</v>
      </c>
      <c r="E1122" t="s">
        <v>33</v>
      </c>
      <c r="F1122">
        <v>458</v>
      </c>
      <c r="G1122">
        <v>16</v>
      </c>
      <c r="H1122">
        <v>24</v>
      </c>
      <c r="I1122">
        <v>10992</v>
      </c>
      <c r="J1122">
        <v>549.6</v>
      </c>
      <c r="K1122">
        <v>10442.4</v>
      </c>
      <c r="L1122">
        <v>7328</v>
      </c>
      <c r="M1122">
        <v>3114.3999999999996</v>
      </c>
      <c r="N1122">
        <v>45523</v>
      </c>
      <c r="O1122">
        <v>8</v>
      </c>
      <c r="P1122" t="s">
        <v>62</v>
      </c>
      <c r="Q1122">
        <v>2024</v>
      </c>
    </row>
    <row r="1123" spans="1:17" x14ac:dyDescent="0.3">
      <c r="A1123" t="s">
        <v>26</v>
      </c>
      <c r="B1123" t="s">
        <v>36</v>
      </c>
      <c r="C1123" t="s">
        <v>28</v>
      </c>
      <c r="D1123" t="s">
        <v>108</v>
      </c>
      <c r="E1123" t="s">
        <v>33</v>
      </c>
      <c r="F1123">
        <v>117</v>
      </c>
      <c r="G1123">
        <v>10</v>
      </c>
      <c r="H1123">
        <v>31</v>
      </c>
      <c r="I1123">
        <v>3627</v>
      </c>
      <c r="J1123">
        <v>181.35000000000002</v>
      </c>
      <c r="K1123">
        <v>3445.65</v>
      </c>
      <c r="L1123">
        <v>1170</v>
      </c>
      <c r="M1123">
        <v>2275.65</v>
      </c>
      <c r="N1123">
        <v>45533</v>
      </c>
      <c r="O1123">
        <v>8</v>
      </c>
      <c r="P1123" t="s">
        <v>62</v>
      </c>
      <c r="Q1123">
        <v>2024</v>
      </c>
    </row>
    <row r="1124" spans="1:17" x14ac:dyDescent="0.3">
      <c r="A1124" t="s">
        <v>21</v>
      </c>
      <c r="B1124" t="s">
        <v>23</v>
      </c>
      <c r="C1124" t="s">
        <v>29</v>
      </c>
      <c r="D1124" t="s">
        <v>165</v>
      </c>
      <c r="E1124" t="s">
        <v>33</v>
      </c>
      <c r="F1124">
        <v>333</v>
      </c>
      <c r="G1124">
        <v>12</v>
      </c>
      <c r="H1124">
        <v>21</v>
      </c>
      <c r="I1124">
        <v>6993</v>
      </c>
      <c r="J1124">
        <v>349.65000000000003</v>
      </c>
      <c r="K1124">
        <v>6643.35</v>
      </c>
      <c r="L1124">
        <v>3996</v>
      </c>
      <c r="M1124">
        <v>2647.3500000000004</v>
      </c>
      <c r="N1124">
        <v>45058</v>
      </c>
      <c r="O1124">
        <v>5</v>
      </c>
      <c r="P1124" t="s">
        <v>46</v>
      </c>
      <c r="Q1124">
        <v>2023</v>
      </c>
    </row>
    <row r="1125" spans="1:17" x14ac:dyDescent="0.3">
      <c r="A1125" t="s">
        <v>27</v>
      </c>
      <c r="B1125" t="s">
        <v>17</v>
      </c>
      <c r="C1125" t="s">
        <v>29</v>
      </c>
      <c r="D1125" t="s">
        <v>189</v>
      </c>
      <c r="E1125" t="s">
        <v>33</v>
      </c>
      <c r="F1125">
        <v>586</v>
      </c>
      <c r="G1125">
        <v>11</v>
      </c>
      <c r="H1125">
        <v>20</v>
      </c>
      <c r="I1125">
        <v>11720</v>
      </c>
      <c r="J1125">
        <v>586</v>
      </c>
      <c r="K1125">
        <v>11134</v>
      </c>
      <c r="L1125">
        <v>6446</v>
      </c>
      <c r="M1125">
        <v>4688</v>
      </c>
      <c r="N1125">
        <v>45121</v>
      </c>
      <c r="O1125">
        <v>7</v>
      </c>
      <c r="P1125" t="s">
        <v>48</v>
      </c>
      <c r="Q1125">
        <v>2023</v>
      </c>
    </row>
    <row r="1126" spans="1:17" x14ac:dyDescent="0.3">
      <c r="A1126" t="s">
        <v>16</v>
      </c>
      <c r="B1126" t="s">
        <v>20</v>
      </c>
      <c r="C1126" t="s">
        <v>29</v>
      </c>
      <c r="D1126" t="s">
        <v>76</v>
      </c>
      <c r="E1126" t="s">
        <v>33</v>
      </c>
      <c r="F1126">
        <v>768</v>
      </c>
      <c r="G1126">
        <v>11</v>
      </c>
      <c r="H1126">
        <v>30</v>
      </c>
      <c r="I1126">
        <v>23040</v>
      </c>
      <c r="J1126">
        <v>1152</v>
      </c>
      <c r="K1126">
        <v>21888</v>
      </c>
      <c r="L1126">
        <v>8448</v>
      </c>
      <c r="M1126">
        <v>13440</v>
      </c>
      <c r="N1126">
        <v>45740</v>
      </c>
      <c r="O1126">
        <v>3</v>
      </c>
      <c r="P1126" t="s">
        <v>38</v>
      </c>
      <c r="Q1126">
        <v>2025</v>
      </c>
    </row>
    <row r="1127" spans="1:17" x14ac:dyDescent="0.3">
      <c r="A1127" t="s">
        <v>26</v>
      </c>
      <c r="B1127" t="s">
        <v>17</v>
      </c>
      <c r="C1127" t="s">
        <v>29</v>
      </c>
      <c r="D1127" t="s">
        <v>79</v>
      </c>
      <c r="E1127" t="s">
        <v>33</v>
      </c>
      <c r="F1127">
        <v>408</v>
      </c>
      <c r="G1127">
        <v>16</v>
      </c>
      <c r="H1127">
        <v>28</v>
      </c>
      <c r="I1127">
        <v>11424</v>
      </c>
      <c r="J1127">
        <v>571.20000000000005</v>
      </c>
      <c r="K1127">
        <v>10852.8</v>
      </c>
      <c r="L1127">
        <v>6528</v>
      </c>
      <c r="M1127">
        <v>4324.7999999999993</v>
      </c>
      <c r="N1127">
        <v>45079</v>
      </c>
      <c r="O1127">
        <v>6</v>
      </c>
      <c r="P1127" t="s">
        <v>45</v>
      </c>
      <c r="Q1127">
        <v>2023</v>
      </c>
    </row>
    <row r="1128" spans="1:17" x14ac:dyDescent="0.3">
      <c r="A1128" t="s">
        <v>26</v>
      </c>
      <c r="B1128" t="s">
        <v>23</v>
      </c>
      <c r="C1128" t="s">
        <v>29</v>
      </c>
      <c r="D1128" t="s">
        <v>136</v>
      </c>
      <c r="E1128" t="s">
        <v>33</v>
      </c>
      <c r="F1128">
        <v>140</v>
      </c>
      <c r="G1128">
        <v>12</v>
      </c>
      <c r="H1128">
        <v>30</v>
      </c>
      <c r="I1128">
        <v>4200</v>
      </c>
      <c r="J1128">
        <v>210</v>
      </c>
      <c r="K1128">
        <v>3990</v>
      </c>
      <c r="L1128">
        <v>1680</v>
      </c>
      <c r="M1128">
        <v>2310</v>
      </c>
      <c r="N1128">
        <v>45305</v>
      </c>
      <c r="O1128">
        <v>1</v>
      </c>
      <c r="P1128" t="s">
        <v>58</v>
      </c>
      <c r="Q1128">
        <v>2024</v>
      </c>
    </row>
    <row r="1129" spans="1:17" x14ac:dyDescent="0.3">
      <c r="A1129" t="s">
        <v>16</v>
      </c>
      <c r="B1129" t="s">
        <v>17</v>
      </c>
      <c r="C1129" t="s">
        <v>29</v>
      </c>
      <c r="D1129" t="s">
        <v>113</v>
      </c>
      <c r="E1129" t="s">
        <v>33</v>
      </c>
      <c r="F1129">
        <v>367</v>
      </c>
      <c r="G1129">
        <v>18</v>
      </c>
      <c r="H1129">
        <v>23</v>
      </c>
      <c r="I1129">
        <v>8441</v>
      </c>
      <c r="J1129">
        <v>422.05</v>
      </c>
      <c r="K1129">
        <v>8018.95</v>
      </c>
      <c r="L1129">
        <v>6606</v>
      </c>
      <c r="M1129">
        <v>1412.9499999999998</v>
      </c>
      <c r="N1129">
        <v>45169</v>
      </c>
      <c r="O1129">
        <v>8</v>
      </c>
      <c r="P1129" t="s">
        <v>62</v>
      </c>
      <c r="Q1129">
        <v>2023</v>
      </c>
    </row>
    <row r="1130" spans="1:17" x14ac:dyDescent="0.3">
      <c r="A1130" t="s">
        <v>25</v>
      </c>
      <c r="B1130" t="s">
        <v>36</v>
      </c>
      <c r="C1130" t="s">
        <v>30</v>
      </c>
      <c r="D1130" t="s">
        <v>190</v>
      </c>
      <c r="E1130" t="s">
        <v>33</v>
      </c>
      <c r="F1130">
        <v>689</v>
      </c>
      <c r="G1130">
        <v>10</v>
      </c>
      <c r="H1130">
        <v>16</v>
      </c>
      <c r="I1130">
        <v>11024</v>
      </c>
      <c r="J1130">
        <v>551.20000000000005</v>
      </c>
      <c r="K1130">
        <v>10472.799999999999</v>
      </c>
      <c r="L1130">
        <v>6890</v>
      </c>
      <c r="M1130">
        <v>3582.7999999999993</v>
      </c>
      <c r="N1130">
        <v>45684</v>
      </c>
      <c r="O1130">
        <v>1</v>
      </c>
      <c r="P1130" t="s">
        <v>58</v>
      </c>
      <c r="Q1130">
        <v>2025</v>
      </c>
    </row>
    <row r="1131" spans="1:17" x14ac:dyDescent="0.3">
      <c r="A1131" t="s">
        <v>27</v>
      </c>
      <c r="B1131" t="s">
        <v>20</v>
      </c>
      <c r="C1131" t="s">
        <v>30</v>
      </c>
      <c r="D1131" t="s">
        <v>117</v>
      </c>
      <c r="E1131" t="s">
        <v>33</v>
      </c>
      <c r="F1131">
        <v>54</v>
      </c>
      <c r="G1131">
        <v>13</v>
      </c>
      <c r="H1131">
        <v>16</v>
      </c>
      <c r="I1131">
        <v>864</v>
      </c>
      <c r="J1131">
        <v>8.64</v>
      </c>
      <c r="K1131">
        <v>855.36</v>
      </c>
      <c r="L1131">
        <v>702</v>
      </c>
      <c r="M1131">
        <v>153.36000000000001</v>
      </c>
      <c r="N1131">
        <v>45642</v>
      </c>
      <c r="O1131">
        <v>12</v>
      </c>
      <c r="P1131" t="s">
        <v>77</v>
      </c>
      <c r="Q1131">
        <v>2024</v>
      </c>
    </row>
    <row r="1132" spans="1:17" x14ac:dyDescent="0.3">
      <c r="A1132" t="s">
        <v>16</v>
      </c>
      <c r="B1132" t="s">
        <v>36</v>
      </c>
      <c r="C1132" t="s">
        <v>30</v>
      </c>
      <c r="D1132" t="s">
        <v>141</v>
      </c>
      <c r="E1132" t="s">
        <v>33</v>
      </c>
      <c r="F1132">
        <v>239</v>
      </c>
      <c r="G1132">
        <v>13</v>
      </c>
      <c r="H1132">
        <v>25</v>
      </c>
      <c r="I1132">
        <v>5975</v>
      </c>
      <c r="J1132">
        <v>298.75</v>
      </c>
      <c r="K1132">
        <v>5676.25</v>
      </c>
      <c r="L1132">
        <v>3107</v>
      </c>
      <c r="M1132">
        <v>2569.25</v>
      </c>
      <c r="N1132">
        <v>45337</v>
      </c>
      <c r="O1132">
        <v>2</v>
      </c>
      <c r="P1132" t="s">
        <v>52</v>
      </c>
      <c r="Q1132">
        <v>2024</v>
      </c>
    </row>
    <row r="1133" spans="1:17" x14ac:dyDescent="0.3">
      <c r="A1133" t="s">
        <v>25</v>
      </c>
      <c r="B1133" t="s">
        <v>20</v>
      </c>
      <c r="C1133" t="s">
        <v>30</v>
      </c>
      <c r="D1133" t="s">
        <v>81</v>
      </c>
      <c r="E1133" t="s">
        <v>33</v>
      </c>
      <c r="F1133">
        <v>441</v>
      </c>
      <c r="G1133">
        <v>15</v>
      </c>
      <c r="H1133">
        <v>25</v>
      </c>
      <c r="I1133">
        <v>11025</v>
      </c>
      <c r="J1133">
        <v>551.25</v>
      </c>
      <c r="K1133">
        <v>10473.75</v>
      </c>
      <c r="L1133">
        <v>6615</v>
      </c>
      <c r="M1133">
        <v>3858.75</v>
      </c>
      <c r="N1133">
        <v>45624</v>
      </c>
      <c r="O1133">
        <v>11</v>
      </c>
      <c r="P1133" t="s">
        <v>43</v>
      </c>
      <c r="Q1133">
        <v>2024</v>
      </c>
    </row>
    <row r="1134" spans="1:17" x14ac:dyDescent="0.3">
      <c r="A1134" t="s">
        <v>27</v>
      </c>
      <c r="B1134" t="s">
        <v>36</v>
      </c>
      <c r="C1134" t="s">
        <v>30</v>
      </c>
      <c r="D1134" t="s">
        <v>149</v>
      </c>
      <c r="E1134" t="s">
        <v>33</v>
      </c>
      <c r="F1134">
        <v>361</v>
      </c>
      <c r="G1134">
        <v>10</v>
      </c>
      <c r="H1134">
        <v>38</v>
      </c>
      <c r="I1134">
        <v>13718</v>
      </c>
      <c r="J1134">
        <v>685.90000000000009</v>
      </c>
      <c r="K1134">
        <v>13032.1</v>
      </c>
      <c r="L1134">
        <v>3610</v>
      </c>
      <c r="M1134">
        <v>9422.1</v>
      </c>
      <c r="N1134">
        <v>45162</v>
      </c>
      <c r="O1134">
        <v>8</v>
      </c>
      <c r="P1134" t="s">
        <v>62</v>
      </c>
      <c r="Q1134">
        <v>2023</v>
      </c>
    </row>
    <row r="1135" spans="1:17" x14ac:dyDescent="0.3">
      <c r="A1135" t="s">
        <v>25</v>
      </c>
      <c r="B1135" t="s">
        <v>22</v>
      </c>
      <c r="C1135" t="s">
        <v>30</v>
      </c>
      <c r="D1135" t="s">
        <v>155</v>
      </c>
      <c r="E1135" t="s">
        <v>33</v>
      </c>
      <c r="F1135">
        <v>67</v>
      </c>
      <c r="G1135">
        <v>15</v>
      </c>
      <c r="H1135">
        <v>36</v>
      </c>
      <c r="I1135">
        <v>2412</v>
      </c>
      <c r="J1135">
        <v>120.60000000000001</v>
      </c>
      <c r="K1135">
        <v>2291.4</v>
      </c>
      <c r="L1135">
        <v>1005</v>
      </c>
      <c r="M1135">
        <v>1286.4000000000001</v>
      </c>
      <c r="N1135">
        <v>45572</v>
      </c>
      <c r="O1135">
        <v>10</v>
      </c>
      <c r="P1135" t="s">
        <v>55</v>
      </c>
      <c r="Q1135">
        <v>2024</v>
      </c>
    </row>
    <row r="1136" spans="1:17" x14ac:dyDescent="0.3">
      <c r="A1136" t="s">
        <v>21</v>
      </c>
      <c r="B1136" t="s">
        <v>22</v>
      </c>
      <c r="C1136" t="s">
        <v>30</v>
      </c>
      <c r="D1136" t="s">
        <v>82</v>
      </c>
      <c r="E1136" t="s">
        <v>33</v>
      </c>
      <c r="F1136">
        <v>847</v>
      </c>
      <c r="G1136">
        <v>14</v>
      </c>
      <c r="H1136">
        <v>30</v>
      </c>
      <c r="I1136">
        <v>25410</v>
      </c>
      <c r="J1136">
        <v>1270.5</v>
      </c>
      <c r="K1136">
        <v>24139.5</v>
      </c>
      <c r="L1136">
        <v>11858</v>
      </c>
      <c r="M1136">
        <v>12281.5</v>
      </c>
      <c r="N1136">
        <v>45219</v>
      </c>
      <c r="O1136">
        <v>10</v>
      </c>
      <c r="P1136" t="s">
        <v>55</v>
      </c>
      <c r="Q1136">
        <v>2023</v>
      </c>
    </row>
    <row r="1137" spans="1:17" x14ac:dyDescent="0.3">
      <c r="A1137" t="s">
        <v>26</v>
      </c>
      <c r="B1137" t="s">
        <v>23</v>
      </c>
      <c r="C1137" t="s">
        <v>30</v>
      </c>
      <c r="D1137" t="s">
        <v>139</v>
      </c>
      <c r="E1137" t="s">
        <v>33</v>
      </c>
      <c r="F1137">
        <v>222</v>
      </c>
      <c r="G1137">
        <v>11</v>
      </c>
      <c r="H1137">
        <v>22</v>
      </c>
      <c r="I1137">
        <v>4884</v>
      </c>
      <c r="J1137">
        <v>244.20000000000002</v>
      </c>
      <c r="K1137">
        <v>4639.8</v>
      </c>
      <c r="L1137">
        <v>2442</v>
      </c>
      <c r="M1137">
        <v>2197.8000000000002</v>
      </c>
      <c r="N1137">
        <v>45161</v>
      </c>
      <c r="O1137">
        <v>8</v>
      </c>
      <c r="P1137" t="s">
        <v>62</v>
      </c>
      <c r="Q1137">
        <v>2023</v>
      </c>
    </row>
    <row r="1138" spans="1:17" x14ac:dyDescent="0.3">
      <c r="A1138" t="s">
        <v>16</v>
      </c>
      <c r="B1138" t="s">
        <v>36</v>
      </c>
      <c r="C1138" t="s">
        <v>31</v>
      </c>
      <c r="D1138" t="s">
        <v>91</v>
      </c>
      <c r="E1138" t="s">
        <v>33</v>
      </c>
      <c r="F1138">
        <v>572</v>
      </c>
      <c r="G1138">
        <v>10</v>
      </c>
      <c r="H1138">
        <v>19</v>
      </c>
      <c r="I1138">
        <v>10868</v>
      </c>
      <c r="J1138">
        <v>543.4</v>
      </c>
      <c r="K1138">
        <v>10324.6</v>
      </c>
      <c r="L1138">
        <v>5720</v>
      </c>
      <c r="M1138">
        <v>4604.6000000000004</v>
      </c>
      <c r="N1138">
        <v>45668</v>
      </c>
      <c r="O1138">
        <v>1</v>
      </c>
      <c r="P1138" t="s">
        <v>58</v>
      </c>
      <c r="Q1138">
        <v>2025</v>
      </c>
    </row>
    <row r="1139" spans="1:17" x14ac:dyDescent="0.3">
      <c r="A1139" t="s">
        <v>16</v>
      </c>
      <c r="B1139" t="s">
        <v>17</v>
      </c>
      <c r="C1139" t="s">
        <v>31</v>
      </c>
      <c r="D1139" t="s">
        <v>159</v>
      </c>
      <c r="E1139" t="s">
        <v>33</v>
      </c>
      <c r="F1139">
        <v>848</v>
      </c>
      <c r="G1139">
        <v>19</v>
      </c>
      <c r="H1139">
        <v>38</v>
      </c>
      <c r="I1139">
        <v>32224</v>
      </c>
      <c r="J1139">
        <v>1611.2</v>
      </c>
      <c r="K1139">
        <v>30612.799999999999</v>
      </c>
      <c r="L1139">
        <v>16112</v>
      </c>
      <c r="M1139">
        <v>14500.8</v>
      </c>
      <c r="N1139">
        <v>45734</v>
      </c>
      <c r="O1139">
        <v>3</v>
      </c>
      <c r="P1139" t="s">
        <v>38</v>
      </c>
      <c r="Q1139">
        <v>2025</v>
      </c>
    </row>
    <row r="1140" spans="1:17" x14ac:dyDescent="0.3">
      <c r="A1140" t="s">
        <v>21</v>
      </c>
      <c r="B1140" t="s">
        <v>20</v>
      </c>
      <c r="C1140" t="s">
        <v>31</v>
      </c>
      <c r="D1140" t="s">
        <v>187</v>
      </c>
      <c r="E1140" t="s">
        <v>33</v>
      </c>
      <c r="F1140">
        <v>268</v>
      </c>
      <c r="G1140">
        <v>19</v>
      </c>
      <c r="H1140">
        <v>24</v>
      </c>
      <c r="I1140">
        <v>6432</v>
      </c>
      <c r="J1140">
        <v>321.60000000000002</v>
      </c>
      <c r="K1140">
        <v>6110.4</v>
      </c>
      <c r="L1140">
        <v>5092</v>
      </c>
      <c r="M1140">
        <v>1018.3999999999996</v>
      </c>
      <c r="N1140">
        <v>45548</v>
      </c>
      <c r="O1140">
        <v>9</v>
      </c>
      <c r="P1140" t="s">
        <v>40</v>
      </c>
      <c r="Q1140">
        <v>2024</v>
      </c>
    </row>
    <row r="1141" spans="1:17" x14ac:dyDescent="0.3">
      <c r="A1141" t="s">
        <v>16</v>
      </c>
      <c r="B1141" t="s">
        <v>23</v>
      </c>
      <c r="C1141" t="s">
        <v>31</v>
      </c>
      <c r="D1141" t="s">
        <v>157</v>
      </c>
      <c r="E1141" t="s">
        <v>33</v>
      </c>
      <c r="F1141">
        <v>376</v>
      </c>
      <c r="G1141">
        <v>14</v>
      </c>
      <c r="H1141">
        <v>32</v>
      </c>
      <c r="I1141">
        <v>12032</v>
      </c>
      <c r="J1141">
        <v>601.6</v>
      </c>
      <c r="K1141">
        <v>11430.4</v>
      </c>
      <c r="L1141">
        <v>5264</v>
      </c>
      <c r="M1141">
        <v>6166.4</v>
      </c>
      <c r="N1141">
        <v>45734</v>
      </c>
      <c r="O1141">
        <v>3</v>
      </c>
      <c r="P1141" t="s">
        <v>38</v>
      </c>
      <c r="Q1141">
        <v>2025</v>
      </c>
    </row>
    <row r="1142" spans="1:17" x14ac:dyDescent="0.3">
      <c r="A1142" t="s">
        <v>16</v>
      </c>
      <c r="B1142" t="s">
        <v>20</v>
      </c>
      <c r="C1142" t="s">
        <v>18</v>
      </c>
      <c r="D1142" t="s">
        <v>39</v>
      </c>
      <c r="E1142" t="s">
        <v>33</v>
      </c>
      <c r="F1142">
        <v>809</v>
      </c>
      <c r="G1142">
        <v>19</v>
      </c>
      <c r="H1142">
        <v>19</v>
      </c>
      <c r="I1142">
        <v>15371</v>
      </c>
      <c r="J1142">
        <v>768.55000000000007</v>
      </c>
      <c r="K1142">
        <v>14602.45</v>
      </c>
      <c r="L1142">
        <v>15371</v>
      </c>
      <c r="M1142">
        <v>-768.54999999999927</v>
      </c>
      <c r="N1142">
        <v>45240</v>
      </c>
      <c r="O1142">
        <v>11</v>
      </c>
      <c r="P1142" t="s">
        <v>43</v>
      </c>
      <c r="Q1142">
        <v>2023</v>
      </c>
    </row>
    <row r="1143" spans="1:17" x14ac:dyDescent="0.3">
      <c r="A1143" t="s">
        <v>16</v>
      </c>
      <c r="B1143" t="s">
        <v>17</v>
      </c>
      <c r="C1143" t="s">
        <v>18</v>
      </c>
      <c r="D1143" t="s">
        <v>37</v>
      </c>
      <c r="E1143" t="s">
        <v>33</v>
      </c>
      <c r="F1143">
        <v>894</v>
      </c>
      <c r="G1143">
        <v>12</v>
      </c>
      <c r="H1143">
        <v>29</v>
      </c>
      <c r="I1143">
        <v>25926</v>
      </c>
      <c r="J1143">
        <v>1296.3000000000002</v>
      </c>
      <c r="K1143">
        <v>24629.7</v>
      </c>
      <c r="L1143">
        <v>10728</v>
      </c>
      <c r="M1143">
        <v>13901.7</v>
      </c>
      <c r="N1143">
        <v>45148</v>
      </c>
      <c r="O1143">
        <v>8</v>
      </c>
      <c r="P1143" t="s">
        <v>62</v>
      </c>
      <c r="Q1143">
        <v>2023</v>
      </c>
    </row>
    <row r="1144" spans="1:17" x14ac:dyDescent="0.3">
      <c r="A1144" t="s">
        <v>25</v>
      </c>
      <c r="B1144" t="s">
        <v>20</v>
      </c>
      <c r="C1144" t="s">
        <v>18</v>
      </c>
      <c r="D1144" t="s">
        <v>101</v>
      </c>
      <c r="E1144" t="s">
        <v>33</v>
      </c>
      <c r="F1144">
        <v>318</v>
      </c>
      <c r="G1144">
        <v>10</v>
      </c>
      <c r="H1144">
        <v>34</v>
      </c>
      <c r="I1144">
        <v>10812</v>
      </c>
      <c r="J1144">
        <v>540.6</v>
      </c>
      <c r="K1144">
        <v>10271.4</v>
      </c>
      <c r="L1144">
        <v>3180</v>
      </c>
      <c r="M1144">
        <v>7091.4</v>
      </c>
      <c r="N1144">
        <v>45082</v>
      </c>
      <c r="O1144">
        <v>6</v>
      </c>
      <c r="P1144" t="s">
        <v>45</v>
      </c>
      <c r="Q1144">
        <v>2023</v>
      </c>
    </row>
    <row r="1145" spans="1:17" x14ac:dyDescent="0.3">
      <c r="A1145" t="s">
        <v>16</v>
      </c>
      <c r="B1145" t="s">
        <v>23</v>
      </c>
      <c r="C1145" t="s">
        <v>18</v>
      </c>
      <c r="D1145" t="s">
        <v>96</v>
      </c>
      <c r="E1145" t="s">
        <v>33</v>
      </c>
      <c r="F1145">
        <v>196</v>
      </c>
      <c r="G1145">
        <v>14</v>
      </c>
      <c r="H1145">
        <v>35</v>
      </c>
      <c r="I1145">
        <v>6860</v>
      </c>
      <c r="J1145">
        <v>343</v>
      </c>
      <c r="K1145">
        <v>6517</v>
      </c>
      <c r="L1145">
        <v>2744</v>
      </c>
      <c r="M1145">
        <v>3773</v>
      </c>
      <c r="N1145">
        <v>45589</v>
      </c>
      <c r="O1145">
        <v>10</v>
      </c>
      <c r="P1145" t="s">
        <v>55</v>
      </c>
      <c r="Q1145">
        <v>2024</v>
      </c>
    </row>
    <row r="1146" spans="1:17" x14ac:dyDescent="0.3">
      <c r="A1146" t="s">
        <v>16</v>
      </c>
      <c r="B1146" t="s">
        <v>36</v>
      </c>
      <c r="C1146" t="s">
        <v>28</v>
      </c>
      <c r="D1146" t="s">
        <v>69</v>
      </c>
      <c r="E1146" t="s">
        <v>33</v>
      </c>
      <c r="F1146">
        <v>749</v>
      </c>
      <c r="G1146">
        <v>20</v>
      </c>
      <c r="H1146">
        <v>25</v>
      </c>
      <c r="I1146">
        <v>18725</v>
      </c>
      <c r="J1146">
        <v>936.25</v>
      </c>
      <c r="K1146">
        <v>17788.75</v>
      </c>
      <c r="L1146">
        <v>14980</v>
      </c>
      <c r="M1146">
        <v>2808.75</v>
      </c>
      <c r="N1146">
        <v>45085</v>
      </c>
      <c r="O1146">
        <v>6</v>
      </c>
      <c r="P1146" t="s">
        <v>45</v>
      </c>
      <c r="Q1146">
        <v>2023</v>
      </c>
    </row>
    <row r="1147" spans="1:17" x14ac:dyDescent="0.3">
      <c r="A1147" t="s">
        <v>16</v>
      </c>
      <c r="B1147" t="s">
        <v>23</v>
      </c>
      <c r="C1147" t="s">
        <v>28</v>
      </c>
      <c r="D1147" t="s">
        <v>66</v>
      </c>
      <c r="E1147" t="s">
        <v>33</v>
      </c>
      <c r="F1147">
        <v>25</v>
      </c>
      <c r="G1147">
        <v>11</v>
      </c>
      <c r="H1147">
        <v>21</v>
      </c>
      <c r="I1147">
        <v>525</v>
      </c>
      <c r="J1147">
        <v>5.25</v>
      </c>
      <c r="K1147">
        <v>519.75</v>
      </c>
      <c r="L1147">
        <v>275</v>
      </c>
      <c r="M1147">
        <v>244.75</v>
      </c>
      <c r="N1147">
        <v>45664</v>
      </c>
      <c r="O1147">
        <v>1</v>
      </c>
      <c r="P1147" t="s">
        <v>58</v>
      </c>
      <c r="Q1147">
        <v>2025</v>
      </c>
    </row>
    <row r="1148" spans="1:17" x14ac:dyDescent="0.3">
      <c r="A1148" t="s">
        <v>16</v>
      </c>
      <c r="B1148" t="s">
        <v>20</v>
      </c>
      <c r="C1148" t="s">
        <v>28</v>
      </c>
      <c r="D1148" t="s">
        <v>64</v>
      </c>
      <c r="E1148" t="s">
        <v>33</v>
      </c>
      <c r="F1148">
        <v>510</v>
      </c>
      <c r="G1148">
        <v>14</v>
      </c>
      <c r="H1148">
        <v>22</v>
      </c>
      <c r="I1148">
        <v>11220</v>
      </c>
      <c r="J1148">
        <v>561</v>
      </c>
      <c r="K1148">
        <v>10659</v>
      </c>
      <c r="L1148">
        <v>7140</v>
      </c>
      <c r="M1148">
        <v>3519</v>
      </c>
      <c r="N1148">
        <v>45351</v>
      </c>
      <c r="O1148">
        <v>2</v>
      </c>
      <c r="P1148" t="s">
        <v>52</v>
      </c>
      <c r="Q1148">
        <v>2024</v>
      </c>
    </row>
    <row r="1149" spans="1:17" x14ac:dyDescent="0.3">
      <c r="A1149" t="s">
        <v>25</v>
      </c>
      <c r="B1149" t="s">
        <v>22</v>
      </c>
      <c r="C1149" t="s">
        <v>29</v>
      </c>
      <c r="D1149" t="s">
        <v>137</v>
      </c>
      <c r="E1149" t="s">
        <v>33</v>
      </c>
      <c r="F1149">
        <v>415</v>
      </c>
      <c r="G1149">
        <v>18</v>
      </c>
      <c r="H1149">
        <v>16</v>
      </c>
      <c r="I1149">
        <v>6640</v>
      </c>
      <c r="J1149">
        <v>332</v>
      </c>
      <c r="K1149">
        <v>6308</v>
      </c>
      <c r="L1149">
        <v>7470</v>
      </c>
      <c r="M1149">
        <v>-1162</v>
      </c>
      <c r="N1149">
        <v>45648</v>
      </c>
      <c r="O1149">
        <v>12</v>
      </c>
      <c r="P1149" t="s">
        <v>77</v>
      </c>
      <c r="Q1149">
        <v>2024</v>
      </c>
    </row>
    <row r="1150" spans="1:17" x14ac:dyDescent="0.3">
      <c r="A1150" t="s">
        <v>21</v>
      </c>
      <c r="B1150" t="s">
        <v>23</v>
      </c>
      <c r="C1150" t="s">
        <v>29</v>
      </c>
      <c r="D1150" t="s">
        <v>165</v>
      </c>
      <c r="E1150" t="s">
        <v>33</v>
      </c>
      <c r="F1150">
        <v>291</v>
      </c>
      <c r="G1150">
        <v>12</v>
      </c>
      <c r="H1150">
        <v>21</v>
      </c>
      <c r="I1150">
        <v>6111</v>
      </c>
      <c r="J1150">
        <v>305.55</v>
      </c>
      <c r="K1150">
        <v>5805.45</v>
      </c>
      <c r="L1150">
        <v>3492</v>
      </c>
      <c r="M1150">
        <v>2313.4499999999998</v>
      </c>
      <c r="N1150">
        <v>45699</v>
      </c>
      <c r="O1150">
        <v>2</v>
      </c>
      <c r="P1150" t="s">
        <v>52</v>
      </c>
      <c r="Q1150">
        <v>2025</v>
      </c>
    </row>
    <row r="1151" spans="1:17" x14ac:dyDescent="0.3">
      <c r="A1151" t="s">
        <v>16</v>
      </c>
      <c r="B1151" t="s">
        <v>20</v>
      </c>
      <c r="C1151" t="s">
        <v>30</v>
      </c>
      <c r="D1151" t="s">
        <v>114</v>
      </c>
      <c r="E1151" t="s">
        <v>33</v>
      </c>
      <c r="F1151">
        <v>944</v>
      </c>
      <c r="G1151">
        <v>13</v>
      </c>
      <c r="H1151">
        <v>38</v>
      </c>
      <c r="I1151">
        <v>35872</v>
      </c>
      <c r="J1151">
        <v>1793.6000000000001</v>
      </c>
      <c r="K1151">
        <v>34078.400000000001</v>
      </c>
      <c r="L1151">
        <v>12272</v>
      </c>
      <c r="M1151">
        <v>21806.400000000001</v>
      </c>
      <c r="N1151">
        <v>45094</v>
      </c>
      <c r="O1151">
        <v>6</v>
      </c>
      <c r="P1151" t="s">
        <v>45</v>
      </c>
      <c r="Q1151">
        <v>2023</v>
      </c>
    </row>
    <row r="1152" spans="1:17" x14ac:dyDescent="0.3">
      <c r="A1152" t="s">
        <v>16</v>
      </c>
      <c r="B1152" t="s">
        <v>22</v>
      </c>
      <c r="C1152" t="s">
        <v>30</v>
      </c>
      <c r="D1152" t="s">
        <v>84</v>
      </c>
      <c r="E1152" t="s">
        <v>33</v>
      </c>
      <c r="F1152">
        <v>832</v>
      </c>
      <c r="G1152">
        <v>20</v>
      </c>
      <c r="H1152">
        <v>23</v>
      </c>
      <c r="I1152">
        <v>19136</v>
      </c>
      <c r="J1152">
        <v>956.80000000000007</v>
      </c>
      <c r="K1152">
        <v>18179.2</v>
      </c>
      <c r="L1152">
        <v>16640</v>
      </c>
      <c r="M1152">
        <v>1539.2000000000007</v>
      </c>
      <c r="N1152">
        <v>45475</v>
      </c>
      <c r="O1152">
        <v>7</v>
      </c>
      <c r="P1152" t="s">
        <v>48</v>
      </c>
      <c r="Q1152">
        <v>2024</v>
      </c>
    </row>
    <row r="1153" spans="1:17" x14ac:dyDescent="0.3">
      <c r="A1153" t="s">
        <v>16</v>
      </c>
      <c r="B1153" t="s">
        <v>23</v>
      </c>
      <c r="C1153" t="s">
        <v>30</v>
      </c>
      <c r="D1153" t="s">
        <v>119</v>
      </c>
      <c r="E1153" t="s">
        <v>33</v>
      </c>
      <c r="F1153">
        <v>264</v>
      </c>
      <c r="G1153">
        <v>18</v>
      </c>
      <c r="H1153">
        <v>19</v>
      </c>
      <c r="I1153">
        <v>5016</v>
      </c>
      <c r="J1153">
        <v>250.8</v>
      </c>
      <c r="K1153">
        <v>4765.2</v>
      </c>
      <c r="L1153">
        <v>4752</v>
      </c>
      <c r="M1153">
        <v>13.199999999999818</v>
      </c>
      <c r="N1153">
        <v>45391</v>
      </c>
      <c r="O1153">
        <v>4</v>
      </c>
      <c r="P1153" t="s">
        <v>75</v>
      </c>
      <c r="Q1153">
        <v>2024</v>
      </c>
    </row>
    <row r="1154" spans="1:17" x14ac:dyDescent="0.3">
      <c r="A1154" t="s">
        <v>16</v>
      </c>
      <c r="B1154" t="s">
        <v>23</v>
      </c>
      <c r="C1154" t="s">
        <v>31</v>
      </c>
      <c r="D1154" t="s">
        <v>157</v>
      </c>
      <c r="E1154" t="s">
        <v>33</v>
      </c>
      <c r="F1154">
        <v>218</v>
      </c>
      <c r="G1154">
        <v>14</v>
      </c>
      <c r="H1154">
        <v>32</v>
      </c>
      <c r="I1154">
        <v>6976</v>
      </c>
      <c r="J1154">
        <v>348.8</v>
      </c>
      <c r="K1154">
        <v>6627.2</v>
      </c>
      <c r="L1154">
        <v>3052</v>
      </c>
      <c r="M1154">
        <v>3575.2</v>
      </c>
      <c r="N1154">
        <v>45537</v>
      </c>
      <c r="O1154">
        <v>9</v>
      </c>
      <c r="P1154" t="s">
        <v>40</v>
      </c>
      <c r="Q1154">
        <v>2024</v>
      </c>
    </row>
    <row r="1155" spans="1:17" x14ac:dyDescent="0.3">
      <c r="A1155" t="s">
        <v>21</v>
      </c>
      <c r="B1155" t="s">
        <v>17</v>
      </c>
      <c r="C1155" t="s">
        <v>31</v>
      </c>
      <c r="D1155" t="s">
        <v>191</v>
      </c>
      <c r="E1155" t="s">
        <v>33</v>
      </c>
      <c r="F1155">
        <v>609</v>
      </c>
      <c r="G1155">
        <v>11</v>
      </c>
      <c r="H1155">
        <v>17</v>
      </c>
      <c r="I1155">
        <v>10353</v>
      </c>
      <c r="J1155">
        <v>517.65</v>
      </c>
      <c r="K1155">
        <v>9835.35</v>
      </c>
      <c r="L1155">
        <v>6699</v>
      </c>
      <c r="M1155">
        <v>3136.3500000000004</v>
      </c>
      <c r="N1155">
        <v>45505</v>
      </c>
      <c r="O1155">
        <v>8</v>
      </c>
      <c r="P1155" t="s">
        <v>62</v>
      </c>
      <c r="Q1155">
        <v>2024</v>
      </c>
    </row>
    <row r="1156" spans="1:17" x14ac:dyDescent="0.3">
      <c r="A1156" t="s">
        <v>25</v>
      </c>
      <c r="B1156" t="s">
        <v>22</v>
      </c>
      <c r="C1156" t="s">
        <v>31</v>
      </c>
      <c r="D1156" t="s">
        <v>192</v>
      </c>
      <c r="E1156" t="s">
        <v>33</v>
      </c>
      <c r="F1156">
        <v>918</v>
      </c>
      <c r="G1156">
        <v>10</v>
      </c>
      <c r="H1156">
        <v>38</v>
      </c>
      <c r="I1156">
        <v>34884</v>
      </c>
      <c r="J1156">
        <v>1744.2</v>
      </c>
      <c r="K1156">
        <v>33139.800000000003</v>
      </c>
      <c r="L1156">
        <v>9180</v>
      </c>
      <c r="M1156">
        <v>23959.800000000003</v>
      </c>
      <c r="N1156">
        <v>45735</v>
      </c>
      <c r="O1156">
        <v>3</v>
      </c>
      <c r="P1156" t="s">
        <v>38</v>
      </c>
      <c r="Q1156">
        <v>2025</v>
      </c>
    </row>
    <row r="1157" spans="1:17" x14ac:dyDescent="0.3">
      <c r="A1157" t="s">
        <v>25</v>
      </c>
      <c r="B1157" t="s">
        <v>36</v>
      </c>
      <c r="C1157" t="s">
        <v>18</v>
      </c>
      <c r="D1157" t="s">
        <v>95</v>
      </c>
      <c r="E1157" t="s">
        <v>34</v>
      </c>
      <c r="F1157">
        <v>81</v>
      </c>
      <c r="G1157">
        <v>13</v>
      </c>
      <c r="H1157">
        <v>23</v>
      </c>
      <c r="I1157">
        <v>1863</v>
      </c>
      <c r="J1157">
        <v>93.15</v>
      </c>
      <c r="K1157">
        <v>1769.85</v>
      </c>
      <c r="L1157">
        <v>1053</v>
      </c>
      <c r="M1157">
        <v>716.84999999999991</v>
      </c>
      <c r="N1157">
        <v>45047</v>
      </c>
      <c r="O1157">
        <v>5</v>
      </c>
      <c r="P1157" t="s">
        <v>46</v>
      </c>
      <c r="Q1157">
        <v>2023</v>
      </c>
    </row>
    <row r="1158" spans="1:17" x14ac:dyDescent="0.3">
      <c r="A1158" t="s">
        <v>16</v>
      </c>
      <c r="B1158" t="s">
        <v>36</v>
      </c>
      <c r="C1158" t="s">
        <v>24</v>
      </c>
      <c r="D1158" t="s">
        <v>124</v>
      </c>
      <c r="E1158" t="s">
        <v>34</v>
      </c>
      <c r="F1158">
        <v>382</v>
      </c>
      <c r="G1158">
        <v>15</v>
      </c>
      <c r="H1158">
        <v>34</v>
      </c>
      <c r="I1158">
        <v>12988</v>
      </c>
      <c r="J1158">
        <v>649.40000000000009</v>
      </c>
      <c r="K1158">
        <v>12338.6</v>
      </c>
      <c r="L1158">
        <v>5730</v>
      </c>
      <c r="M1158">
        <v>6608.6</v>
      </c>
      <c r="N1158">
        <v>45610</v>
      </c>
      <c r="O1158">
        <v>11</v>
      </c>
      <c r="P1158" t="s">
        <v>43</v>
      </c>
      <c r="Q1158">
        <v>2024</v>
      </c>
    </row>
    <row r="1159" spans="1:17" x14ac:dyDescent="0.3">
      <c r="A1159" t="s">
        <v>25</v>
      </c>
      <c r="B1159" t="s">
        <v>36</v>
      </c>
      <c r="C1159" t="s">
        <v>28</v>
      </c>
      <c r="D1159" t="s">
        <v>70</v>
      </c>
      <c r="E1159" t="s">
        <v>34</v>
      </c>
      <c r="F1159">
        <v>588</v>
      </c>
      <c r="G1159">
        <v>15</v>
      </c>
      <c r="H1159">
        <v>16</v>
      </c>
      <c r="I1159">
        <v>9408</v>
      </c>
      <c r="J1159">
        <v>470.40000000000003</v>
      </c>
      <c r="K1159">
        <v>8937.6</v>
      </c>
      <c r="L1159">
        <v>8820</v>
      </c>
      <c r="M1159">
        <v>117.60000000000036</v>
      </c>
      <c r="N1159">
        <v>45197</v>
      </c>
      <c r="O1159">
        <v>9</v>
      </c>
      <c r="P1159" t="s">
        <v>40</v>
      </c>
      <c r="Q1159">
        <v>2023</v>
      </c>
    </row>
    <row r="1160" spans="1:17" x14ac:dyDescent="0.3">
      <c r="A1160" t="s">
        <v>26</v>
      </c>
      <c r="B1160" t="s">
        <v>36</v>
      </c>
      <c r="C1160" t="s">
        <v>18</v>
      </c>
      <c r="D1160" t="s">
        <v>99</v>
      </c>
      <c r="E1160" t="s">
        <v>34</v>
      </c>
      <c r="F1160">
        <v>65</v>
      </c>
      <c r="G1160">
        <v>17</v>
      </c>
      <c r="H1160">
        <v>37</v>
      </c>
      <c r="I1160">
        <v>2405</v>
      </c>
      <c r="J1160">
        <v>120.25</v>
      </c>
      <c r="K1160">
        <v>2284.75</v>
      </c>
      <c r="L1160">
        <v>1105</v>
      </c>
      <c r="M1160">
        <v>1179.75</v>
      </c>
      <c r="N1160">
        <v>45459</v>
      </c>
      <c r="O1160">
        <v>6</v>
      </c>
      <c r="P1160" t="s">
        <v>45</v>
      </c>
      <c r="Q1160">
        <v>2024</v>
      </c>
    </row>
    <row r="1161" spans="1:17" x14ac:dyDescent="0.3">
      <c r="A1161" t="s">
        <v>26</v>
      </c>
      <c r="B1161" t="s">
        <v>22</v>
      </c>
      <c r="C1161" t="s">
        <v>18</v>
      </c>
      <c r="D1161" t="s">
        <v>145</v>
      </c>
      <c r="E1161" t="s">
        <v>34</v>
      </c>
      <c r="F1161">
        <v>147</v>
      </c>
      <c r="G1161">
        <v>10</v>
      </c>
      <c r="H1161">
        <v>23</v>
      </c>
      <c r="I1161">
        <v>3381</v>
      </c>
      <c r="J1161">
        <v>169.05</v>
      </c>
      <c r="K1161">
        <v>3211.95</v>
      </c>
      <c r="L1161">
        <v>1470</v>
      </c>
      <c r="M1161">
        <v>1741.9499999999998</v>
      </c>
      <c r="N1161">
        <v>45208</v>
      </c>
      <c r="O1161">
        <v>10</v>
      </c>
      <c r="P1161" t="s">
        <v>55</v>
      </c>
      <c r="Q1161">
        <v>2023</v>
      </c>
    </row>
    <row r="1162" spans="1:17" x14ac:dyDescent="0.3">
      <c r="A1162" t="s">
        <v>16</v>
      </c>
      <c r="B1162" t="s">
        <v>36</v>
      </c>
      <c r="C1162" t="s">
        <v>24</v>
      </c>
      <c r="D1162" t="s">
        <v>124</v>
      </c>
      <c r="E1162" t="s">
        <v>34</v>
      </c>
      <c r="F1162">
        <v>330</v>
      </c>
      <c r="G1162">
        <v>15</v>
      </c>
      <c r="H1162">
        <v>34</v>
      </c>
      <c r="I1162">
        <v>11220</v>
      </c>
      <c r="J1162">
        <v>561</v>
      </c>
      <c r="K1162">
        <v>10659</v>
      </c>
      <c r="L1162">
        <v>4950</v>
      </c>
      <c r="M1162">
        <v>5709</v>
      </c>
      <c r="N1162">
        <v>45177</v>
      </c>
      <c r="O1162">
        <v>9</v>
      </c>
      <c r="P1162" t="s">
        <v>40</v>
      </c>
      <c r="Q1162">
        <v>2023</v>
      </c>
    </row>
    <row r="1163" spans="1:17" x14ac:dyDescent="0.3">
      <c r="A1163" t="s">
        <v>26</v>
      </c>
      <c r="B1163" t="s">
        <v>36</v>
      </c>
      <c r="C1163" t="s">
        <v>24</v>
      </c>
      <c r="D1163" t="s">
        <v>106</v>
      </c>
      <c r="E1163" t="s">
        <v>34</v>
      </c>
      <c r="F1163">
        <v>479</v>
      </c>
      <c r="G1163">
        <v>17</v>
      </c>
      <c r="H1163">
        <v>36</v>
      </c>
      <c r="I1163">
        <v>17244</v>
      </c>
      <c r="J1163">
        <v>862.2</v>
      </c>
      <c r="K1163">
        <v>16381.8</v>
      </c>
      <c r="L1163">
        <v>8143</v>
      </c>
      <c r="M1163">
        <v>8238.7999999999993</v>
      </c>
      <c r="N1163">
        <v>45292</v>
      </c>
      <c r="O1163">
        <v>1</v>
      </c>
      <c r="P1163" t="s">
        <v>58</v>
      </c>
      <c r="Q1163">
        <v>2024</v>
      </c>
    </row>
    <row r="1164" spans="1:17" x14ac:dyDescent="0.3">
      <c r="A1164" t="s">
        <v>21</v>
      </c>
      <c r="B1164" t="s">
        <v>22</v>
      </c>
      <c r="C1164" t="s">
        <v>24</v>
      </c>
      <c r="D1164" t="s">
        <v>184</v>
      </c>
      <c r="E1164" t="s">
        <v>34</v>
      </c>
      <c r="F1164">
        <v>12</v>
      </c>
      <c r="G1164">
        <v>15</v>
      </c>
      <c r="H1164">
        <v>17</v>
      </c>
      <c r="I1164">
        <v>204</v>
      </c>
      <c r="J1164">
        <v>2.04</v>
      </c>
      <c r="K1164">
        <v>201.96</v>
      </c>
      <c r="L1164">
        <v>180</v>
      </c>
      <c r="M1164">
        <v>21.960000000000008</v>
      </c>
      <c r="N1164">
        <v>45663</v>
      </c>
      <c r="O1164">
        <v>1</v>
      </c>
      <c r="P1164" t="s">
        <v>58</v>
      </c>
      <c r="Q1164">
        <v>2025</v>
      </c>
    </row>
    <row r="1165" spans="1:17" x14ac:dyDescent="0.3">
      <c r="A1165" t="s">
        <v>16</v>
      </c>
      <c r="B1165" t="s">
        <v>22</v>
      </c>
      <c r="C1165" t="s">
        <v>28</v>
      </c>
      <c r="D1165" t="s">
        <v>93</v>
      </c>
      <c r="E1165" t="s">
        <v>34</v>
      </c>
      <c r="F1165">
        <v>889</v>
      </c>
      <c r="G1165">
        <v>12</v>
      </c>
      <c r="H1165">
        <v>27</v>
      </c>
      <c r="I1165">
        <v>24003</v>
      </c>
      <c r="J1165">
        <v>1200.1500000000001</v>
      </c>
      <c r="K1165">
        <v>22802.85</v>
      </c>
      <c r="L1165">
        <v>10668</v>
      </c>
      <c r="M1165">
        <v>12134.849999999999</v>
      </c>
      <c r="N1165">
        <v>45152</v>
      </c>
      <c r="O1165">
        <v>8</v>
      </c>
      <c r="P1165" t="s">
        <v>62</v>
      </c>
      <c r="Q1165">
        <v>2023</v>
      </c>
    </row>
    <row r="1166" spans="1:17" x14ac:dyDescent="0.3">
      <c r="A1166" t="s">
        <v>27</v>
      </c>
      <c r="B1166" t="s">
        <v>23</v>
      </c>
      <c r="C1166" t="s">
        <v>28</v>
      </c>
      <c r="D1166" t="s">
        <v>68</v>
      </c>
      <c r="E1166" t="s">
        <v>34</v>
      </c>
      <c r="F1166">
        <v>736</v>
      </c>
      <c r="G1166">
        <v>11</v>
      </c>
      <c r="H1166">
        <v>33</v>
      </c>
      <c r="I1166">
        <v>24288</v>
      </c>
      <c r="J1166">
        <v>1214.4000000000001</v>
      </c>
      <c r="K1166">
        <v>23073.599999999999</v>
      </c>
      <c r="L1166">
        <v>8096</v>
      </c>
      <c r="M1166">
        <v>14977.599999999999</v>
      </c>
      <c r="N1166">
        <v>45085</v>
      </c>
      <c r="O1166">
        <v>6</v>
      </c>
      <c r="P1166" t="s">
        <v>45</v>
      </c>
      <c r="Q1166">
        <v>2023</v>
      </c>
    </row>
    <row r="1167" spans="1:17" x14ac:dyDescent="0.3">
      <c r="A1167" t="s">
        <v>21</v>
      </c>
      <c r="B1167" t="s">
        <v>22</v>
      </c>
      <c r="C1167" t="s">
        <v>28</v>
      </c>
      <c r="D1167" t="s">
        <v>67</v>
      </c>
      <c r="E1167" t="s">
        <v>34</v>
      </c>
      <c r="F1167">
        <v>277</v>
      </c>
      <c r="G1167">
        <v>16</v>
      </c>
      <c r="H1167">
        <v>27</v>
      </c>
      <c r="I1167">
        <v>7479</v>
      </c>
      <c r="J1167">
        <v>373.95000000000005</v>
      </c>
      <c r="K1167">
        <v>7105.05</v>
      </c>
      <c r="L1167">
        <v>4432</v>
      </c>
      <c r="M1167">
        <v>2673.05</v>
      </c>
      <c r="N1167">
        <v>45509</v>
      </c>
      <c r="O1167">
        <v>8</v>
      </c>
      <c r="P1167" t="s">
        <v>62</v>
      </c>
      <c r="Q1167">
        <v>2024</v>
      </c>
    </row>
    <row r="1168" spans="1:17" x14ac:dyDescent="0.3">
      <c r="A1168" t="s">
        <v>16</v>
      </c>
      <c r="B1168" t="s">
        <v>20</v>
      </c>
      <c r="C1168" t="s">
        <v>28</v>
      </c>
      <c r="D1168" t="s">
        <v>64</v>
      </c>
      <c r="E1168" t="s">
        <v>34</v>
      </c>
      <c r="F1168">
        <v>691</v>
      </c>
      <c r="G1168">
        <v>14</v>
      </c>
      <c r="H1168">
        <v>22</v>
      </c>
      <c r="I1168">
        <v>15202</v>
      </c>
      <c r="J1168">
        <v>760.1</v>
      </c>
      <c r="K1168">
        <v>14441.9</v>
      </c>
      <c r="L1168">
        <v>9674</v>
      </c>
      <c r="M1168">
        <v>4767.8999999999996</v>
      </c>
      <c r="N1168">
        <v>45584</v>
      </c>
      <c r="O1168">
        <v>10</v>
      </c>
      <c r="P1168" t="s">
        <v>55</v>
      </c>
      <c r="Q1168">
        <v>2024</v>
      </c>
    </row>
    <row r="1169" spans="1:17" x14ac:dyDescent="0.3">
      <c r="A1169" t="s">
        <v>21</v>
      </c>
      <c r="B1169" t="s">
        <v>20</v>
      </c>
      <c r="C1169" t="s">
        <v>29</v>
      </c>
      <c r="D1169" t="s">
        <v>171</v>
      </c>
      <c r="E1169" t="s">
        <v>34</v>
      </c>
      <c r="F1169">
        <v>800</v>
      </c>
      <c r="G1169">
        <v>20</v>
      </c>
      <c r="H1169">
        <v>38</v>
      </c>
      <c r="I1169">
        <v>30400</v>
      </c>
      <c r="J1169">
        <v>1520</v>
      </c>
      <c r="K1169">
        <v>28880</v>
      </c>
      <c r="L1169">
        <v>16000</v>
      </c>
      <c r="M1169">
        <v>12880</v>
      </c>
      <c r="N1169">
        <v>45039</v>
      </c>
      <c r="O1169">
        <v>4</v>
      </c>
      <c r="P1169" t="s">
        <v>75</v>
      </c>
      <c r="Q1169">
        <v>2023</v>
      </c>
    </row>
    <row r="1170" spans="1:17" x14ac:dyDescent="0.3">
      <c r="A1170" t="s">
        <v>21</v>
      </c>
      <c r="B1170" t="s">
        <v>20</v>
      </c>
      <c r="C1170" t="s">
        <v>29</v>
      </c>
      <c r="D1170" t="s">
        <v>171</v>
      </c>
      <c r="E1170" t="s">
        <v>34</v>
      </c>
      <c r="F1170">
        <v>529</v>
      </c>
      <c r="G1170">
        <v>20</v>
      </c>
      <c r="H1170">
        <v>38</v>
      </c>
      <c r="I1170">
        <v>20102</v>
      </c>
      <c r="J1170">
        <v>1005.1</v>
      </c>
      <c r="K1170">
        <v>19096.900000000001</v>
      </c>
      <c r="L1170">
        <v>10580</v>
      </c>
      <c r="M1170">
        <v>8516.9000000000015</v>
      </c>
      <c r="N1170">
        <v>45222</v>
      </c>
      <c r="O1170">
        <v>10</v>
      </c>
      <c r="P1170" t="s">
        <v>55</v>
      </c>
      <c r="Q1170">
        <v>2023</v>
      </c>
    </row>
    <row r="1171" spans="1:17" x14ac:dyDescent="0.3">
      <c r="A1171" t="s">
        <v>21</v>
      </c>
      <c r="B1171" t="s">
        <v>36</v>
      </c>
      <c r="C1171" t="s">
        <v>29</v>
      </c>
      <c r="D1171" t="s">
        <v>164</v>
      </c>
      <c r="E1171" t="s">
        <v>34</v>
      </c>
      <c r="F1171">
        <v>609</v>
      </c>
      <c r="G1171">
        <v>13</v>
      </c>
      <c r="H1171">
        <v>19</v>
      </c>
      <c r="I1171">
        <v>11571</v>
      </c>
      <c r="J1171">
        <v>578.55000000000007</v>
      </c>
      <c r="K1171">
        <v>10992.45</v>
      </c>
      <c r="L1171">
        <v>7917</v>
      </c>
      <c r="M1171">
        <v>3075.4500000000007</v>
      </c>
      <c r="N1171">
        <v>45393</v>
      </c>
      <c r="O1171">
        <v>4</v>
      </c>
      <c r="P1171" t="s">
        <v>75</v>
      </c>
      <c r="Q1171">
        <v>2024</v>
      </c>
    </row>
    <row r="1172" spans="1:17" x14ac:dyDescent="0.3">
      <c r="A1172" t="s">
        <v>16</v>
      </c>
      <c r="B1172" t="s">
        <v>22</v>
      </c>
      <c r="C1172" t="s">
        <v>29</v>
      </c>
      <c r="D1172" t="s">
        <v>94</v>
      </c>
      <c r="E1172" t="s">
        <v>34</v>
      </c>
      <c r="F1172">
        <v>696</v>
      </c>
      <c r="G1172">
        <v>19</v>
      </c>
      <c r="H1172">
        <v>22</v>
      </c>
      <c r="I1172">
        <v>15312</v>
      </c>
      <c r="J1172">
        <v>765.6</v>
      </c>
      <c r="K1172">
        <v>14546.4</v>
      </c>
      <c r="L1172">
        <v>13224</v>
      </c>
      <c r="M1172">
        <v>1322.3999999999996</v>
      </c>
      <c r="N1172">
        <v>45134</v>
      </c>
      <c r="O1172">
        <v>7</v>
      </c>
      <c r="P1172" t="s">
        <v>48</v>
      </c>
      <c r="Q1172">
        <v>2023</v>
      </c>
    </row>
    <row r="1173" spans="1:17" x14ac:dyDescent="0.3">
      <c r="A1173" t="s">
        <v>26</v>
      </c>
      <c r="B1173" t="s">
        <v>36</v>
      </c>
      <c r="C1173" t="s">
        <v>29</v>
      </c>
      <c r="D1173" t="s">
        <v>78</v>
      </c>
      <c r="E1173" t="s">
        <v>34</v>
      </c>
      <c r="F1173">
        <v>209</v>
      </c>
      <c r="G1173">
        <v>12</v>
      </c>
      <c r="H1173">
        <v>36</v>
      </c>
      <c r="I1173">
        <v>7524</v>
      </c>
      <c r="J1173">
        <v>376.20000000000005</v>
      </c>
      <c r="K1173">
        <v>7147.8</v>
      </c>
      <c r="L1173">
        <v>2508</v>
      </c>
      <c r="M1173">
        <v>4639.8</v>
      </c>
      <c r="N1173">
        <v>45264</v>
      </c>
      <c r="O1173">
        <v>12</v>
      </c>
      <c r="P1173" t="s">
        <v>77</v>
      </c>
      <c r="Q1173">
        <v>2023</v>
      </c>
    </row>
    <row r="1174" spans="1:17" x14ac:dyDescent="0.3">
      <c r="A1174" t="s">
        <v>27</v>
      </c>
      <c r="B1174" t="s">
        <v>36</v>
      </c>
      <c r="C1174" t="s">
        <v>29</v>
      </c>
      <c r="D1174" t="s">
        <v>179</v>
      </c>
      <c r="E1174" t="s">
        <v>34</v>
      </c>
      <c r="F1174">
        <v>856</v>
      </c>
      <c r="G1174">
        <v>20</v>
      </c>
      <c r="H1174">
        <v>33</v>
      </c>
      <c r="I1174">
        <v>28248</v>
      </c>
      <c r="J1174">
        <v>1412.4</v>
      </c>
      <c r="K1174">
        <v>26835.599999999999</v>
      </c>
      <c r="L1174">
        <v>17120</v>
      </c>
      <c r="M1174">
        <v>9715.5999999999985</v>
      </c>
      <c r="N1174">
        <v>45094</v>
      </c>
      <c r="O1174">
        <v>6</v>
      </c>
      <c r="P1174" t="s">
        <v>45</v>
      </c>
      <c r="Q1174">
        <v>2023</v>
      </c>
    </row>
    <row r="1175" spans="1:17" x14ac:dyDescent="0.3">
      <c r="A1175" t="s">
        <v>16</v>
      </c>
      <c r="B1175" t="s">
        <v>20</v>
      </c>
      <c r="C1175" t="s">
        <v>29</v>
      </c>
      <c r="D1175" t="s">
        <v>76</v>
      </c>
      <c r="E1175" t="s">
        <v>34</v>
      </c>
      <c r="F1175">
        <v>55</v>
      </c>
      <c r="G1175">
        <v>11</v>
      </c>
      <c r="H1175">
        <v>30</v>
      </c>
      <c r="I1175">
        <v>1650</v>
      </c>
      <c r="J1175">
        <v>82.5</v>
      </c>
      <c r="K1175">
        <v>1567.5</v>
      </c>
      <c r="L1175">
        <v>605</v>
      </c>
      <c r="M1175">
        <v>962.5</v>
      </c>
      <c r="N1175">
        <v>45249</v>
      </c>
      <c r="O1175">
        <v>11</v>
      </c>
      <c r="P1175" t="s">
        <v>43</v>
      </c>
      <c r="Q1175">
        <v>2023</v>
      </c>
    </row>
    <row r="1176" spans="1:17" x14ac:dyDescent="0.3">
      <c r="A1176" t="s">
        <v>16</v>
      </c>
      <c r="B1176" t="s">
        <v>20</v>
      </c>
      <c r="C1176" t="s">
        <v>29</v>
      </c>
      <c r="D1176" t="s">
        <v>76</v>
      </c>
      <c r="E1176" t="s">
        <v>34</v>
      </c>
      <c r="F1176">
        <v>105</v>
      </c>
      <c r="G1176">
        <v>11</v>
      </c>
      <c r="H1176">
        <v>30</v>
      </c>
      <c r="I1176">
        <v>3150</v>
      </c>
      <c r="J1176">
        <v>157.5</v>
      </c>
      <c r="K1176">
        <v>2992.5</v>
      </c>
      <c r="L1176">
        <v>1155</v>
      </c>
      <c r="M1176">
        <v>1837.5</v>
      </c>
      <c r="N1176">
        <v>45530</v>
      </c>
      <c r="O1176">
        <v>8</v>
      </c>
      <c r="P1176" t="s">
        <v>62</v>
      </c>
      <c r="Q1176">
        <v>2024</v>
      </c>
    </row>
    <row r="1177" spans="1:17" x14ac:dyDescent="0.3">
      <c r="A1177" t="s">
        <v>26</v>
      </c>
      <c r="B1177" t="s">
        <v>17</v>
      </c>
      <c r="C1177" t="s">
        <v>29</v>
      </c>
      <c r="D1177" t="s">
        <v>79</v>
      </c>
      <c r="E1177" t="s">
        <v>34</v>
      </c>
      <c r="F1177">
        <v>45</v>
      </c>
      <c r="G1177">
        <v>16</v>
      </c>
      <c r="H1177">
        <v>28</v>
      </c>
      <c r="I1177">
        <v>1260</v>
      </c>
      <c r="J1177">
        <v>63</v>
      </c>
      <c r="K1177">
        <v>1197</v>
      </c>
      <c r="L1177">
        <v>720</v>
      </c>
      <c r="M1177">
        <v>477</v>
      </c>
      <c r="N1177">
        <v>45439</v>
      </c>
      <c r="O1177">
        <v>5</v>
      </c>
      <c r="P1177" t="s">
        <v>46</v>
      </c>
      <c r="Q1177">
        <v>2024</v>
      </c>
    </row>
    <row r="1178" spans="1:17" x14ac:dyDescent="0.3">
      <c r="A1178" t="s">
        <v>27</v>
      </c>
      <c r="B1178" t="s">
        <v>22</v>
      </c>
      <c r="C1178" t="s">
        <v>29</v>
      </c>
      <c r="D1178" t="s">
        <v>172</v>
      </c>
      <c r="E1178" t="s">
        <v>34</v>
      </c>
      <c r="F1178">
        <v>286</v>
      </c>
      <c r="G1178">
        <v>10</v>
      </c>
      <c r="H1178">
        <v>34</v>
      </c>
      <c r="I1178">
        <v>9724</v>
      </c>
      <c r="J1178">
        <v>486.20000000000005</v>
      </c>
      <c r="K1178">
        <v>9237.7999999999993</v>
      </c>
      <c r="L1178">
        <v>2860</v>
      </c>
      <c r="M1178">
        <v>6377.7999999999993</v>
      </c>
      <c r="N1178">
        <v>45369</v>
      </c>
      <c r="O1178">
        <v>3</v>
      </c>
      <c r="P1178" t="s">
        <v>38</v>
      </c>
      <c r="Q1178">
        <v>2024</v>
      </c>
    </row>
    <row r="1179" spans="1:17" x14ac:dyDescent="0.3">
      <c r="A1179" t="s">
        <v>26</v>
      </c>
      <c r="B1179" t="s">
        <v>23</v>
      </c>
      <c r="C1179" t="s">
        <v>30</v>
      </c>
      <c r="D1179" t="s">
        <v>139</v>
      </c>
      <c r="E1179" t="s">
        <v>34</v>
      </c>
      <c r="F1179">
        <v>523</v>
      </c>
      <c r="G1179">
        <v>11</v>
      </c>
      <c r="H1179">
        <v>22</v>
      </c>
      <c r="I1179">
        <v>11506</v>
      </c>
      <c r="J1179">
        <v>575.30000000000007</v>
      </c>
      <c r="K1179">
        <v>10930.7</v>
      </c>
      <c r="L1179">
        <v>5753</v>
      </c>
      <c r="M1179">
        <v>5177.7000000000007</v>
      </c>
      <c r="N1179">
        <v>45032</v>
      </c>
      <c r="O1179">
        <v>4</v>
      </c>
      <c r="P1179" t="s">
        <v>75</v>
      </c>
      <c r="Q1179">
        <v>2023</v>
      </c>
    </row>
    <row r="1180" spans="1:17" x14ac:dyDescent="0.3">
      <c r="A1180" t="s">
        <v>21</v>
      </c>
      <c r="B1180" t="s">
        <v>23</v>
      </c>
      <c r="C1180" t="s">
        <v>30</v>
      </c>
      <c r="D1180" t="s">
        <v>156</v>
      </c>
      <c r="E1180" t="s">
        <v>34</v>
      </c>
      <c r="F1180">
        <v>470</v>
      </c>
      <c r="G1180">
        <v>12</v>
      </c>
      <c r="H1180">
        <v>28</v>
      </c>
      <c r="I1180">
        <v>13160</v>
      </c>
      <c r="J1180">
        <v>658</v>
      </c>
      <c r="K1180">
        <v>12502</v>
      </c>
      <c r="L1180">
        <v>5640</v>
      </c>
      <c r="M1180">
        <v>6862</v>
      </c>
      <c r="N1180">
        <v>45076</v>
      </c>
      <c r="O1180">
        <v>5</v>
      </c>
      <c r="P1180" t="s">
        <v>46</v>
      </c>
      <c r="Q1180">
        <v>2023</v>
      </c>
    </row>
    <row r="1181" spans="1:17" x14ac:dyDescent="0.3">
      <c r="A1181" t="s">
        <v>16</v>
      </c>
      <c r="B1181" t="s">
        <v>36</v>
      </c>
      <c r="C1181" t="s">
        <v>30</v>
      </c>
      <c r="D1181" t="s">
        <v>141</v>
      </c>
      <c r="E1181" t="s">
        <v>34</v>
      </c>
      <c r="F1181">
        <v>449</v>
      </c>
      <c r="G1181">
        <v>13</v>
      </c>
      <c r="H1181">
        <v>25</v>
      </c>
      <c r="I1181">
        <v>11225</v>
      </c>
      <c r="J1181">
        <v>561.25</v>
      </c>
      <c r="K1181">
        <v>10663.75</v>
      </c>
      <c r="L1181">
        <v>5837</v>
      </c>
      <c r="M1181">
        <v>4826.75</v>
      </c>
      <c r="N1181">
        <v>45647</v>
      </c>
      <c r="O1181">
        <v>12</v>
      </c>
      <c r="P1181" t="s">
        <v>77</v>
      </c>
      <c r="Q1181">
        <v>2024</v>
      </c>
    </row>
    <row r="1182" spans="1:17" x14ac:dyDescent="0.3">
      <c r="A1182" t="s">
        <v>27</v>
      </c>
      <c r="B1182" t="s">
        <v>23</v>
      </c>
      <c r="C1182" t="s">
        <v>30</v>
      </c>
      <c r="D1182" t="s">
        <v>118</v>
      </c>
      <c r="E1182" t="s">
        <v>34</v>
      </c>
      <c r="F1182">
        <v>987</v>
      </c>
      <c r="G1182">
        <v>10</v>
      </c>
      <c r="H1182">
        <v>19</v>
      </c>
      <c r="I1182">
        <v>18753</v>
      </c>
      <c r="J1182">
        <v>937.65000000000009</v>
      </c>
      <c r="K1182">
        <v>17815.349999999999</v>
      </c>
      <c r="L1182">
        <v>9870</v>
      </c>
      <c r="M1182">
        <v>7945.3499999999985</v>
      </c>
      <c r="N1182">
        <v>45422</v>
      </c>
      <c r="O1182">
        <v>5</v>
      </c>
      <c r="P1182" t="s">
        <v>46</v>
      </c>
      <c r="Q1182">
        <v>2024</v>
      </c>
    </row>
    <row r="1183" spans="1:17" x14ac:dyDescent="0.3">
      <c r="A1183" t="s">
        <v>27</v>
      </c>
      <c r="B1183" t="s">
        <v>36</v>
      </c>
      <c r="C1183" t="s">
        <v>30</v>
      </c>
      <c r="D1183" t="s">
        <v>149</v>
      </c>
      <c r="E1183" t="s">
        <v>34</v>
      </c>
      <c r="F1183">
        <v>875</v>
      </c>
      <c r="G1183">
        <v>10</v>
      </c>
      <c r="H1183">
        <v>38</v>
      </c>
      <c r="I1183">
        <v>33250</v>
      </c>
      <c r="J1183">
        <v>1662.5</v>
      </c>
      <c r="K1183">
        <v>31587.5</v>
      </c>
      <c r="L1183">
        <v>8750</v>
      </c>
      <c r="M1183">
        <v>22837.5</v>
      </c>
      <c r="N1183">
        <v>45604</v>
      </c>
      <c r="O1183">
        <v>11</v>
      </c>
      <c r="P1183" t="s">
        <v>43</v>
      </c>
      <c r="Q1183">
        <v>2024</v>
      </c>
    </row>
    <row r="1184" spans="1:17" x14ac:dyDescent="0.3">
      <c r="A1184" t="s">
        <v>21</v>
      </c>
      <c r="B1184" t="s">
        <v>22</v>
      </c>
      <c r="C1184" t="s">
        <v>30</v>
      </c>
      <c r="D1184" t="s">
        <v>82</v>
      </c>
      <c r="E1184" t="s">
        <v>34</v>
      </c>
      <c r="F1184">
        <v>886</v>
      </c>
      <c r="G1184">
        <v>14</v>
      </c>
      <c r="H1184">
        <v>30</v>
      </c>
      <c r="I1184">
        <v>26580</v>
      </c>
      <c r="J1184">
        <v>1329</v>
      </c>
      <c r="K1184">
        <v>25251</v>
      </c>
      <c r="L1184">
        <v>12404</v>
      </c>
      <c r="M1184">
        <v>12847</v>
      </c>
      <c r="N1184">
        <v>45565</v>
      </c>
      <c r="O1184">
        <v>9</v>
      </c>
      <c r="P1184" t="s">
        <v>40</v>
      </c>
      <c r="Q1184">
        <v>2024</v>
      </c>
    </row>
    <row r="1185" spans="1:17" x14ac:dyDescent="0.3">
      <c r="A1185" t="s">
        <v>26</v>
      </c>
      <c r="B1185" t="s">
        <v>17</v>
      </c>
      <c r="C1185" t="s">
        <v>30</v>
      </c>
      <c r="D1185" t="s">
        <v>140</v>
      </c>
      <c r="E1185" t="s">
        <v>34</v>
      </c>
      <c r="F1185">
        <v>95</v>
      </c>
      <c r="G1185">
        <v>16</v>
      </c>
      <c r="H1185">
        <v>36</v>
      </c>
      <c r="I1185">
        <v>3420</v>
      </c>
      <c r="J1185">
        <v>171</v>
      </c>
      <c r="K1185">
        <v>3249</v>
      </c>
      <c r="L1185">
        <v>1520</v>
      </c>
      <c r="M1185">
        <v>1729</v>
      </c>
      <c r="N1185">
        <v>45517</v>
      </c>
      <c r="O1185">
        <v>8</v>
      </c>
      <c r="P1185" t="s">
        <v>62</v>
      </c>
      <c r="Q1185">
        <v>2024</v>
      </c>
    </row>
    <row r="1186" spans="1:17" x14ac:dyDescent="0.3">
      <c r="A1186" t="s">
        <v>16</v>
      </c>
      <c r="B1186" t="s">
        <v>20</v>
      </c>
      <c r="C1186" t="s">
        <v>30</v>
      </c>
      <c r="D1186" t="s">
        <v>114</v>
      </c>
      <c r="E1186" t="s">
        <v>34</v>
      </c>
      <c r="F1186">
        <v>219</v>
      </c>
      <c r="G1186">
        <v>13</v>
      </c>
      <c r="H1186">
        <v>38</v>
      </c>
      <c r="I1186">
        <v>8322</v>
      </c>
      <c r="J1186">
        <v>416.1</v>
      </c>
      <c r="K1186">
        <v>7905.9</v>
      </c>
      <c r="L1186">
        <v>2847</v>
      </c>
      <c r="M1186">
        <v>5058.8999999999996</v>
      </c>
      <c r="N1186">
        <v>45159</v>
      </c>
      <c r="O1186">
        <v>8</v>
      </c>
      <c r="P1186" t="s">
        <v>62</v>
      </c>
      <c r="Q1186">
        <v>2023</v>
      </c>
    </row>
    <row r="1187" spans="1:17" x14ac:dyDescent="0.3">
      <c r="A1187" t="s">
        <v>26</v>
      </c>
      <c r="B1187" t="s">
        <v>36</v>
      </c>
      <c r="C1187" t="s">
        <v>31</v>
      </c>
      <c r="D1187" t="s">
        <v>193</v>
      </c>
      <c r="E1187" t="s">
        <v>34</v>
      </c>
      <c r="F1187">
        <v>142</v>
      </c>
      <c r="G1187">
        <v>16</v>
      </c>
      <c r="H1187">
        <v>29</v>
      </c>
      <c r="I1187">
        <v>4118</v>
      </c>
      <c r="J1187">
        <v>205.9</v>
      </c>
      <c r="K1187">
        <v>3912.1</v>
      </c>
      <c r="L1187">
        <v>2272</v>
      </c>
      <c r="M1187">
        <v>1640.1</v>
      </c>
      <c r="N1187">
        <v>45494</v>
      </c>
      <c r="O1187">
        <v>7</v>
      </c>
      <c r="P1187" t="s">
        <v>48</v>
      </c>
      <c r="Q1187">
        <v>2024</v>
      </c>
    </row>
    <row r="1188" spans="1:17" x14ac:dyDescent="0.3">
      <c r="A1188" t="s">
        <v>16</v>
      </c>
      <c r="B1188" t="s">
        <v>17</v>
      </c>
      <c r="C1188" t="s">
        <v>31</v>
      </c>
      <c r="D1188" t="s">
        <v>159</v>
      </c>
      <c r="E1188" t="s">
        <v>34</v>
      </c>
      <c r="F1188">
        <v>836</v>
      </c>
      <c r="G1188">
        <v>19</v>
      </c>
      <c r="H1188">
        <v>38</v>
      </c>
      <c r="I1188">
        <v>31768</v>
      </c>
      <c r="J1188">
        <v>1588.4</v>
      </c>
      <c r="K1188">
        <v>30179.599999999999</v>
      </c>
      <c r="L1188">
        <v>15884</v>
      </c>
      <c r="M1188">
        <v>14295.599999999999</v>
      </c>
      <c r="N1188">
        <v>45116</v>
      </c>
      <c r="O1188">
        <v>7</v>
      </c>
      <c r="P1188" t="s">
        <v>48</v>
      </c>
      <c r="Q1188">
        <v>2023</v>
      </c>
    </row>
    <row r="1189" spans="1:17" x14ac:dyDescent="0.3">
      <c r="A1189" t="s">
        <v>27</v>
      </c>
      <c r="B1189" t="s">
        <v>36</v>
      </c>
      <c r="C1189" t="s">
        <v>31</v>
      </c>
      <c r="D1189" t="s">
        <v>182</v>
      </c>
      <c r="E1189" t="s">
        <v>34</v>
      </c>
      <c r="F1189">
        <v>156</v>
      </c>
      <c r="G1189">
        <v>11</v>
      </c>
      <c r="H1189">
        <v>29</v>
      </c>
      <c r="I1189">
        <v>4524</v>
      </c>
      <c r="J1189">
        <v>226.20000000000002</v>
      </c>
      <c r="K1189">
        <v>4297.8</v>
      </c>
      <c r="L1189">
        <v>1716</v>
      </c>
      <c r="M1189">
        <v>2581.8000000000002</v>
      </c>
      <c r="N1189">
        <v>45214</v>
      </c>
      <c r="O1189">
        <v>10</v>
      </c>
      <c r="P1189" t="s">
        <v>55</v>
      </c>
      <c r="Q1189">
        <v>2023</v>
      </c>
    </row>
    <row r="1190" spans="1:17" x14ac:dyDescent="0.3">
      <c r="A1190" t="s">
        <v>25</v>
      </c>
      <c r="B1190" t="s">
        <v>17</v>
      </c>
      <c r="C1190" t="s">
        <v>31</v>
      </c>
      <c r="D1190" t="s">
        <v>194</v>
      </c>
      <c r="E1190" t="s">
        <v>34</v>
      </c>
      <c r="F1190">
        <v>961</v>
      </c>
      <c r="G1190">
        <v>14</v>
      </c>
      <c r="H1190">
        <v>23</v>
      </c>
      <c r="I1190">
        <v>22103</v>
      </c>
      <c r="J1190">
        <v>1105.1500000000001</v>
      </c>
      <c r="K1190">
        <v>20997.85</v>
      </c>
      <c r="L1190">
        <v>13454</v>
      </c>
      <c r="M1190">
        <v>7543.8499999999985</v>
      </c>
      <c r="N1190">
        <v>45701</v>
      </c>
      <c r="O1190">
        <v>2</v>
      </c>
      <c r="P1190" t="s">
        <v>52</v>
      </c>
      <c r="Q1190">
        <v>2025</v>
      </c>
    </row>
    <row r="1191" spans="1:17" x14ac:dyDescent="0.3">
      <c r="A1191" t="s">
        <v>16</v>
      </c>
      <c r="B1191" t="s">
        <v>23</v>
      </c>
      <c r="C1191" t="s">
        <v>31</v>
      </c>
      <c r="D1191" t="s">
        <v>157</v>
      </c>
      <c r="E1191" t="s">
        <v>34</v>
      </c>
      <c r="F1191">
        <v>890</v>
      </c>
      <c r="G1191">
        <v>14</v>
      </c>
      <c r="H1191">
        <v>32</v>
      </c>
      <c r="I1191">
        <v>28480</v>
      </c>
      <c r="J1191">
        <v>1424</v>
      </c>
      <c r="K1191">
        <v>27056</v>
      </c>
      <c r="L1191">
        <v>12460</v>
      </c>
      <c r="M1191">
        <v>14596</v>
      </c>
      <c r="N1191">
        <v>45563</v>
      </c>
      <c r="O1191">
        <v>9</v>
      </c>
      <c r="P1191" t="s">
        <v>40</v>
      </c>
      <c r="Q1191">
        <v>2024</v>
      </c>
    </row>
    <row r="1192" spans="1:17" x14ac:dyDescent="0.3">
      <c r="A1192" t="s">
        <v>25</v>
      </c>
      <c r="B1192" t="s">
        <v>20</v>
      </c>
      <c r="C1192" t="s">
        <v>31</v>
      </c>
      <c r="D1192" t="s">
        <v>195</v>
      </c>
      <c r="E1192" t="s">
        <v>34</v>
      </c>
      <c r="F1192">
        <v>342</v>
      </c>
      <c r="G1192">
        <v>16</v>
      </c>
      <c r="H1192">
        <v>34</v>
      </c>
      <c r="I1192">
        <v>11628</v>
      </c>
      <c r="J1192">
        <v>581.4</v>
      </c>
      <c r="K1192">
        <v>11046.6</v>
      </c>
      <c r="L1192">
        <v>5472</v>
      </c>
      <c r="M1192">
        <v>5574.6</v>
      </c>
      <c r="N1192">
        <v>45175</v>
      </c>
      <c r="O1192">
        <v>9</v>
      </c>
      <c r="P1192" t="s">
        <v>40</v>
      </c>
      <c r="Q1192">
        <v>2023</v>
      </c>
    </row>
    <row r="1193" spans="1:17" x14ac:dyDescent="0.3">
      <c r="A1193" t="s">
        <v>16</v>
      </c>
      <c r="B1193" t="s">
        <v>17</v>
      </c>
      <c r="C1193" t="s">
        <v>31</v>
      </c>
      <c r="D1193" t="s">
        <v>159</v>
      </c>
      <c r="E1193" t="s">
        <v>34</v>
      </c>
      <c r="F1193">
        <v>759</v>
      </c>
      <c r="G1193">
        <v>19</v>
      </c>
      <c r="H1193">
        <v>38</v>
      </c>
      <c r="I1193">
        <v>28842</v>
      </c>
      <c r="J1193">
        <v>1442.1000000000001</v>
      </c>
      <c r="K1193">
        <v>27399.9</v>
      </c>
      <c r="L1193">
        <v>14421</v>
      </c>
      <c r="M1193">
        <v>12978.900000000001</v>
      </c>
      <c r="N1193">
        <v>45287</v>
      </c>
      <c r="O1193">
        <v>12</v>
      </c>
      <c r="P1193" t="s">
        <v>77</v>
      </c>
      <c r="Q1193">
        <v>2023</v>
      </c>
    </row>
    <row r="1194" spans="1:17" x14ac:dyDescent="0.3">
      <c r="A1194" t="s">
        <v>21</v>
      </c>
      <c r="B1194" t="s">
        <v>22</v>
      </c>
      <c r="C1194" t="s">
        <v>31</v>
      </c>
      <c r="D1194" t="s">
        <v>120</v>
      </c>
      <c r="E1194" t="s">
        <v>34</v>
      </c>
      <c r="F1194">
        <v>298</v>
      </c>
      <c r="G1194">
        <v>13</v>
      </c>
      <c r="H1194">
        <v>37</v>
      </c>
      <c r="I1194">
        <v>11026</v>
      </c>
      <c r="J1194">
        <v>551.30000000000007</v>
      </c>
      <c r="K1194">
        <v>10474.700000000001</v>
      </c>
      <c r="L1194">
        <v>3874</v>
      </c>
      <c r="M1194">
        <v>6600.7000000000007</v>
      </c>
      <c r="N1194">
        <v>45546</v>
      </c>
      <c r="O1194">
        <v>9</v>
      </c>
      <c r="P1194" t="s">
        <v>40</v>
      </c>
      <c r="Q1194">
        <v>2024</v>
      </c>
    </row>
    <row r="1195" spans="1:17" x14ac:dyDescent="0.3">
      <c r="A1195" t="s">
        <v>27</v>
      </c>
      <c r="B1195" t="s">
        <v>22</v>
      </c>
      <c r="C1195" t="s">
        <v>31</v>
      </c>
      <c r="D1195" t="s">
        <v>196</v>
      </c>
      <c r="E1195" t="s">
        <v>34</v>
      </c>
      <c r="F1195">
        <v>813</v>
      </c>
      <c r="G1195">
        <v>20</v>
      </c>
      <c r="H1195">
        <v>22</v>
      </c>
      <c r="I1195">
        <v>17886</v>
      </c>
      <c r="J1195">
        <v>894.30000000000007</v>
      </c>
      <c r="K1195">
        <v>16991.7</v>
      </c>
      <c r="L1195">
        <v>16260</v>
      </c>
      <c r="M1195">
        <v>731.70000000000073</v>
      </c>
      <c r="N1195">
        <v>45664</v>
      </c>
      <c r="O1195">
        <v>1</v>
      </c>
      <c r="P1195" t="s">
        <v>58</v>
      </c>
      <c r="Q1195">
        <v>2025</v>
      </c>
    </row>
    <row r="1196" spans="1:17" x14ac:dyDescent="0.3">
      <c r="A1196" t="s">
        <v>25</v>
      </c>
      <c r="B1196" t="s">
        <v>22</v>
      </c>
      <c r="C1196" t="s">
        <v>18</v>
      </c>
      <c r="D1196" t="s">
        <v>100</v>
      </c>
      <c r="E1196" t="s">
        <v>34</v>
      </c>
      <c r="F1196">
        <v>201</v>
      </c>
      <c r="G1196">
        <v>19</v>
      </c>
      <c r="H1196">
        <v>20</v>
      </c>
      <c r="I1196">
        <v>4020</v>
      </c>
      <c r="J1196">
        <v>201</v>
      </c>
      <c r="K1196">
        <v>3819</v>
      </c>
      <c r="L1196">
        <v>3819</v>
      </c>
      <c r="M1196">
        <v>0</v>
      </c>
      <c r="N1196">
        <v>45685</v>
      </c>
      <c r="O1196">
        <v>1</v>
      </c>
      <c r="P1196" t="s">
        <v>58</v>
      </c>
      <c r="Q1196">
        <v>2025</v>
      </c>
    </row>
    <row r="1197" spans="1:17" x14ac:dyDescent="0.3">
      <c r="A1197" t="s">
        <v>16</v>
      </c>
      <c r="B1197" t="s">
        <v>22</v>
      </c>
      <c r="C1197" t="s">
        <v>28</v>
      </c>
      <c r="D1197" t="s">
        <v>93</v>
      </c>
      <c r="E1197" t="s">
        <v>34</v>
      </c>
      <c r="F1197">
        <v>744</v>
      </c>
      <c r="G1197">
        <v>12</v>
      </c>
      <c r="H1197">
        <v>27</v>
      </c>
      <c r="I1197">
        <v>20088</v>
      </c>
      <c r="J1197">
        <v>1004.4000000000001</v>
      </c>
      <c r="K1197">
        <v>19083.599999999999</v>
      </c>
      <c r="L1197">
        <v>8928</v>
      </c>
      <c r="M1197">
        <v>10155.599999999999</v>
      </c>
      <c r="N1197">
        <v>45682</v>
      </c>
      <c r="O1197">
        <v>1</v>
      </c>
      <c r="P1197" t="s">
        <v>58</v>
      </c>
      <c r="Q1197">
        <v>2025</v>
      </c>
    </row>
    <row r="1198" spans="1:17" x14ac:dyDescent="0.3">
      <c r="A1198" t="s">
        <v>25</v>
      </c>
      <c r="B1198" t="s">
        <v>22</v>
      </c>
      <c r="C1198" t="s">
        <v>28</v>
      </c>
      <c r="D1198" t="s">
        <v>130</v>
      </c>
      <c r="E1198" t="s">
        <v>34</v>
      </c>
      <c r="F1198">
        <v>635</v>
      </c>
      <c r="G1198">
        <v>18</v>
      </c>
      <c r="H1198">
        <v>27</v>
      </c>
      <c r="I1198">
        <v>17145</v>
      </c>
      <c r="J1198">
        <v>857.25</v>
      </c>
      <c r="K1198">
        <v>16287.75</v>
      </c>
      <c r="L1198">
        <v>11430</v>
      </c>
      <c r="M1198">
        <v>4857.75</v>
      </c>
      <c r="N1198">
        <v>45652</v>
      </c>
      <c r="O1198">
        <v>12</v>
      </c>
      <c r="P1198" t="s">
        <v>77</v>
      </c>
      <c r="Q1198">
        <v>2024</v>
      </c>
    </row>
    <row r="1199" spans="1:17" x14ac:dyDescent="0.3">
      <c r="A1199" t="s">
        <v>21</v>
      </c>
      <c r="B1199" t="s">
        <v>17</v>
      </c>
      <c r="C1199" t="s">
        <v>29</v>
      </c>
      <c r="D1199" t="s">
        <v>176</v>
      </c>
      <c r="E1199" t="s">
        <v>34</v>
      </c>
      <c r="F1199">
        <v>408</v>
      </c>
      <c r="G1199">
        <v>14</v>
      </c>
      <c r="H1199">
        <v>29</v>
      </c>
      <c r="I1199">
        <v>11832</v>
      </c>
      <c r="J1199">
        <v>591.6</v>
      </c>
      <c r="K1199">
        <v>11240.4</v>
      </c>
      <c r="L1199">
        <v>5712</v>
      </c>
      <c r="M1199">
        <v>5528.4</v>
      </c>
      <c r="N1199">
        <v>45386</v>
      </c>
      <c r="O1199">
        <v>4</v>
      </c>
      <c r="P1199" t="s">
        <v>75</v>
      </c>
      <c r="Q1199">
        <v>2024</v>
      </c>
    </row>
    <row r="1200" spans="1:17" x14ac:dyDescent="0.3">
      <c r="A1200" t="s">
        <v>25</v>
      </c>
      <c r="B1200" t="s">
        <v>20</v>
      </c>
      <c r="C1200" t="s">
        <v>29</v>
      </c>
      <c r="D1200" t="s">
        <v>74</v>
      </c>
      <c r="E1200" t="s">
        <v>34</v>
      </c>
      <c r="F1200">
        <v>879</v>
      </c>
      <c r="G1200">
        <v>13</v>
      </c>
      <c r="H1200">
        <v>26</v>
      </c>
      <c r="I1200">
        <v>22854</v>
      </c>
      <c r="J1200">
        <v>1142.7</v>
      </c>
      <c r="K1200">
        <v>21711.3</v>
      </c>
      <c r="L1200">
        <v>11427</v>
      </c>
      <c r="M1200">
        <v>10284.299999999999</v>
      </c>
      <c r="N1200">
        <v>45299</v>
      </c>
      <c r="O1200">
        <v>1</v>
      </c>
      <c r="P1200" t="s">
        <v>58</v>
      </c>
      <c r="Q1200">
        <v>2024</v>
      </c>
    </row>
    <row r="1201" spans="1:17" x14ac:dyDescent="0.3">
      <c r="A1201" t="s">
        <v>16</v>
      </c>
      <c r="B1201" t="s">
        <v>36</v>
      </c>
      <c r="C1201" t="s">
        <v>30</v>
      </c>
      <c r="D1201" t="s">
        <v>141</v>
      </c>
      <c r="E1201" t="s">
        <v>34</v>
      </c>
      <c r="F1201">
        <v>892</v>
      </c>
      <c r="G1201">
        <v>13</v>
      </c>
      <c r="H1201">
        <v>25</v>
      </c>
      <c r="I1201">
        <v>22300</v>
      </c>
      <c r="J1201">
        <v>1115</v>
      </c>
      <c r="K1201">
        <v>21185</v>
      </c>
      <c r="L1201">
        <v>11596</v>
      </c>
      <c r="M1201">
        <v>9589</v>
      </c>
      <c r="N1201">
        <v>45616</v>
      </c>
      <c r="O1201">
        <v>11</v>
      </c>
      <c r="P1201" t="s">
        <v>43</v>
      </c>
      <c r="Q1201">
        <v>2024</v>
      </c>
    </row>
    <row r="1202" spans="1:17" x14ac:dyDescent="0.3">
      <c r="A1202" t="s">
        <v>25</v>
      </c>
      <c r="B1202" t="s">
        <v>23</v>
      </c>
      <c r="C1202" t="s">
        <v>30</v>
      </c>
      <c r="D1202" t="s">
        <v>150</v>
      </c>
      <c r="E1202" t="s">
        <v>34</v>
      </c>
      <c r="F1202">
        <v>855</v>
      </c>
      <c r="G1202">
        <v>11</v>
      </c>
      <c r="H1202">
        <v>30</v>
      </c>
      <c r="I1202">
        <v>25650</v>
      </c>
      <c r="J1202">
        <v>1282.5</v>
      </c>
      <c r="K1202">
        <v>24367.5</v>
      </c>
      <c r="L1202">
        <v>9405</v>
      </c>
      <c r="M1202">
        <v>14962.5</v>
      </c>
      <c r="N1202">
        <v>45094</v>
      </c>
      <c r="O1202">
        <v>6</v>
      </c>
      <c r="P1202" t="s">
        <v>45</v>
      </c>
      <c r="Q1202">
        <v>2023</v>
      </c>
    </row>
    <row r="1203" spans="1:17" x14ac:dyDescent="0.3">
      <c r="A1203" t="s">
        <v>21</v>
      </c>
      <c r="B1203" t="s">
        <v>36</v>
      </c>
      <c r="C1203" t="s">
        <v>31</v>
      </c>
      <c r="D1203" t="s">
        <v>92</v>
      </c>
      <c r="E1203" t="s">
        <v>34</v>
      </c>
      <c r="F1203">
        <v>978</v>
      </c>
      <c r="G1203">
        <v>10</v>
      </c>
      <c r="H1203">
        <v>20</v>
      </c>
      <c r="I1203">
        <v>19560</v>
      </c>
      <c r="J1203">
        <v>978</v>
      </c>
      <c r="K1203">
        <v>18582</v>
      </c>
      <c r="L1203">
        <v>9780</v>
      </c>
      <c r="M1203">
        <v>8802</v>
      </c>
      <c r="N1203">
        <v>45290</v>
      </c>
      <c r="O1203">
        <v>12</v>
      </c>
      <c r="P1203" t="s">
        <v>77</v>
      </c>
      <c r="Q1203">
        <v>2023</v>
      </c>
    </row>
    <row r="1204" spans="1:17" x14ac:dyDescent="0.3">
      <c r="A1204" t="s">
        <v>25</v>
      </c>
      <c r="B1204" t="s">
        <v>20</v>
      </c>
      <c r="C1204" t="s">
        <v>31</v>
      </c>
      <c r="D1204" t="s">
        <v>195</v>
      </c>
      <c r="E1204" t="s">
        <v>34</v>
      </c>
      <c r="F1204">
        <v>460</v>
      </c>
      <c r="G1204">
        <v>16</v>
      </c>
      <c r="H1204">
        <v>34</v>
      </c>
      <c r="I1204">
        <v>15640</v>
      </c>
      <c r="J1204">
        <v>782</v>
      </c>
      <c r="K1204">
        <v>14858</v>
      </c>
      <c r="L1204">
        <v>7360</v>
      </c>
      <c r="M1204">
        <v>7498</v>
      </c>
      <c r="N1204">
        <v>45566</v>
      </c>
      <c r="O1204">
        <v>10</v>
      </c>
      <c r="P1204" t="s">
        <v>55</v>
      </c>
      <c r="Q1204">
        <v>2024</v>
      </c>
    </row>
    <row r="1205" spans="1:17" x14ac:dyDescent="0.3">
      <c r="A1205" t="s">
        <v>25</v>
      </c>
      <c r="B1205" t="s">
        <v>17</v>
      </c>
      <c r="C1205" t="s">
        <v>18</v>
      </c>
      <c r="D1205" t="s">
        <v>98</v>
      </c>
      <c r="E1205" t="s">
        <v>34</v>
      </c>
      <c r="F1205">
        <v>678</v>
      </c>
      <c r="G1205">
        <v>20</v>
      </c>
      <c r="H1205">
        <v>18</v>
      </c>
      <c r="I1205">
        <v>12204</v>
      </c>
      <c r="J1205">
        <v>610.20000000000005</v>
      </c>
      <c r="K1205">
        <v>11593.8</v>
      </c>
      <c r="L1205">
        <v>13560</v>
      </c>
      <c r="M1205">
        <v>-1966.2000000000007</v>
      </c>
      <c r="N1205">
        <v>45640</v>
      </c>
      <c r="O1205">
        <v>12</v>
      </c>
      <c r="P1205" t="s">
        <v>77</v>
      </c>
      <c r="Q1205">
        <v>2024</v>
      </c>
    </row>
    <row r="1206" spans="1:17" x14ac:dyDescent="0.3">
      <c r="A1206" t="s">
        <v>16</v>
      </c>
      <c r="B1206" t="s">
        <v>20</v>
      </c>
      <c r="C1206" t="s">
        <v>18</v>
      </c>
      <c r="D1206" t="s">
        <v>39</v>
      </c>
      <c r="E1206" t="s">
        <v>34</v>
      </c>
      <c r="F1206">
        <v>180</v>
      </c>
      <c r="G1206">
        <v>19</v>
      </c>
      <c r="H1206">
        <v>19</v>
      </c>
      <c r="I1206">
        <v>3420</v>
      </c>
      <c r="J1206">
        <v>171</v>
      </c>
      <c r="K1206">
        <v>3249</v>
      </c>
      <c r="L1206">
        <v>3420</v>
      </c>
      <c r="M1206">
        <v>-171</v>
      </c>
      <c r="N1206">
        <v>45042</v>
      </c>
      <c r="O1206">
        <v>4</v>
      </c>
      <c r="P1206" t="s">
        <v>75</v>
      </c>
      <c r="Q1206">
        <v>2023</v>
      </c>
    </row>
    <row r="1207" spans="1:17" x14ac:dyDescent="0.3">
      <c r="A1207" t="s">
        <v>27</v>
      </c>
      <c r="B1207" t="s">
        <v>20</v>
      </c>
      <c r="C1207" t="s">
        <v>18</v>
      </c>
      <c r="D1207" t="s">
        <v>122</v>
      </c>
      <c r="E1207" t="s">
        <v>34</v>
      </c>
      <c r="F1207">
        <v>240</v>
      </c>
      <c r="G1207">
        <v>15</v>
      </c>
      <c r="H1207">
        <v>33</v>
      </c>
      <c r="I1207">
        <v>7920</v>
      </c>
      <c r="J1207">
        <v>396</v>
      </c>
      <c r="K1207">
        <v>7524</v>
      </c>
      <c r="L1207">
        <v>3600</v>
      </c>
      <c r="M1207">
        <v>3924</v>
      </c>
      <c r="N1207">
        <v>45030</v>
      </c>
      <c r="O1207">
        <v>4</v>
      </c>
      <c r="P1207" t="s">
        <v>75</v>
      </c>
      <c r="Q1207">
        <v>2023</v>
      </c>
    </row>
    <row r="1208" spans="1:17" x14ac:dyDescent="0.3">
      <c r="A1208" t="s">
        <v>26</v>
      </c>
      <c r="B1208" t="s">
        <v>22</v>
      </c>
      <c r="C1208" t="s">
        <v>18</v>
      </c>
      <c r="D1208" t="s">
        <v>145</v>
      </c>
      <c r="E1208" t="s">
        <v>34</v>
      </c>
      <c r="F1208">
        <v>249</v>
      </c>
      <c r="G1208">
        <v>10</v>
      </c>
      <c r="H1208">
        <v>23</v>
      </c>
      <c r="I1208">
        <v>5727</v>
      </c>
      <c r="J1208">
        <v>286.35000000000002</v>
      </c>
      <c r="K1208">
        <v>5440.65</v>
      </c>
      <c r="L1208">
        <v>2490</v>
      </c>
      <c r="M1208">
        <v>2950.6499999999996</v>
      </c>
      <c r="N1208">
        <v>45539</v>
      </c>
      <c r="O1208">
        <v>9</v>
      </c>
      <c r="P1208" t="s">
        <v>40</v>
      </c>
      <c r="Q1208">
        <v>2024</v>
      </c>
    </row>
    <row r="1209" spans="1:17" x14ac:dyDescent="0.3">
      <c r="A1209" t="s">
        <v>21</v>
      </c>
      <c r="B1209" t="s">
        <v>17</v>
      </c>
      <c r="C1209" t="s">
        <v>18</v>
      </c>
      <c r="D1209" t="s">
        <v>167</v>
      </c>
      <c r="E1209" t="s">
        <v>34</v>
      </c>
      <c r="F1209">
        <v>716</v>
      </c>
      <c r="G1209">
        <v>10</v>
      </c>
      <c r="H1209">
        <v>23</v>
      </c>
      <c r="I1209">
        <v>16468</v>
      </c>
      <c r="J1209">
        <v>823.40000000000009</v>
      </c>
      <c r="K1209">
        <v>15644.6</v>
      </c>
      <c r="L1209">
        <v>7160</v>
      </c>
      <c r="M1209">
        <v>8484.6</v>
      </c>
      <c r="N1209">
        <v>45444</v>
      </c>
      <c r="O1209">
        <v>6</v>
      </c>
      <c r="P1209" t="s">
        <v>45</v>
      </c>
      <c r="Q1209">
        <v>2024</v>
      </c>
    </row>
    <row r="1210" spans="1:17" x14ac:dyDescent="0.3">
      <c r="A1210" t="s">
        <v>16</v>
      </c>
      <c r="B1210" t="s">
        <v>23</v>
      </c>
      <c r="C1210" t="s">
        <v>18</v>
      </c>
      <c r="D1210" t="s">
        <v>96</v>
      </c>
      <c r="E1210" t="s">
        <v>34</v>
      </c>
      <c r="F1210">
        <v>137</v>
      </c>
      <c r="G1210">
        <v>14</v>
      </c>
      <c r="H1210">
        <v>35</v>
      </c>
      <c r="I1210">
        <v>4795</v>
      </c>
      <c r="J1210">
        <v>239.75</v>
      </c>
      <c r="K1210">
        <v>4555.25</v>
      </c>
      <c r="L1210">
        <v>1918</v>
      </c>
      <c r="M1210">
        <v>2637.25</v>
      </c>
      <c r="N1210">
        <v>45478</v>
      </c>
      <c r="O1210">
        <v>7</v>
      </c>
      <c r="P1210" t="s">
        <v>48</v>
      </c>
      <c r="Q1210">
        <v>2024</v>
      </c>
    </row>
    <row r="1211" spans="1:17" x14ac:dyDescent="0.3">
      <c r="A1211" t="s">
        <v>16</v>
      </c>
      <c r="B1211" t="s">
        <v>20</v>
      </c>
      <c r="C1211" t="s">
        <v>24</v>
      </c>
      <c r="D1211" t="s">
        <v>57</v>
      </c>
      <c r="E1211" t="s">
        <v>34</v>
      </c>
      <c r="F1211">
        <v>921</v>
      </c>
      <c r="G1211">
        <v>16</v>
      </c>
      <c r="H1211">
        <v>31</v>
      </c>
      <c r="I1211">
        <v>28551</v>
      </c>
      <c r="J1211">
        <v>1427.5500000000002</v>
      </c>
      <c r="K1211">
        <v>27123.45</v>
      </c>
      <c r="L1211">
        <v>14736</v>
      </c>
      <c r="M1211">
        <v>12387.45</v>
      </c>
      <c r="N1211">
        <v>45222</v>
      </c>
      <c r="O1211">
        <v>10</v>
      </c>
      <c r="P1211" t="s">
        <v>55</v>
      </c>
      <c r="Q1211">
        <v>2023</v>
      </c>
    </row>
    <row r="1212" spans="1:17" x14ac:dyDescent="0.3">
      <c r="A1212" t="s">
        <v>16</v>
      </c>
      <c r="B1212" t="s">
        <v>20</v>
      </c>
      <c r="C1212" t="s">
        <v>24</v>
      </c>
      <c r="D1212" t="s">
        <v>57</v>
      </c>
      <c r="E1212" t="s">
        <v>34</v>
      </c>
      <c r="F1212">
        <v>669</v>
      </c>
      <c r="G1212">
        <v>16</v>
      </c>
      <c r="H1212">
        <v>31</v>
      </c>
      <c r="I1212">
        <v>20739</v>
      </c>
      <c r="J1212">
        <v>1036.95</v>
      </c>
      <c r="K1212">
        <v>19702.05</v>
      </c>
      <c r="L1212">
        <v>10704</v>
      </c>
      <c r="M1212">
        <v>8998.0499999999993</v>
      </c>
      <c r="N1212">
        <v>45055</v>
      </c>
      <c r="O1212">
        <v>5</v>
      </c>
      <c r="P1212" t="s">
        <v>46</v>
      </c>
      <c r="Q1212">
        <v>2023</v>
      </c>
    </row>
    <row r="1213" spans="1:17" x14ac:dyDescent="0.3">
      <c r="A1213" t="s">
        <v>21</v>
      </c>
      <c r="B1213" t="s">
        <v>23</v>
      </c>
      <c r="C1213" t="s">
        <v>24</v>
      </c>
      <c r="D1213" t="s">
        <v>53</v>
      </c>
      <c r="E1213" t="s">
        <v>34</v>
      </c>
      <c r="F1213">
        <v>489</v>
      </c>
      <c r="G1213">
        <v>16</v>
      </c>
      <c r="H1213">
        <v>18</v>
      </c>
      <c r="I1213">
        <v>8802</v>
      </c>
      <c r="J1213">
        <v>440.1</v>
      </c>
      <c r="K1213">
        <v>8361.9</v>
      </c>
      <c r="L1213">
        <v>7824</v>
      </c>
      <c r="M1213">
        <v>537.89999999999964</v>
      </c>
      <c r="N1213">
        <v>45304</v>
      </c>
      <c r="O1213">
        <v>1</v>
      </c>
      <c r="P1213" t="s">
        <v>58</v>
      </c>
      <c r="Q1213">
        <v>2024</v>
      </c>
    </row>
    <row r="1214" spans="1:17" x14ac:dyDescent="0.3">
      <c r="A1214" t="s">
        <v>27</v>
      </c>
      <c r="B1214" t="s">
        <v>17</v>
      </c>
      <c r="C1214" t="s">
        <v>28</v>
      </c>
      <c r="D1214" t="s">
        <v>131</v>
      </c>
      <c r="E1214" t="s">
        <v>34</v>
      </c>
      <c r="F1214">
        <v>243</v>
      </c>
      <c r="G1214">
        <v>10</v>
      </c>
      <c r="H1214">
        <v>23</v>
      </c>
      <c r="I1214">
        <v>5589</v>
      </c>
      <c r="J1214">
        <v>279.45</v>
      </c>
      <c r="K1214">
        <v>5309.55</v>
      </c>
      <c r="L1214">
        <v>2430</v>
      </c>
      <c r="M1214">
        <v>2879.55</v>
      </c>
      <c r="N1214">
        <v>45710</v>
      </c>
      <c r="O1214">
        <v>2</v>
      </c>
      <c r="P1214" t="s">
        <v>52</v>
      </c>
      <c r="Q1214">
        <v>2025</v>
      </c>
    </row>
    <row r="1215" spans="1:17" x14ac:dyDescent="0.3">
      <c r="A1215" t="s">
        <v>16</v>
      </c>
      <c r="B1215" t="s">
        <v>23</v>
      </c>
      <c r="C1215" t="s">
        <v>28</v>
      </c>
      <c r="D1215" t="s">
        <v>66</v>
      </c>
      <c r="E1215" t="s">
        <v>34</v>
      </c>
      <c r="F1215">
        <v>658</v>
      </c>
      <c r="G1215">
        <v>11</v>
      </c>
      <c r="H1215">
        <v>21</v>
      </c>
      <c r="I1215">
        <v>13818</v>
      </c>
      <c r="J1215">
        <v>690.90000000000009</v>
      </c>
      <c r="K1215">
        <v>13127.1</v>
      </c>
      <c r="L1215">
        <v>7238</v>
      </c>
      <c r="M1215">
        <v>5889.1</v>
      </c>
      <c r="N1215">
        <v>45206</v>
      </c>
      <c r="O1215">
        <v>10</v>
      </c>
      <c r="P1215" t="s">
        <v>55</v>
      </c>
      <c r="Q1215">
        <v>2023</v>
      </c>
    </row>
    <row r="1216" spans="1:17" x14ac:dyDescent="0.3">
      <c r="A1216" t="s">
        <v>16</v>
      </c>
      <c r="B1216" t="s">
        <v>17</v>
      </c>
      <c r="C1216" t="s">
        <v>28</v>
      </c>
      <c r="D1216" t="s">
        <v>60</v>
      </c>
      <c r="E1216" t="s">
        <v>34</v>
      </c>
      <c r="F1216">
        <v>60</v>
      </c>
      <c r="G1216">
        <v>17</v>
      </c>
      <c r="H1216">
        <v>38</v>
      </c>
      <c r="I1216">
        <v>2280</v>
      </c>
      <c r="J1216">
        <v>114</v>
      </c>
      <c r="K1216">
        <v>2166</v>
      </c>
      <c r="L1216">
        <v>1020</v>
      </c>
      <c r="M1216">
        <v>1146</v>
      </c>
      <c r="N1216">
        <v>45170</v>
      </c>
      <c r="O1216">
        <v>9</v>
      </c>
      <c r="P1216" t="s">
        <v>40</v>
      </c>
      <c r="Q1216">
        <v>2023</v>
      </c>
    </row>
    <row r="1217" spans="1:17" x14ac:dyDescent="0.3">
      <c r="A1217" t="s">
        <v>25</v>
      </c>
      <c r="B1217" t="s">
        <v>17</v>
      </c>
      <c r="C1217" t="s">
        <v>28</v>
      </c>
      <c r="D1217" t="s">
        <v>63</v>
      </c>
      <c r="E1217" t="s">
        <v>34</v>
      </c>
      <c r="F1217">
        <v>155</v>
      </c>
      <c r="G1217">
        <v>11</v>
      </c>
      <c r="H1217">
        <v>21</v>
      </c>
      <c r="I1217">
        <v>3255</v>
      </c>
      <c r="J1217">
        <v>162.75</v>
      </c>
      <c r="K1217">
        <v>3092.25</v>
      </c>
      <c r="L1217">
        <v>1705</v>
      </c>
      <c r="M1217">
        <v>1387.25</v>
      </c>
      <c r="N1217">
        <v>45395</v>
      </c>
      <c r="O1217">
        <v>4</v>
      </c>
      <c r="P1217" t="s">
        <v>75</v>
      </c>
      <c r="Q1217">
        <v>2024</v>
      </c>
    </row>
    <row r="1218" spans="1:17" x14ac:dyDescent="0.3">
      <c r="A1218" t="s">
        <v>25</v>
      </c>
      <c r="B1218" t="s">
        <v>22</v>
      </c>
      <c r="C1218" t="s">
        <v>28</v>
      </c>
      <c r="D1218" t="s">
        <v>130</v>
      </c>
      <c r="E1218" t="s">
        <v>34</v>
      </c>
      <c r="F1218">
        <v>691</v>
      </c>
      <c r="G1218">
        <v>18</v>
      </c>
      <c r="H1218">
        <v>27</v>
      </c>
      <c r="I1218">
        <v>18657</v>
      </c>
      <c r="J1218">
        <v>932.85</v>
      </c>
      <c r="K1218">
        <v>17724.150000000001</v>
      </c>
      <c r="L1218">
        <v>12438</v>
      </c>
      <c r="M1218">
        <v>5286.1500000000015</v>
      </c>
      <c r="N1218">
        <v>45035</v>
      </c>
      <c r="O1218">
        <v>4</v>
      </c>
      <c r="P1218" t="s">
        <v>75</v>
      </c>
      <c r="Q1218">
        <v>2023</v>
      </c>
    </row>
    <row r="1219" spans="1:17" x14ac:dyDescent="0.3">
      <c r="A1219" t="s">
        <v>16</v>
      </c>
      <c r="B1219" t="s">
        <v>17</v>
      </c>
      <c r="C1219" t="s">
        <v>28</v>
      </c>
      <c r="D1219" t="s">
        <v>60</v>
      </c>
      <c r="E1219" t="s">
        <v>34</v>
      </c>
      <c r="F1219">
        <v>131</v>
      </c>
      <c r="G1219">
        <v>17</v>
      </c>
      <c r="H1219">
        <v>38</v>
      </c>
      <c r="I1219">
        <v>4978</v>
      </c>
      <c r="J1219">
        <v>248.9</v>
      </c>
      <c r="K1219">
        <v>4729.1000000000004</v>
      </c>
      <c r="L1219">
        <v>2227</v>
      </c>
      <c r="M1219">
        <v>2502.1000000000004</v>
      </c>
      <c r="N1219">
        <v>45143</v>
      </c>
      <c r="O1219">
        <v>8</v>
      </c>
      <c r="P1219" t="s">
        <v>62</v>
      </c>
      <c r="Q1219">
        <v>2023</v>
      </c>
    </row>
    <row r="1220" spans="1:17" x14ac:dyDescent="0.3">
      <c r="A1220" t="s">
        <v>21</v>
      </c>
      <c r="B1220" t="s">
        <v>23</v>
      </c>
      <c r="C1220" t="s">
        <v>28</v>
      </c>
      <c r="D1220" t="s">
        <v>61</v>
      </c>
      <c r="E1220" t="s">
        <v>34</v>
      </c>
      <c r="F1220">
        <v>128</v>
      </c>
      <c r="G1220">
        <v>13</v>
      </c>
      <c r="H1220">
        <v>33</v>
      </c>
      <c r="I1220">
        <v>4224</v>
      </c>
      <c r="J1220">
        <v>211.20000000000002</v>
      </c>
      <c r="K1220">
        <v>4012.8</v>
      </c>
      <c r="L1220">
        <v>1664</v>
      </c>
      <c r="M1220">
        <v>2348.8000000000002</v>
      </c>
      <c r="N1220">
        <v>45691</v>
      </c>
      <c r="O1220">
        <v>2</v>
      </c>
      <c r="P1220" t="s">
        <v>52</v>
      </c>
      <c r="Q1220">
        <v>2025</v>
      </c>
    </row>
    <row r="1221" spans="1:17" x14ac:dyDescent="0.3">
      <c r="A1221" t="s">
        <v>26</v>
      </c>
      <c r="B1221" t="s">
        <v>22</v>
      </c>
      <c r="C1221" t="s">
        <v>28</v>
      </c>
      <c r="D1221" t="s">
        <v>109</v>
      </c>
      <c r="E1221" t="s">
        <v>34</v>
      </c>
      <c r="F1221">
        <v>378</v>
      </c>
      <c r="G1221">
        <v>20</v>
      </c>
      <c r="H1221">
        <v>21</v>
      </c>
      <c r="I1221">
        <v>7938</v>
      </c>
      <c r="J1221">
        <v>396.90000000000003</v>
      </c>
      <c r="K1221">
        <v>7541.1</v>
      </c>
      <c r="L1221">
        <v>7560</v>
      </c>
      <c r="M1221">
        <v>-18.899999999999636</v>
      </c>
      <c r="N1221">
        <v>45511</v>
      </c>
      <c r="O1221">
        <v>8</v>
      </c>
      <c r="P1221" t="s">
        <v>62</v>
      </c>
      <c r="Q1221">
        <v>2024</v>
      </c>
    </row>
    <row r="1222" spans="1:17" x14ac:dyDescent="0.3">
      <c r="A1222" t="s">
        <v>16</v>
      </c>
      <c r="B1222" t="s">
        <v>20</v>
      </c>
      <c r="C1222" t="s">
        <v>28</v>
      </c>
      <c r="D1222" t="s">
        <v>64</v>
      </c>
      <c r="E1222" t="s">
        <v>34</v>
      </c>
      <c r="F1222">
        <v>212</v>
      </c>
      <c r="G1222">
        <v>14</v>
      </c>
      <c r="H1222">
        <v>22</v>
      </c>
      <c r="I1222">
        <v>4664</v>
      </c>
      <c r="J1222">
        <v>233.20000000000002</v>
      </c>
      <c r="K1222">
        <v>4430.8</v>
      </c>
      <c r="L1222">
        <v>2968</v>
      </c>
      <c r="M1222">
        <v>1462.8000000000002</v>
      </c>
      <c r="N1222">
        <v>45449</v>
      </c>
      <c r="O1222">
        <v>6</v>
      </c>
      <c r="P1222" t="s">
        <v>45</v>
      </c>
      <c r="Q1222">
        <v>2024</v>
      </c>
    </row>
    <row r="1223" spans="1:17" x14ac:dyDescent="0.3">
      <c r="A1223" t="s">
        <v>27</v>
      </c>
      <c r="B1223" t="s">
        <v>17</v>
      </c>
      <c r="C1223" t="s">
        <v>28</v>
      </c>
      <c r="D1223" t="s">
        <v>131</v>
      </c>
      <c r="E1223" t="s">
        <v>34</v>
      </c>
      <c r="F1223">
        <v>50</v>
      </c>
      <c r="G1223">
        <v>10</v>
      </c>
      <c r="H1223">
        <v>23</v>
      </c>
      <c r="I1223">
        <v>1150</v>
      </c>
      <c r="J1223">
        <v>57.5</v>
      </c>
      <c r="K1223">
        <v>1092.5</v>
      </c>
      <c r="L1223">
        <v>500</v>
      </c>
      <c r="M1223">
        <v>592.5</v>
      </c>
      <c r="N1223">
        <v>45247</v>
      </c>
      <c r="O1223">
        <v>11</v>
      </c>
      <c r="P1223" t="s">
        <v>43</v>
      </c>
      <c r="Q1223">
        <v>2023</v>
      </c>
    </row>
    <row r="1224" spans="1:17" x14ac:dyDescent="0.3">
      <c r="A1224" t="s">
        <v>16</v>
      </c>
      <c r="B1224" t="s">
        <v>22</v>
      </c>
      <c r="C1224" t="s">
        <v>29</v>
      </c>
      <c r="D1224" t="s">
        <v>94</v>
      </c>
      <c r="E1224" t="s">
        <v>34</v>
      </c>
      <c r="F1224">
        <v>698</v>
      </c>
      <c r="G1224">
        <v>19</v>
      </c>
      <c r="H1224">
        <v>22</v>
      </c>
      <c r="I1224">
        <v>15356</v>
      </c>
      <c r="J1224">
        <v>767.80000000000007</v>
      </c>
      <c r="K1224">
        <v>14588.2</v>
      </c>
      <c r="L1224">
        <v>13262</v>
      </c>
      <c r="M1224">
        <v>1326.2000000000007</v>
      </c>
      <c r="N1224">
        <v>45551</v>
      </c>
      <c r="O1224">
        <v>9</v>
      </c>
      <c r="P1224" t="s">
        <v>40</v>
      </c>
      <c r="Q1224">
        <v>2024</v>
      </c>
    </row>
    <row r="1225" spans="1:17" x14ac:dyDescent="0.3">
      <c r="A1225" t="s">
        <v>21</v>
      </c>
      <c r="B1225" t="s">
        <v>23</v>
      </c>
      <c r="C1225" t="s">
        <v>29</v>
      </c>
      <c r="D1225" t="s">
        <v>165</v>
      </c>
      <c r="E1225" t="s">
        <v>34</v>
      </c>
      <c r="F1225">
        <v>84</v>
      </c>
      <c r="G1225">
        <v>12</v>
      </c>
      <c r="H1225">
        <v>21</v>
      </c>
      <c r="I1225">
        <v>1764</v>
      </c>
      <c r="J1225">
        <v>88.2</v>
      </c>
      <c r="K1225">
        <v>1675.8</v>
      </c>
      <c r="L1225">
        <v>1008</v>
      </c>
      <c r="M1225">
        <v>667.8</v>
      </c>
      <c r="N1225">
        <v>45316</v>
      </c>
      <c r="O1225">
        <v>1</v>
      </c>
      <c r="P1225" t="s">
        <v>58</v>
      </c>
      <c r="Q1225">
        <v>2024</v>
      </c>
    </row>
    <row r="1226" spans="1:17" x14ac:dyDescent="0.3">
      <c r="A1226" t="s">
        <v>16</v>
      </c>
      <c r="B1226" t="s">
        <v>23</v>
      </c>
      <c r="C1226" t="s">
        <v>29</v>
      </c>
      <c r="D1226" t="s">
        <v>72</v>
      </c>
      <c r="E1226" t="s">
        <v>34</v>
      </c>
      <c r="F1226">
        <v>153</v>
      </c>
      <c r="G1226">
        <v>18</v>
      </c>
      <c r="H1226">
        <v>33</v>
      </c>
      <c r="I1226">
        <v>5049</v>
      </c>
      <c r="J1226">
        <v>252.45000000000002</v>
      </c>
      <c r="K1226">
        <v>4796.55</v>
      </c>
      <c r="L1226">
        <v>2754</v>
      </c>
      <c r="M1226">
        <v>2042.5500000000002</v>
      </c>
      <c r="N1226">
        <v>45381</v>
      </c>
      <c r="O1226">
        <v>3</v>
      </c>
      <c r="P1226" t="s">
        <v>38</v>
      </c>
      <c r="Q1226">
        <v>2024</v>
      </c>
    </row>
    <row r="1227" spans="1:17" x14ac:dyDescent="0.3">
      <c r="A1227" t="s">
        <v>16</v>
      </c>
      <c r="B1227" t="s">
        <v>17</v>
      </c>
      <c r="C1227" t="s">
        <v>29</v>
      </c>
      <c r="D1227" t="s">
        <v>113</v>
      </c>
      <c r="E1227" t="s">
        <v>34</v>
      </c>
      <c r="F1227">
        <v>455</v>
      </c>
      <c r="G1227">
        <v>18</v>
      </c>
      <c r="H1227">
        <v>23</v>
      </c>
      <c r="I1227">
        <v>10465</v>
      </c>
      <c r="J1227">
        <v>523.25</v>
      </c>
      <c r="K1227">
        <v>9941.75</v>
      </c>
      <c r="L1227">
        <v>8190</v>
      </c>
      <c r="M1227">
        <v>1751.75</v>
      </c>
      <c r="N1227">
        <v>45660</v>
      </c>
      <c r="O1227">
        <v>1</v>
      </c>
      <c r="P1227" t="s">
        <v>58</v>
      </c>
      <c r="Q1227">
        <v>2025</v>
      </c>
    </row>
    <row r="1228" spans="1:17" x14ac:dyDescent="0.3">
      <c r="A1228" t="s">
        <v>25</v>
      </c>
      <c r="B1228" t="s">
        <v>22</v>
      </c>
      <c r="C1228" t="s">
        <v>30</v>
      </c>
      <c r="D1228" t="s">
        <v>155</v>
      </c>
      <c r="E1228" t="s">
        <v>34</v>
      </c>
      <c r="F1228">
        <v>86</v>
      </c>
      <c r="G1228">
        <v>15</v>
      </c>
      <c r="H1228">
        <v>36</v>
      </c>
      <c r="I1228">
        <v>3096</v>
      </c>
      <c r="J1228">
        <v>154.80000000000001</v>
      </c>
      <c r="K1228">
        <v>2941.2</v>
      </c>
      <c r="L1228">
        <v>1290</v>
      </c>
      <c r="M1228">
        <v>1651.1999999999998</v>
      </c>
      <c r="N1228">
        <v>45427</v>
      </c>
      <c r="O1228">
        <v>5</v>
      </c>
      <c r="P1228" t="s">
        <v>46</v>
      </c>
      <c r="Q1228">
        <v>2024</v>
      </c>
    </row>
    <row r="1229" spans="1:17" x14ac:dyDescent="0.3">
      <c r="A1229" t="s">
        <v>26</v>
      </c>
      <c r="B1229" t="s">
        <v>23</v>
      </c>
      <c r="C1229" t="s">
        <v>30</v>
      </c>
      <c r="D1229" t="s">
        <v>139</v>
      </c>
      <c r="E1229" t="s">
        <v>34</v>
      </c>
      <c r="F1229">
        <v>745</v>
      </c>
      <c r="G1229">
        <v>11</v>
      </c>
      <c r="H1229">
        <v>22</v>
      </c>
      <c r="I1229">
        <v>16390</v>
      </c>
      <c r="J1229">
        <v>819.5</v>
      </c>
      <c r="K1229">
        <v>15570.5</v>
      </c>
      <c r="L1229">
        <v>8195</v>
      </c>
      <c r="M1229">
        <v>7375.5</v>
      </c>
      <c r="N1229">
        <v>45063</v>
      </c>
      <c r="O1229">
        <v>5</v>
      </c>
      <c r="P1229" t="s">
        <v>46</v>
      </c>
      <c r="Q1229">
        <v>2023</v>
      </c>
    </row>
    <row r="1230" spans="1:17" x14ac:dyDescent="0.3">
      <c r="A1230" t="s">
        <v>16</v>
      </c>
      <c r="B1230" t="s">
        <v>17</v>
      </c>
      <c r="C1230" t="s">
        <v>30</v>
      </c>
      <c r="D1230" t="s">
        <v>86</v>
      </c>
      <c r="E1230" t="s">
        <v>34</v>
      </c>
      <c r="F1230">
        <v>498</v>
      </c>
      <c r="G1230">
        <v>15</v>
      </c>
      <c r="H1230">
        <v>36</v>
      </c>
      <c r="I1230">
        <v>17928</v>
      </c>
      <c r="J1230">
        <v>896.40000000000009</v>
      </c>
      <c r="K1230">
        <v>17031.599999999999</v>
      </c>
      <c r="L1230">
        <v>7470</v>
      </c>
      <c r="M1230">
        <v>9561.5999999999985</v>
      </c>
      <c r="N1230">
        <v>45479</v>
      </c>
      <c r="O1230">
        <v>7</v>
      </c>
      <c r="P1230" t="s">
        <v>48</v>
      </c>
      <c r="Q1230">
        <v>2024</v>
      </c>
    </row>
    <row r="1231" spans="1:17" x14ac:dyDescent="0.3">
      <c r="A1231" t="s">
        <v>26</v>
      </c>
      <c r="B1231" t="s">
        <v>20</v>
      </c>
      <c r="C1231" t="s">
        <v>31</v>
      </c>
      <c r="D1231" t="s">
        <v>89</v>
      </c>
      <c r="E1231" t="s">
        <v>34</v>
      </c>
      <c r="F1231">
        <v>431</v>
      </c>
      <c r="G1231">
        <v>10</v>
      </c>
      <c r="H1231">
        <v>19</v>
      </c>
      <c r="I1231">
        <v>8189</v>
      </c>
      <c r="J1231">
        <v>409.45000000000005</v>
      </c>
      <c r="K1231">
        <v>7779.55</v>
      </c>
      <c r="L1231">
        <v>4310</v>
      </c>
      <c r="M1231">
        <v>3469.55</v>
      </c>
      <c r="N1231">
        <v>45603</v>
      </c>
      <c r="O1231">
        <v>11</v>
      </c>
      <c r="P1231" t="s">
        <v>43</v>
      </c>
      <c r="Q1231">
        <v>2024</v>
      </c>
    </row>
    <row r="1232" spans="1:17" x14ac:dyDescent="0.3">
      <c r="A1232" t="s">
        <v>16</v>
      </c>
      <c r="B1232" t="s">
        <v>23</v>
      </c>
      <c r="C1232" t="s">
        <v>31</v>
      </c>
      <c r="D1232" t="s">
        <v>157</v>
      </c>
      <c r="E1232" t="s">
        <v>34</v>
      </c>
      <c r="F1232">
        <v>531</v>
      </c>
      <c r="G1232">
        <v>14</v>
      </c>
      <c r="H1232">
        <v>32</v>
      </c>
      <c r="I1232">
        <v>16992</v>
      </c>
      <c r="J1232">
        <v>849.6</v>
      </c>
      <c r="K1232">
        <v>16142.4</v>
      </c>
      <c r="L1232">
        <v>7434</v>
      </c>
      <c r="M1232">
        <v>8708.4</v>
      </c>
      <c r="N1232">
        <v>45395</v>
      </c>
      <c r="O1232">
        <v>4</v>
      </c>
      <c r="P1232" t="s">
        <v>75</v>
      </c>
      <c r="Q1232">
        <v>2024</v>
      </c>
    </row>
    <row r="1233" spans="1:17" x14ac:dyDescent="0.3">
      <c r="A1233" t="s">
        <v>26</v>
      </c>
      <c r="B1233" t="s">
        <v>22</v>
      </c>
      <c r="C1233" t="s">
        <v>31</v>
      </c>
      <c r="D1233" t="s">
        <v>174</v>
      </c>
      <c r="E1233" t="s">
        <v>34</v>
      </c>
      <c r="F1233">
        <v>671</v>
      </c>
      <c r="G1233">
        <v>20</v>
      </c>
      <c r="H1233">
        <v>29</v>
      </c>
      <c r="I1233">
        <v>19459</v>
      </c>
      <c r="J1233">
        <v>972.95</v>
      </c>
      <c r="K1233">
        <v>18486.05</v>
      </c>
      <c r="L1233">
        <v>13420</v>
      </c>
      <c r="M1233">
        <v>5066.0499999999993</v>
      </c>
      <c r="N1233">
        <v>45614</v>
      </c>
      <c r="O1233">
        <v>11</v>
      </c>
      <c r="P1233" t="s">
        <v>43</v>
      </c>
      <c r="Q1233">
        <v>2024</v>
      </c>
    </row>
    <row r="1234" spans="1:17" x14ac:dyDescent="0.3">
      <c r="A1234" t="s">
        <v>26</v>
      </c>
      <c r="B1234" t="s">
        <v>23</v>
      </c>
      <c r="C1234" t="s">
        <v>31</v>
      </c>
      <c r="D1234" t="s">
        <v>158</v>
      </c>
      <c r="E1234" t="s">
        <v>34</v>
      </c>
      <c r="F1234">
        <v>52</v>
      </c>
      <c r="G1234">
        <v>20</v>
      </c>
      <c r="H1234">
        <v>35</v>
      </c>
      <c r="I1234">
        <v>1820</v>
      </c>
      <c r="J1234">
        <v>91</v>
      </c>
      <c r="K1234">
        <v>1729</v>
      </c>
      <c r="L1234">
        <v>1040</v>
      </c>
      <c r="M1234">
        <v>689</v>
      </c>
      <c r="N1234">
        <v>45698</v>
      </c>
      <c r="O1234">
        <v>2</v>
      </c>
      <c r="P1234" t="s">
        <v>52</v>
      </c>
      <c r="Q1234">
        <v>2025</v>
      </c>
    </row>
    <row r="1235" spans="1:17" x14ac:dyDescent="0.3">
      <c r="A1235" t="s">
        <v>16</v>
      </c>
      <c r="B1235" t="s">
        <v>23</v>
      </c>
      <c r="C1235" t="s">
        <v>31</v>
      </c>
      <c r="D1235" t="s">
        <v>157</v>
      </c>
      <c r="E1235" t="s">
        <v>34</v>
      </c>
      <c r="F1235">
        <v>955</v>
      </c>
      <c r="G1235">
        <v>14</v>
      </c>
      <c r="H1235">
        <v>32</v>
      </c>
      <c r="I1235">
        <v>30560</v>
      </c>
      <c r="J1235">
        <v>1528</v>
      </c>
      <c r="K1235">
        <v>29032</v>
      </c>
      <c r="L1235">
        <v>13370</v>
      </c>
      <c r="M1235">
        <v>15662</v>
      </c>
      <c r="N1235">
        <v>45131</v>
      </c>
      <c r="O1235">
        <v>7</v>
      </c>
      <c r="P1235" t="s">
        <v>48</v>
      </c>
      <c r="Q1235">
        <v>2023</v>
      </c>
    </row>
    <row r="1236" spans="1:17" x14ac:dyDescent="0.3">
      <c r="A1236" t="s">
        <v>21</v>
      </c>
      <c r="B1236" t="s">
        <v>23</v>
      </c>
      <c r="C1236" t="s">
        <v>31</v>
      </c>
      <c r="D1236" t="s">
        <v>197</v>
      </c>
      <c r="E1236" t="s">
        <v>34</v>
      </c>
      <c r="F1236">
        <v>710</v>
      </c>
      <c r="G1236">
        <v>16</v>
      </c>
      <c r="H1236">
        <v>35</v>
      </c>
      <c r="I1236">
        <v>24850</v>
      </c>
      <c r="J1236">
        <v>1242.5</v>
      </c>
      <c r="K1236">
        <v>23607.5</v>
      </c>
      <c r="L1236">
        <v>11360</v>
      </c>
      <c r="M1236">
        <v>12247.5</v>
      </c>
      <c r="N1236">
        <v>45288</v>
      </c>
      <c r="O1236">
        <v>12</v>
      </c>
      <c r="P1236" t="s">
        <v>77</v>
      </c>
      <c r="Q1236">
        <v>2023</v>
      </c>
    </row>
    <row r="1237" spans="1:17" x14ac:dyDescent="0.3">
      <c r="A1237" t="s">
        <v>16</v>
      </c>
      <c r="B1237" t="s">
        <v>36</v>
      </c>
      <c r="C1237" t="s">
        <v>28</v>
      </c>
      <c r="D1237" t="s">
        <v>69</v>
      </c>
      <c r="E1237" t="s">
        <v>34</v>
      </c>
      <c r="F1237">
        <v>171</v>
      </c>
      <c r="G1237">
        <v>20</v>
      </c>
      <c r="H1237">
        <v>25</v>
      </c>
      <c r="I1237">
        <v>4275</v>
      </c>
      <c r="J1237">
        <v>213.75</v>
      </c>
      <c r="K1237">
        <v>4061.25</v>
      </c>
      <c r="L1237">
        <v>3420</v>
      </c>
      <c r="M1237">
        <v>641.25</v>
      </c>
      <c r="N1237">
        <v>45124</v>
      </c>
      <c r="O1237">
        <v>7</v>
      </c>
      <c r="P1237" t="s">
        <v>48</v>
      </c>
      <c r="Q1237">
        <v>2023</v>
      </c>
    </row>
    <row r="1238" spans="1:17" x14ac:dyDescent="0.3">
      <c r="A1238" t="s">
        <v>16</v>
      </c>
      <c r="B1238" t="s">
        <v>23</v>
      </c>
      <c r="C1238" t="s">
        <v>18</v>
      </c>
      <c r="D1238" t="s">
        <v>96</v>
      </c>
      <c r="E1238" t="s">
        <v>34</v>
      </c>
      <c r="F1238">
        <v>309</v>
      </c>
      <c r="G1238">
        <v>14</v>
      </c>
      <c r="H1238">
        <v>35</v>
      </c>
      <c r="I1238">
        <v>10815</v>
      </c>
      <c r="J1238">
        <v>540.75</v>
      </c>
      <c r="K1238">
        <v>10274.25</v>
      </c>
      <c r="L1238">
        <v>4326</v>
      </c>
      <c r="M1238">
        <v>5948.25</v>
      </c>
      <c r="N1238">
        <v>45163</v>
      </c>
      <c r="O1238">
        <v>8</v>
      </c>
      <c r="P1238" t="s">
        <v>62</v>
      </c>
      <c r="Q1238">
        <v>2023</v>
      </c>
    </row>
    <row r="1239" spans="1:17" x14ac:dyDescent="0.3">
      <c r="A1239" t="s">
        <v>26</v>
      </c>
      <c r="B1239" t="s">
        <v>17</v>
      </c>
      <c r="C1239" t="s">
        <v>18</v>
      </c>
      <c r="D1239" t="s">
        <v>121</v>
      </c>
      <c r="E1239" t="s">
        <v>34</v>
      </c>
      <c r="F1239">
        <v>406</v>
      </c>
      <c r="G1239">
        <v>20</v>
      </c>
      <c r="H1239">
        <v>24</v>
      </c>
      <c r="I1239">
        <v>9744</v>
      </c>
      <c r="J1239">
        <v>487.20000000000005</v>
      </c>
      <c r="K1239">
        <v>9256.7999999999993</v>
      </c>
      <c r="L1239">
        <v>8120</v>
      </c>
      <c r="M1239">
        <v>1136.7999999999993</v>
      </c>
      <c r="N1239">
        <v>45349</v>
      </c>
      <c r="O1239">
        <v>2</v>
      </c>
      <c r="P1239" t="s">
        <v>52</v>
      </c>
      <c r="Q1239">
        <v>2024</v>
      </c>
    </row>
    <row r="1240" spans="1:17" x14ac:dyDescent="0.3">
      <c r="A1240" t="s">
        <v>26</v>
      </c>
      <c r="B1240" t="s">
        <v>23</v>
      </c>
      <c r="C1240" t="s">
        <v>18</v>
      </c>
      <c r="D1240" t="s">
        <v>183</v>
      </c>
      <c r="E1240" t="s">
        <v>34</v>
      </c>
      <c r="F1240">
        <v>286</v>
      </c>
      <c r="G1240">
        <v>12</v>
      </c>
      <c r="H1240">
        <v>26</v>
      </c>
      <c r="I1240">
        <v>7436</v>
      </c>
      <c r="J1240">
        <v>371.8</v>
      </c>
      <c r="K1240">
        <v>7064.2</v>
      </c>
      <c r="L1240">
        <v>3432</v>
      </c>
      <c r="M1240">
        <v>3632.2</v>
      </c>
      <c r="N1240">
        <v>45287</v>
      </c>
      <c r="O1240">
        <v>12</v>
      </c>
      <c r="P1240" t="s">
        <v>77</v>
      </c>
      <c r="Q1240">
        <v>2023</v>
      </c>
    </row>
    <row r="1241" spans="1:17" x14ac:dyDescent="0.3">
      <c r="A1241" t="s">
        <v>21</v>
      </c>
      <c r="B1241" t="s">
        <v>17</v>
      </c>
      <c r="C1241" t="s">
        <v>18</v>
      </c>
      <c r="D1241" t="s">
        <v>167</v>
      </c>
      <c r="E1241" t="s">
        <v>34</v>
      </c>
      <c r="F1241">
        <v>815</v>
      </c>
      <c r="G1241">
        <v>10</v>
      </c>
      <c r="H1241">
        <v>23</v>
      </c>
      <c r="I1241">
        <v>18745</v>
      </c>
      <c r="J1241">
        <v>937.25</v>
      </c>
      <c r="K1241">
        <v>17807.75</v>
      </c>
      <c r="L1241">
        <v>8150</v>
      </c>
      <c r="M1241">
        <v>9657.75</v>
      </c>
      <c r="N1241">
        <v>45729</v>
      </c>
      <c r="O1241">
        <v>3</v>
      </c>
      <c r="P1241" t="s">
        <v>38</v>
      </c>
      <c r="Q1241">
        <v>2025</v>
      </c>
    </row>
    <row r="1242" spans="1:17" x14ac:dyDescent="0.3">
      <c r="A1242" t="s">
        <v>21</v>
      </c>
      <c r="B1242" t="s">
        <v>36</v>
      </c>
      <c r="C1242" t="s">
        <v>24</v>
      </c>
      <c r="D1242" t="s">
        <v>59</v>
      </c>
      <c r="E1242" t="s">
        <v>34</v>
      </c>
      <c r="F1242">
        <v>766</v>
      </c>
      <c r="G1242">
        <v>10</v>
      </c>
      <c r="H1242">
        <v>19</v>
      </c>
      <c r="I1242">
        <v>14554</v>
      </c>
      <c r="J1242">
        <v>727.7</v>
      </c>
      <c r="K1242">
        <v>13826.3</v>
      </c>
      <c r="L1242">
        <v>7660</v>
      </c>
      <c r="M1242">
        <v>6166.2999999999993</v>
      </c>
      <c r="N1242">
        <v>45355</v>
      </c>
      <c r="O1242">
        <v>3</v>
      </c>
      <c r="P1242" t="s">
        <v>38</v>
      </c>
      <c r="Q1242">
        <v>2024</v>
      </c>
    </row>
    <row r="1243" spans="1:17" x14ac:dyDescent="0.3">
      <c r="A1243" t="s">
        <v>27</v>
      </c>
      <c r="B1243" t="s">
        <v>22</v>
      </c>
      <c r="C1243" t="s">
        <v>24</v>
      </c>
      <c r="D1243" t="s">
        <v>178</v>
      </c>
      <c r="E1243" t="s">
        <v>34</v>
      </c>
      <c r="F1243">
        <v>47</v>
      </c>
      <c r="G1243">
        <v>15</v>
      </c>
      <c r="H1243">
        <v>36</v>
      </c>
      <c r="I1243">
        <v>1692</v>
      </c>
      <c r="J1243">
        <v>84.600000000000009</v>
      </c>
      <c r="K1243">
        <v>1607.4</v>
      </c>
      <c r="L1243">
        <v>705</v>
      </c>
      <c r="M1243">
        <v>902.40000000000009</v>
      </c>
      <c r="N1243">
        <v>45633</v>
      </c>
      <c r="O1243">
        <v>12</v>
      </c>
      <c r="P1243" t="s">
        <v>77</v>
      </c>
      <c r="Q1243">
        <v>2024</v>
      </c>
    </row>
    <row r="1244" spans="1:17" x14ac:dyDescent="0.3">
      <c r="A1244" t="s">
        <v>16</v>
      </c>
      <c r="B1244" t="s">
        <v>23</v>
      </c>
      <c r="C1244" t="s">
        <v>24</v>
      </c>
      <c r="D1244" t="s">
        <v>163</v>
      </c>
      <c r="E1244" t="s">
        <v>34</v>
      </c>
      <c r="F1244">
        <v>146</v>
      </c>
      <c r="G1244">
        <v>15</v>
      </c>
      <c r="H1244">
        <v>34</v>
      </c>
      <c r="I1244">
        <v>4964</v>
      </c>
      <c r="J1244">
        <v>248.20000000000002</v>
      </c>
      <c r="K1244">
        <v>4715.8</v>
      </c>
      <c r="L1244">
        <v>2190</v>
      </c>
      <c r="M1244">
        <v>2525.8000000000002</v>
      </c>
      <c r="N1244">
        <v>45665</v>
      </c>
      <c r="O1244">
        <v>1</v>
      </c>
      <c r="P1244" t="s">
        <v>58</v>
      </c>
      <c r="Q1244">
        <v>2025</v>
      </c>
    </row>
    <row r="1245" spans="1:17" x14ac:dyDescent="0.3">
      <c r="A1245" t="s">
        <v>16</v>
      </c>
      <c r="B1245" t="s">
        <v>17</v>
      </c>
      <c r="C1245" t="s">
        <v>24</v>
      </c>
      <c r="D1245" t="s">
        <v>105</v>
      </c>
      <c r="E1245" t="s">
        <v>34</v>
      </c>
      <c r="F1245">
        <v>844</v>
      </c>
      <c r="G1245">
        <v>12</v>
      </c>
      <c r="H1245">
        <v>26</v>
      </c>
      <c r="I1245">
        <v>21944</v>
      </c>
      <c r="J1245">
        <v>1097.2</v>
      </c>
      <c r="K1245">
        <v>20846.8</v>
      </c>
      <c r="L1245">
        <v>10128</v>
      </c>
      <c r="M1245">
        <v>10718.8</v>
      </c>
      <c r="N1245">
        <v>45474</v>
      </c>
      <c r="O1245">
        <v>7</v>
      </c>
      <c r="P1245" t="s">
        <v>48</v>
      </c>
      <c r="Q1245">
        <v>2024</v>
      </c>
    </row>
    <row r="1246" spans="1:17" x14ac:dyDescent="0.3">
      <c r="A1246" t="s">
        <v>16</v>
      </c>
      <c r="B1246" t="s">
        <v>23</v>
      </c>
      <c r="C1246" t="s">
        <v>24</v>
      </c>
      <c r="D1246" t="s">
        <v>163</v>
      </c>
      <c r="E1246" t="s">
        <v>34</v>
      </c>
      <c r="F1246">
        <v>805</v>
      </c>
      <c r="G1246">
        <v>15</v>
      </c>
      <c r="H1246">
        <v>34</v>
      </c>
      <c r="I1246">
        <v>27370</v>
      </c>
      <c r="J1246">
        <v>1368.5</v>
      </c>
      <c r="K1246">
        <v>26001.5</v>
      </c>
      <c r="L1246">
        <v>12075</v>
      </c>
      <c r="M1246">
        <v>13926.5</v>
      </c>
      <c r="N1246">
        <v>45567</v>
      </c>
      <c r="O1246">
        <v>10</v>
      </c>
      <c r="P1246" t="s">
        <v>55</v>
      </c>
      <c r="Q1246">
        <v>2024</v>
      </c>
    </row>
    <row r="1247" spans="1:17" x14ac:dyDescent="0.3">
      <c r="A1247" t="s">
        <v>27</v>
      </c>
      <c r="B1247" t="s">
        <v>22</v>
      </c>
      <c r="C1247" t="s">
        <v>24</v>
      </c>
      <c r="D1247" t="s">
        <v>178</v>
      </c>
      <c r="E1247" t="s">
        <v>34</v>
      </c>
      <c r="F1247">
        <v>302</v>
      </c>
      <c r="G1247">
        <v>15</v>
      </c>
      <c r="H1247">
        <v>36</v>
      </c>
      <c r="I1247">
        <v>10872</v>
      </c>
      <c r="J1247">
        <v>543.6</v>
      </c>
      <c r="K1247">
        <v>10328.4</v>
      </c>
      <c r="L1247">
        <v>4530</v>
      </c>
      <c r="M1247">
        <v>5798.4</v>
      </c>
      <c r="N1247">
        <v>45202</v>
      </c>
      <c r="O1247">
        <v>10</v>
      </c>
      <c r="P1247" t="s">
        <v>55</v>
      </c>
      <c r="Q1247">
        <v>2023</v>
      </c>
    </row>
    <row r="1248" spans="1:17" x14ac:dyDescent="0.3">
      <c r="A1248" t="s">
        <v>27</v>
      </c>
      <c r="B1248" t="s">
        <v>36</v>
      </c>
      <c r="C1248" t="s">
        <v>28</v>
      </c>
      <c r="D1248" t="s">
        <v>112</v>
      </c>
      <c r="E1248" t="s">
        <v>34</v>
      </c>
      <c r="F1248">
        <v>710</v>
      </c>
      <c r="G1248">
        <v>10</v>
      </c>
      <c r="H1248">
        <v>19</v>
      </c>
      <c r="I1248">
        <v>13490</v>
      </c>
      <c r="J1248">
        <v>674.5</v>
      </c>
      <c r="K1248">
        <v>12815.5</v>
      </c>
      <c r="L1248">
        <v>7100</v>
      </c>
      <c r="M1248">
        <v>5715.5</v>
      </c>
      <c r="N1248">
        <v>45602</v>
      </c>
      <c r="O1248">
        <v>11</v>
      </c>
      <c r="P1248" t="s">
        <v>43</v>
      </c>
      <c r="Q1248">
        <v>2024</v>
      </c>
    </row>
    <row r="1249" spans="1:17" x14ac:dyDescent="0.3">
      <c r="A1249" t="s">
        <v>16</v>
      </c>
      <c r="B1249" t="s">
        <v>23</v>
      </c>
      <c r="C1249" t="s">
        <v>28</v>
      </c>
      <c r="D1249" t="s">
        <v>66</v>
      </c>
      <c r="E1249" t="s">
        <v>34</v>
      </c>
      <c r="F1249">
        <v>571</v>
      </c>
      <c r="G1249">
        <v>11</v>
      </c>
      <c r="H1249">
        <v>21</v>
      </c>
      <c r="I1249">
        <v>11991</v>
      </c>
      <c r="J1249">
        <v>599.55000000000007</v>
      </c>
      <c r="K1249">
        <v>11391.45</v>
      </c>
      <c r="L1249">
        <v>6281</v>
      </c>
      <c r="M1249">
        <v>5110.4500000000007</v>
      </c>
      <c r="N1249">
        <v>45242</v>
      </c>
      <c r="O1249">
        <v>11</v>
      </c>
      <c r="P1249" t="s">
        <v>43</v>
      </c>
      <c r="Q1249">
        <v>2023</v>
      </c>
    </row>
    <row r="1250" spans="1:17" x14ac:dyDescent="0.3">
      <c r="A1250" t="s">
        <v>26</v>
      </c>
      <c r="B1250" t="s">
        <v>23</v>
      </c>
      <c r="C1250" t="s">
        <v>28</v>
      </c>
      <c r="D1250" t="s">
        <v>110</v>
      </c>
      <c r="E1250" t="s">
        <v>34</v>
      </c>
      <c r="F1250">
        <v>967</v>
      </c>
      <c r="G1250">
        <v>20</v>
      </c>
      <c r="H1250">
        <v>25</v>
      </c>
      <c r="I1250">
        <v>24175</v>
      </c>
      <c r="J1250">
        <v>1208.75</v>
      </c>
      <c r="K1250">
        <v>22966.25</v>
      </c>
      <c r="L1250">
        <v>19340</v>
      </c>
      <c r="M1250">
        <v>3626.25</v>
      </c>
      <c r="N1250">
        <v>45170</v>
      </c>
      <c r="O1250">
        <v>9</v>
      </c>
      <c r="P1250" t="s">
        <v>40</v>
      </c>
      <c r="Q1250">
        <v>2023</v>
      </c>
    </row>
    <row r="1251" spans="1:17" x14ac:dyDescent="0.3">
      <c r="A1251" t="s">
        <v>16</v>
      </c>
      <c r="B1251" t="s">
        <v>23</v>
      </c>
      <c r="C1251" t="s">
        <v>28</v>
      </c>
      <c r="D1251" t="s">
        <v>66</v>
      </c>
      <c r="E1251" t="s">
        <v>34</v>
      </c>
      <c r="F1251">
        <v>908</v>
      </c>
      <c r="G1251">
        <v>11</v>
      </c>
      <c r="H1251">
        <v>21</v>
      </c>
      <c r="I1251">
        <v>19068</v>
      </c>
      <c r="J1251">
        <v>953.40000000000009</v>
      </c>
      <c r="K1251">
        <v>18114.599999999999</v>
      </c>
      <c r="L1251">
        <v>9988</v>
      </c>
      <c r="M1251">
        <v>8126.5999999999985</v>
      </c>
      <c r="N1251">
        <v>45248</v>
      </c>
      <c r="O1251">
        <v>11</v>
      </c>
      <c r="P1251" t="s">
        <v>43</v>
      </c>
      <c r="Q1251">
        <v>2023</v>
      </c>
    </row>
    <row r="1252" spans="1:17" x14ac:dyDescent="0.3">
      <c r="A1252" t="s">
        <v>16</v>
      </c>
      <c r="B1252" t="s">
        <v>23</v>
      </c>
      <c r="C1252" t="s">
        <v>28</v>
      </c>
      <c r="D1252" t="s">
        <v>66</v>
      </c>
      <c r="E1252" t="s">
        <v>34</v>
      </c>
      <c r="F1252">
        <v>71</v>
      </c>
      <c r="G1252">
        <v>11</v>
      </c>
      <c r="H1252">
        <v>21</v>
      </c>
      <c r="I1252">
        <v>1491</v>
      </c>
      <c r="J1252">
        <v>74.55</v>
      </c>
      <c r="K1252">
        <v>1416.45</v>
      </c>
      <c r="L1252">
        <v>781</v>
      </c>
      <c r="M1252">
        <v>635.45000000000005</v>
      </c>
      <c r="N1252">
        <v>45665</v>
      </c>
      <c r="O1252">
        <v>1</v>
      </c>
      <c r="P1252" t="s">
        <v>58</v>
      </c>
      <c r="Q1252">
        <v>2025</v>
      </c>
    </row>
    <row r="1253" spans="1:17" x14ac:dyDescent="0.3">
      <c r="A1253" t="s">
        <v>16</v>
      </c>
      <c r="B1253" t="s">
        <v>22</v>
      </c>
      <c r="C1253" t="s">
        <v>28</v>
      </c>
      <c r="D1253" t="s">
        <v>93</v>
      </c>
      <c r="E1253" t="s">
        <v>34</v>
      </c>
      <c r="F1253">
        <v>30</v>
      </c>
      <c r="G1253">
        <v>12</v>
      </c>
      <c r="H1253">
        <v>27</v>
      </c>
      <c r="I1253">
        <v>810</v>
      </c>
      <c r="J1253">
        <v>8.1</v>
      </c>
      <c r="K1253">
        <v>801.9</v>
      </c>
      <c r="L1253">
        <v>360</v>
      </c>
      <c r="M1253">
        <v>441.9</v>
      </c>
      <c r="N1253">
        <v>45350</v>
      </c>
      <c r="O1253">
        <v>2</v>
      </c>
      <c r="P1253" t="s">
        <v>52</v>
      </c>
      <c r="Q1253">
        <v>2024</v>
      </c>
    </row>
    <row r="1254" spans="1:17" x14ac:dyDescent="0.3">
      <c r="A1254" t="s">
        <v>27</v>
      </c>
      <c r="B1254" t="s">
        <v>20</v>
      </c>
      <c r="C1254" t="s">
        <v>28</v>
      </c>
      <c r="D1254" t="s">
        <v>128</v>
      </c>
      <c r="E1254" t="s">
        <v>34</v>
      </c>
      <c r="F1254">
        <v>526</v>
      </c>
      <c r="G1254">
        <v>14</v>
      </c>
      <c r="H1254">
        <v>16</v>
      </c>
      <c r="I1254">
        <v>8416</v>
      </c>
      <c r="J1254">
        <v>420.8</v>
      </c>
      <c r="K1254">
        <v>7995.2</v>
      </c>
      <c r="L1254">
        <v>7364</v>
      </c>
      <c r="M1254">
        <v>631.19999999999982</v>
      </c>
      <c r="N1254">
        <v>45543</v>
      </c>
      <c r="O1254">
        <v>9</v>
      </c>
      <c r="P1254" t="s">
        <v>40</v>
      </c>
      <c r="Q1254">
        <v>2024</v>
      </c>
    </row>
    <row r="1255" spans="1:17" x14ac:dyDescent="0.3">
      <c r="A1255" t="s">
        <v>27</v>
      </c>
      <c r="B1255" t="s">
        <v>23</v>
      </c>
      <c r="C1255" t="s">
        <v>28</v>
      </c>
      <c r="D1255" t="s">
        <v>68</v>
      </c>
      <c r="E1255" t="s">
        <v>34</v>
      </c>
      <c r="F1255">
        <v>320</v>
      </c>
      <c r="G1255">
        <v>11</v>
      </c>
      <c r="H1255">
        <v>33</v>
      </c>
      <c r="I1255">
        <v>10560</v>
      </c>
      <c r="J1255">
        <v>528</v>
      </c>
      <c r="K1255">
        <v>10032</v>
      </c>
      <c r="L1255">
        <v>3520</v>
      </c>
      <c r="M1255">
        <v>6512</v>
      </c>
      <c r="N1255">
        <v>45375</v>
      </c>
      <c r="O1255">
        <v>3</v>
      </c>
      <c r="P1255" t="s">
        <v>38</v>
      </c>
      <c r="Q1255">
        <v>2024</v>
      </c>
    </row>
    <row r="1256" spans="1:17" x14ac:dyDescent="0.3">
      <c r="A1256" t="s">
        <v>16</v>
      </c>
      <c r="B1256" t="s">
        <v>23</v>
      </c>
      <c r="C1256" t="s">
        <v>28</v>
      </c>
      <c r="D1256" t="s">
        <v>66</v>
      </c>
      <c r="E1256" t="s">
        <v>34</v>
      </c>
      <c r="F1256">
        <v>302</v>
      </c>
      <c r="G1256">
        <v>11</v>
      </c>
      <c r="H1256">
        <v>21</v>
      </c>
      <c r="I1256">
        <v>6342</v>
      </c>
      <c r="J1256">
        <v>317.10000000000002</v>
      </c>
      <c r="K1256">
        <v>6024.9</v>
      </c>
      <c r="L1256">
        <v>3322</v>
      </c>
      <c r="M1256">
        <v>2702.8999999999996</v>
      </c>
      <c r="N1256">
        <v>45530</v>
      </c>
      <c r="O1256">
        <v>8</v>
      </c>
      <c r="P1256" t="s">
        <v>62</v>
      </c>
      <c r="Q1256">
        <v>2024</v>
      </c>
    </row>
    <row r="1257" spans="1:17" x14ac:dyDescent="0.3">
      <c r="A1257" t="s">
        <v>21</v>
      </c>
      <c r="B1257" t="s">
        <v>23</v>
      </c>
      <c r="C1257" t="s">
        <v>28</v>
      </c>
      <c r="D1257" t="s">
        <v>61</v>
      </c>
      <c r="E1257" t="s">
        <v>34</v>
      </c>
      <c r="F1257">
        <v>240</v>
      </c>
      <c r="G1257">
        <v>13</v>
      </c>
      <c r="H1257">
        <v>33</v>
      </c>
      <c r="I1257">
        <v>7920</v>
      </c>
      <c r="J1257">
        <v>396</v>
      </c>
      <c r="K1257">
        <v>7524</v>
      </c>
      <c r="L1257">
        <v>3120</v>
      </c>
      <c r="M1257">
        <v>4404</v>
      </c>
      <c r="N1257">
        <v>45171</v>
      </c>
      <c r="O1257">
        <v>9</v>
      </c>
      <c r="P1257" t="s">
        <v>40</v>
      </c>
      <c r="Q1257">
        <v>2023</v>
      </c>
    </row>
    <row r="1258" spans="1:17" x14ac:dyDescent="0.3">
      <c r="A1258" t="s">
        <v>16</v>
      </c>
      <c r="B1258" t="s">
        <v>23</v>
      </c>
      <c r="C1258" t="s">
        <v>28</v>
      </c>
      <c r="D1258" t="s">
        <v>66</v>
      </c>
      <c r="E1258" t="s">
        <v>34</v>
      </c>
      <c r="F1258">
        <v>638</v>
      </c>
      <c r="G1258">
        <v>11</v>
      </c>
      <c r="H1258">
        <v>21</v>
      </c>
      <c r="I1258">
        <v>13398</v>
      </c>
      <c r="J1258">
        <v>669.90000000000009</v>
      </c>
      <c r="K1258">
        <v>12728.1</v>
      </c>
      <c r="L1258">
        <v>7018</v>
      </c>
      <c r="M1258">
        <v>5710.1</v>
      </c>
      <c r="N1258">
        <v>45257</v>
      </c>
      <c r="O1258">
        <v>11</v>
      </c>
      <c r="P1258" t="s">
        <v>43</v>
      </c>
      <c r="Q1258">
        <v>2023</v>
      </c>
    </row>
    <row r="1259" spans="1:17" x14ac:dyDescent="0.3">
      <c r="A1259" t="s">
        <v>16</v>
      </c>
      <c r="B1259" t="s">
        <v>23</v>
      </c>
      <c r="C1259" t="s">
        <v>29</v>
      </c>
      <c r="D1259" t="s">
        <v>72</v>
      </c>
      <c r="E1259" t="s">
        <v>34</v>
      </c>
      <c r="F1259">
        <v>836</v>
      </c>
      <c r="G1259">
        <v>18</v>
      </c>
      <c r="H1259">
        <v>33</v>
      </c>
      <c r="I1259">
        <v>27588</v>
      </c>
      <c r="J1259">
        <v>1379.4</v>
      </c>
      <c r="K1259">
        <v>26208.6</v>
      </c>
      <c r="L1259">
        <v>15048</v>
      </c>
      <c r="M1259">
        <v>11160.599999999999</v>
      </c>
      <c r="N1259">
        <v>45106</v>
      </c>
      <c r="O1259">
        <v>6</v>
      </c>
      <c r="P1259" t="s">
        <v>45</v>
      </c>
      <c r="Q1259">
        <v>2023</v>
      </c>
    </row>
    <row r="1260" spans="1:17" x14ac:dyDescent="0.3">
      <c r="A1260" t="s">
        <v>16</v>
      </c>
      <c r="B1260" t="s">
        <v>36</v>
      </c>
      <c r="C1260" t="s">
        <v>29</v>
      </c>
      <c r="D1260" t="s">
        <v>134</v>
      </c>
      <c r="E1260" t="s">
        <v>34</v>
      </c>
      <c r="F1260">
        <v>274</v>
      </c>
      <c r="G1260">
        <v>13</v>
      </c>
      <c r="H1260">
        <v>38</v>
      </c>
      <c r="I1260">
        <v>10412</v>
      </c>
      <c r="J1260">
        <v>520.6</v>
      </c>
      <c r="K1260">
        <v>9891.4</v>
      </c>
      <c r="L1260">
        <v>3562</v>
      </c>
      <c r="M1260">
        <v>6329.4</v>
      </c>
      <c r="N1260">
        <v>45705</v>
      </c>
      <c r="O1260">
        <v>2</v>
      </c>
      <c r="P1260" t="s">
        <v>52</v>
      </c>
      <c r="Q1260">
        <v>2025</v>
      </c>
    </row>
    <row r="1261" spans="1:17" x14ac:dyDescent="0.3">
      <c r="A1261" t="s">
        <v>16</v>
      </c>
      <c r="B1261" t="s">
        <v>23</v>
      </c>
      <c r="C1261" t="s">
        <v>29</v>
      </c>
      <c r="D1261" t="s">
        <v>72</v>
      </c>
      <c r="E1261" t="s">
        <v>34</v>
      </c>
      <c r="F1261">
        <v>222</v>
      </c>
      <c r="G1261">
        <v>18</v>
      </c>
      <c r="H1261">
        <v>33</v>
      </c>
      <c r="I1261">
        <v>7326</v>
      </c>
      <c r="J1261">
        <v>366.3</v>
      </c>
      <c r="K1261">
        <v>6959.7</v>
      </c>
      <c r="L1261">
        <v>3996</v>
      </c>
      <c r="M1261">
        <v>2963.7</v>
      </c>
      <c r="N1261">
        <v>45382</v>
      </c>
      <c r="O1261">
        <v>3</v>
      </c>
      <c r="P1261" t="s">
        <v>38</v>
      </c>
      <c r="Q1261">
        <v>2024</v>
      </c>
    </row>
    <row r="1262" spans="1:17" x14ac:dyDescent="0.3">
      <c r="A1262" t="s">
        <v>25</v>
      </c>
      <c r="B1262" t="s">
        <v>17</v>
      </c>
      <c r="C1262" t="s">
        <v>30</v>
      </c>
      <c r="D1262" t="s">
        <v>180</v>
      </c>
      <c r="E1262" t="s">
        <v>34</v>
      </c>
      <c r="F1262">
        <v>926</v>
      </c>
      <c r="G1262">
        <v>19</v>
      </c>
      <c r="H1262">
        <v>24</v>
      </c>
      <c r="I1262">
        <v>22224</v>
      </c>
      <c r="J1262">
        <v>1111.2</v>
      </c>
      <c r="K1262">
        <v>21112.799999999999</v>
      </c>
      <c r="L1262">
        <v>17594</v>
      </c>
      <c r="M1262">
        <v>3518.7999999999993</v>
      </c>
      <c r="N1262">
        <v>45277</v>
      </c>
      <c r="O1262">
        <v>12</v>
      </c>
      <c r="P1262" t="s">
        <v>77</v>
      </c>
      <c r="Q1262">
        <v>2023</v>
      </c>
    </row>
    <row r="1263" spans="1:17" x14ac:dyDescent="0.3">
      <c r="A1263" t="s">
        <v>21</v>
      </c>
      <c r="B1263" t="s">
        <v>22</v>
      </c>
      <c r="C1263" t="s">
        <v>30</v>
      </c>
      <c r="D1263" t="s">
        <v>82</v>
      </c>
      <c r="E1263" t="s">
        <v>34</v>
      </c>
      <c r="F1263">
        <v>794</v>
      </c>
      <c r="G1263">
        <v>14</v>
      </c>
      <c r="H1263">
        <v>30</v>
      </c>
      <c r="I1263">
        <v>23820</v>
      </c>
      <c r="J1263">
        <v>1191</v>
      </c>
      <c r="K1263">
        <v>22629</v>
      </c>
      <c r="L1263">
        <v>11116</v>
      </c>
      <c r="M1263">
        <v>11513</v>
      </c>
      <c r="N1263">
        <v>45550</v>
      </c>
      <c r="O1263">
        <v>9</v>
      </c>
      <c r="P1263" t="s">
        <v>40</v>
      </c>
      <c r="Q1263">
        <v>2024</v>
      </c>
    </row>
    <row r="1264" spans="1:17" x14ac:dyDescent="0.3">
      <c r="A1264" t="s">
        <v>16</v>
      </c>
      <c r="B1264" t="s">
        <v>17</v>
      </c>
      <c r="C1264" t="s">
        <v>30</v>
      </c>
      <c r="D1264" t="s">
        <v>86</v>
      </c>
      <c r="E1264" t="s">
        <v>34</v>
      </c>
      <c r="F1264">
        <v>648</v>
      </c>
      <c r="G1264">
        <v>15</v>
      </c>
      <c r="H1264">
        <v>36</v>
      </c>
      <c r="I1264">
        <v>23328</v>
      </c>
      <c r="J1264">
        <v>1166.4000000000001</v>
      </c>
      <c r="K1264">
        <v>22161.599999999999</v>
      </c>
      <c r="L1264">
        <v>9720</v>
      </c>
      <c r="M1264">
        <v>12441.599999999999</v>
      </c>
      <c r="N1264">
        <v>45340</v>
      </c>
      <c r="O1264">
        <v>2</v>
      </c>
      <c r="P1264" t="s">
        <v>52</v>
      </c>
      <c r="Q1264">
        <v>2024</v>
      </c>
    </row>
    <row r="1265" spans="1:17" x14ac:dyDescent="0.3">
      <c r="A1265" t="s">
        <v>16</v>
      </c>
      <c r="B1265" t="s">
        <v>36</v>
      </c>
      <c r="C1265" t="s">
        <v>30</v>
      </c>
      <c r="D1265" t="s">
        <v>141</v>
      </c>
      <c r="E1265" t="s">
        <v>34</v>
      </c>
      <c r="F1265">
        <v>480</v>
      </c>
      <c r="G1265">
        <v>13</v>
      </c>
      <c r="H1265">
        <v>25</v>
      </c>
      <c r="I1265">
        <v>12000</v>
      </c>
      <c r="J1265">
        <v>600</v>
      </c>
      <c r="K1265">
        <v>11400</v>
      </c>
      <c r="L1265">
        <v>6240</v>
      </c>
      <c r="M1265">
        <v>5160</v>
      </c>
      <c r="N1265">
        <v>45032</v>
      </c>
      <c r="O1265">
        <v>4</v>
      </c>
      <c r="P1265" t="s">
        <v>75</v>
      </c>
      <c r="Q1265">
        <v>2023</v>
      </c>
    </row>
    <row r="1266" spans="1:17" x14ac:dyDescent="0.3">
      <c r="A1266" t="s">
        <v>26</v>
      </c>
      <c r="B1266" t="s">
        <v>36</v>
      </c>
      <c r="C1266" t="s">
        <v>30</v>
      </c>
      <c r="D1266" t="s">
        <v>115</v>
      </c>
      <c r="E1266" t="s">
        <v>34</v>
      </c>
      <c r="F1266">
        <v>850</v>
      </c>
      <c r="G1266">
        <v>13</v>
      </c>
      <c r="H1266">
        <v>16</v>
      </c>
      <c r="I1266">
        <v>13600</v>
      </c>
      <c r="J1266">
        <v>680</v>
      </c>
      <c r="K1266">
        <v>12920</v>
      </c>
      <c r="L1266">
        <v>11050</v>
      </c>
      <c r="M1266">
        <v>1870</v>
      </c>
      <c r="N1266">
        <v>45489</v>
      </c>
      <c r="O1266">
        <v>7</v>
      </c>
      <c r="P1266" t="s">
        <v>48</v>
      </c>
      <c r="Q1266">
        <v>2024</v>
      </c>
    </row>
    <row r="1267" spans="1:17" x14ac:dyDescent="0.3">
      <c r="A1267" t="s">
        <v>16</v>
      </c>
      <c r="B1267" t="s">
        <v>23</v>
      </c>
      <c r="C1267" t="s">
        <v>30</v>
      </c>
      <c r="D1267" t="s">
        <v>119</v>
      </c>
      <c r="E1267" t="s">
        <v>34</v>
      </c>
      <c r="F1267">
        <v>127</v>
      </c>
      <c r="G1267">
        <v>18</v>
      </c>
      <c r="H1267">
        <v>19</v>
      </c>
      <c r="I1267">
        <v>2413</v>
      </c>
      <c r="J1267">
        <v>120.65</v>
      </c>
      <c r="K1267">
        <v>2292.35</v>
      </c>
      <c r="L1267">
        <v>2286</v>
      </c>
      <c r="M1267">
        <v>6.3499999999999091</v>
      </c>
      <c r="N1267">
        <v>45687</v>
      </c>
      <c r="O1267">
        <v>1</v>
      </c>
      <c r="P1267" t="s">
        <v>58</v>
      </c>
      <c r="Q1267">
        <v>2025</v>
      </c>
    </row>
    <row r="1268" spans="1:17" x14ac:dyDescent="0.3">
      <c r="A1268" t="s">
        <v>16</v>
      </c>
      <c r="B1268" t="s">
        <v>36</v>
      </c>
      <c r="C1268" t="s">
        <v>31</v>
      </c>
      <c r="D1268" t="s">
        <v>91</v>
      </c>
      <c r="E1268" t="s">
        <v>34</v>
      </c>
      <c r="F1268">
        <v>186</v>
      </c>
      <c r="G1268">
        <v>10</v>
      </c>
      <c r="H1268">
        <v>19</v>
      </c>
      <c r="I1268">
        <v>3534</v>
      </c>
      <c r="J1268">
        <v>176.70000000000002</v>
      </c>
      <c r="K1268">
        <v>3357.3</v>
      </c>
      <c r="L1268">
        <v>1860</v>
      </c>
      <c r="M1268">
        <v>1497.3000000000002</v>
      </c>
      <c r="N1268">
        <v>45338</v>
      </c>
      <c r="O1268">
        <v>2</v>
      </c>
      <c r="P1268" t="s">
        <v>52</v>
      </c>
      <c r="Q1268">
        <v>2024</v>
      </c>
    </row>
    <row r="1269" spans="1:17" x14ac:dyDescent="0.3">
      <c r="A1269" t="s">
        <v>16</v>
      </c>
      <c r="B1269" t="s">
        <v>22</v>
      </c>
      <c r="C1269" t="s">
        <v>31</v>
      </c>
      <c r="D1269" t="s">
        <v>87</v>
      </c>
      <c r="E1269" t="s">
        <v>34</v>
      </c>
      <c r="F1269">
        <v>796</v>
      </c>
      <c r="G1269">
        <v>19</v>
      </c>
      <c r="H1269">
        <v>19</v>
      </c>
      <c r="I1269">
        <v>15124</v>
      </c>
      <c r="J1269">
        <v>756.2</v>
      </c>
      <c r="K1269">
        <v>14367.8</v>
      </c>
      <c r="L1269">
        <v>15124</v>
      </c>
      <c r="M1269">
        <v>-756.20000000000073</v>
      </c>
      <c r="N1269">
        <v>45644</v>
      </c>
      <c r="O1269">
        <v>12</v>
      </c>
      <c r="P1269" t="s">
        <v>77</v>
      </c>
      <c r="Q1269">
        <v>2024</v>
      </c>
    </row>
    <row r="1270" spans="1:17" x14ac:dyDescent="0.3">
      <c r="A1270" t="s">
        <v>16</v>
      </c>
      <c r="B1270" t="s">
        <v>17</v>
      </c>
      <c r="C1270" t="s">
        <v>31</v>
      </c>
      <c r="D1270" t="s">
        <v>159</v>
      </c>
      <c r="E1270" t="s">
        <v>34</v>
      </c>
      <c r="F1270">
        <v>330</v>
      </c>
      <c r="G1270">
        <v>19</v>
      </c>
      <c r="H1270">
        <v>38</v>
      </c>
      <c r="I1270">
        <v>12540</v>
      </c>
      <c r="J1270">
        <v>627</v>
      </c>
      <c r="K1270">
        <v>11913</v>
      </c>
      <c r="L1270">
        <v>6270</v>
      </c>
      <c r="M1270">
        <v>5643</v>
      </c>
      <c r="N1270">
        <v>45526</v>
      </c>
      <c r="O1270">
        <v>8</v>
      </c>
      <c r="P1270" t="s">
        <v>62</v>
      </c>
      <c r="Q1270">
        <v>2024</v>
      </c>
    </row>
    <row r="1271" spans="1:17" x14ac:dyDescent="0.3">
      <c r="A1271" t="s">
        <v>21</v>
      </c>
      <c r="B1271" t="s">
        <v>36</v>
      </c>
      <c r="C1271" t="s">
        <v>31</v>
      </c>
      <c r="D1271" t="s">
        <v>92</v>
      </c>
      <c r="E1271" t="s">
        <v>34</v>
      </c>
      <c r="F1271">
        <v>51</v>
      </c>
      <c r="G1271">
        <v>10</v>
      </c>
      <c r="H1271">
        <v>20</v>
      </c>
      <c r="I1271">
        <v>1020</v>
      </c>
      <c r="J1271">
        <v>51</v>
      </c>
      <c r="K1271">
        <v>969</v>
      </c>
      <c r="L1271">
        <v>510</v>
      </c>
      <c r="M1271">
        <v>459</v>
      </c>
      <c r="N1271">
        <v>45660</v>
      </c>
      <c r="O1271">
        <v>1</v>
      </c>
      <c r="P1271" t="s">
        <v>58</v>
      </c>
      <c r="Q1271">
        <v>2025</v>
      </c>
    </row>
    <row r="1272" spans="1:17" x14ac:dyDescent="0.3">
      <c r="A1272" t="s">
        <v>16</v>
      </c>
      <c r="B1272" t="s">
        <v>22</v>
      </c>
      <c r="C1272" t="s">
        <v>18</v>
      </c>
      <c r="D1272" t="s">
        <v>103</v>
      </c>
      <c r="E1272" t="s">
        <v>34</v>
      </c>
      <c r="F1272">
        <v>367</v>
      </c>
      <c r="G1272">
        <v>11</v>
      </c>
      <c r="H1272">
        <v>20</v>
      </c>
      <c r="I1272">
        <v>7340</v>
      </c>
      <c r="J1272">
        <v>367</v>
      </c>
      <c r="K1272">
        <v>6973</v>
      </c>
      <c r="L1272">
        <v>4037</v>
      </c>
      <c r="M1272">
        <v>2936</v>
      </c>
      <c r="N1272">
        <v>45695</v>
      </c>
      <c r="O1272">
        <v>2</v>
      </c>
      <c r="P1272" t="s">
        <v>52</v>
      </c>
      <c r="Q1272">
        <v>2025</v>
      </c>
    </row>
    <row r="1273" spans="1:17" x14ac:dyDescent="0.3">
      <c r="A1273" t="s">
        <v>25</v>
      </c>
      <c r="B1273" t="s">
        <v>23</v>
      </c>
      <c r="C1273" t="s">
        <v>24</v>
      </c>
      <c r="D1273" t="s">
        <v>125</v>
      </c>
      <c r="E1273" t="s">
        <v>34</v>
      </c>
      <c r="F1273">
        <v>335</v>
      </c>
      <c r="G1273">
        <v>10</v>
      </c>
      <c r="H1273">
        <v>19</v>
      </c>
      <c r="I1273">
        <v>6365</v>
      </c>
      <c r="J1273">
        <v>318.25</v>
      </c>
      <c r="K1273">
        <v>6046.75</v>
      </c>
      <c r="L1273">
        <v>3350</v>
      </c>
      <c r="M1273">
        <v>2696.75</v>
      </c>
      <c r="N1273">
        <v>45526</v>
      </c>
      <c r="O1273">
        <v>8</v>
      </c>
      <c r="P1273" t="s">
        <v>62</v>
      </c>
      <c r="Q1273">
        <v>2024</v>
      </c>
    </row>
    <row r="1274" spans="1:17" x14ac:dyDescent="0.3">
      <c r="A1274" t="s">
        <v>16</v>
      </c>
      <c r="B1274" t="s">
        <v>20</v>
      </c>
      <c r="C1274" t="s">
        <v>28</v>
      </c>
      <c r="D1274" t="s">
        <v>64</v>
      </c>
      <c r="E1274" t="s">
        <v>34</v>
      </c>
      <c r="F1274">
        <v>753</v>
      </c>
      <c r="G1274">
        <v>14</v>
      </c>
      <c r="H1274">
        <v>22</v>
      </c>
      <c r="I1274">
        <v>16566</v>
      </c>
      <c r="J1274">
        <v>828.30000000000007</v>
      </c>
      <c r="K1274">
        <v>15737.7</v>
      </c>
      <c r="L1274">
        <v>10542</v>
      </c>
      <c r="M1274">
        <v>5195.7000000000007</v>
      </c>
      <c r="N1274">
        <v>45493</v>
      </c>
      <c r="O1274">
        <v>7</v>
      </c>
      <c r="P1274" t="s">
        <v>48</v>
      </c>
      <c r="Q1274">
        <v>2024</v>
      </c>
    </row>
    <row r="1275" spans="1:17" x14ac:dyDescent="0.3">
      <c r="A1275" t="s">
        <v>16</v>
      </c>
      <c r="B1275" t="s">
        <v>22</v>
      </c>
      <c r="C1275" t="s">
        <v>30</v>
      </c>
      <c r="D1275" t="s">
        <v>84</v>
      </c>
      <c r="E1275" t="s">
        <v>34</v>
      </c>
      <c r="F1275">
        <v>815</v>
      </c>
      <c r="G1275">
        <v>20</v>
      </c>
      <c r="H1275">
        <v>23</v>
      </c>
      <c r="I1275">
        <v>18745</v>
      </c>
      <c r="J1275">
        <v>937.25</v>
      </c>
      <c r="K1275">
        <v>17807.75</v>
      </c>
      <c r="L1275">
        <v>16300</v>
      </c>
      <c r="M1275">
        <v>1507.75</v>
      </c>
      <c r="N1275">
        <v>45147</v>
      </c>
      <c r="O1275">
        <v>8</v>
      </c>
      <c r="P1275" t="s">
        <v>62</v>
      </c>
      <c r="Q1275">
        <v>2023</v>
      </c>
    </row>
    <row r="1276" spans="1:17" x14ac:dyDescent="0.3">
      <c r="A1276" t="s">
        <v>16</v>
      </c>
      <c r="B1276" t="s">
        <v>20</v>
      </c>
      <c r="C1276" t="s">
        <v>30</v>
      </c>
      <c r="D1276" t="s">
        <v>114</v>
      </c>
      <c r="E1276" t="s">
        <v>34</v>
      </c>
      <c r="F1276">
        <v>324</v>
      </c>
      <c r="G1276">
        <v>13</v>
      </c>
      <c r="H1276">
        <v>38</v>
      </c>
      <c r="I1276">
        <v>12312</v>
      </c>
      <c r="J1276">
        <v>615.6</v>
      </c>
      <c r="K1276">
        <v>11696.4</v>
      </c>
      <c r="L1276">
        <v>4212</v>
      </c>
      <c r="M1276">
        <v>7484.4</v>
      </c>
      <c r="N1276">
        <v>45538</v>
      </c>
      <c r="O1276">
        <v>9</v>
      </c>
      <c r="P1276" t="s">
        <v>40</v>
      </c>
      <c r="Q1276">
        <v>2024</v>
      </c>
    </row>
    <row r="1277" spans="1:17" x14ac:dyDescent="0.3">
      <c r="A1277" t="s">
        <v>25</v>
      </c>
      <c r="B1277" t="s">
        <v>17</v>
      </c>
      <c r="C1277" t="s">
        <v>31</v>
      </c>
      <c r="D1277" t="s">
        <v>194</v>
      </c>
      <c r="E1277" t="s">
        <v>34</v>
      </c>
      <c r="F1277">
        <v>623</v>
      </c>
      <c r="G1277">
        <v>14</v>
      </c>
      <c r="H1277">
        <v>23</v>
      </c>
      <c r="I1277">
        <v>14329</v>
      </c>
      <c r="J1277">
        <v>716.45</v>
      </c>
      <c r="K1277">
        <v>13612.55</v>
      </c>
      <c r="L1277">
        <v>8722</v>
      </c>
      <c r="M1277">
        <v>4890.5499999999993</v>
      </c>
      <c r="N1277">
        <v>45236</v>
      </c>
      <c r="O1277">
        <v>11</v>
      </c>
      <c r="P1277" t="s">
        <v>43</v>
      </c>
      <c r="Q1277">
        <v>2023</v>
      </c>
    </row>
    <row r="1278" spans="1:17" x14ac:dyDescent="0.3">
      <c r="A1278" t="s">
        <v>21</v>
      </c>
      <c r="B1278" t="s">
        <v>36</v>
      </c>
      <c r="C1278" t="s">
        <v>18</v>
      </c>
      <c r="D1278" t="s">
        <v>169</v>
      </c>
      <c r="E1278" t="s">
        <v>34</v>
      </c>
      <c r="F1278">
        <v>831</v>
      </c>
      <c r="G1278">
        <v>19</v>
      </c>
      <c r="H1278">
        <v>18</v>
      </c>
      <c r="I1278">
        <v>14958</v>
      </c>
      <c r="J1278">
        <v>747.90000000000009</v>
      </c>
      <c r="K1278">
        <v>14210.1</v>
      </c>
      <c r="L1278">
        <v>15789</v>
      </c>
      <c r="M1278">
        <v>-1578.8999999999996</v>
      </c>
      <c r="N1278">
        <v>45513</v>
      </c>
      <c r="O1278">
        <v>8</v>
      </c>
      <c r="P1278" t="s">
        <v>62</v>
      </c>
      <c r="Q1278">
        <v>2024</v>
      </c>
    </row>
    <row r="1279" spans="1:17" x14ac:dyDescent="0.3">
      <c r="A1279" t="s">
        <v>21</v>
      </c>
      <c r="B1279" t="s">
        <v>36</v>
      </c>
      <c r="C1279" t="s">
        <v>30</v>
      </c>
      <c r="D1279" t="s">
        <v>175</v>
      </c>
      <c r="E1279" t="s">
        <v>34</v>
      </c>
      <c r="F1279">
        <v>803</v>
      </c>
      <c r="G1279">
        <v>11</v>
      </c>
      <c r="H1279">
        <v>21</v>
      </c>
      <c r="I1279">
        <v>16863</v>
      </c>
      <c r="J1279">
        <v>843.15000000000009</v>
      </c>
      <c r="K1279">
        <v>16019.85</v>
      </c>
      <c r="L1279">
        <v>8833</v>
      </c>
      <c r="M1279">
        <v>7186.85</v>
      </c>
      <c r="N1279">
        <v>45256</v>
      </c>
      <c r="O1279">
        <v>11</v>
      </c>
      <c r="P1279" t="s">
        <v>43</v>
      </c>
      <c r="Q1279">
        <v>2023</v>
      </c>
    </row>
    <row r="1280" spans="1:17" x14ac:dyDescent="0.3">
      <c r="A1280" t="s">
        <v>16</v>
      </c>
      <c r="B1280" t="s">
        <v>17</v>
      </c>
      <c r="C1280" t="s">
        <v>18</v>
      </c>
      <c r="D1280" t="s">
        <v>37</v>
      </c>
      <c r="E1280" t="s">
        <v>34</v>
      </c>
      <c r="F1280">
        <v>499</v>
      </c>
      <c r="G1280">
        <v>12</v>
      </c>
      <c r="H1280">
        <v>29</v>
      </c>
      <c r="I1280">
        <v>14471</v>
      </c>
      <c r="J1280">
        <v>723.55000000000007</v>
      </c>
      <c r="K1280">
        <v>13747.45</v>
      </c>
      <c r="L1280">
        <v>5988</v>
      </c>
      <c r="M1280">
        <v>7759.4500000000007</v>
      </c>
      <c r="N1280">
        <v>45270</v>
      </c>
      <c r="O1280">
        <v>12</v>
      </c>
      <c r="P1280" t="s">
        <v>77</v>
      </c>
      <c r="Q1280">
        <v>2023</v>
      </c>
    </row>
    <row r="1281" spans="1:17" x14ac:dyDescent="0.3">
      <c r="A1281" t="s">
        <v>16</v>
      </c>
      <c r="B1281" t="s">
        <v>22</v>
      </c>
      <c r="C1281" t="s">
        <v>18</v>
      </c>
      <c r="D1281" t="s">
        <v>103</v>
      </c>
      <c r="E1281" t="s">
        <v>34</v>
      </c>
      <c r="F1281">
        <v>691</v>
      </c>
      <c r="G1281">
        <v>11</v>
      </c>
      <c r="H1281">
        <v>20</v>
      </c>
      <c r="I1281">
        <v>13820</v>
      </c>
      <c r="J1281">
        <v>691</v>
      </c>
      <c r="K1281">
        <v>13129</v>
      </c>
      <c r="L1281">
        <v>7601</v>
      </c>
      <c r="M1281">
        <v>5528</v>
      </c>
      <c r="N1281">
        <v>45720</v>
      </c>
      <c r="O1281">
        <v>3</v>
      </c>
      <c r="P1281" t="s">
        <v>38</v>
      </c>
      <c r="Q1281">
        <v>2025</v>
      </c>
    </row>
    <row r="1282" spans="1:17" x14ac:dyDescent="0.3">
      <c r="A1282" t="s">
        <v>16</v>
      </c>
      <c r="B1282" t="s">
        <v>20</v>
      </c>
      <c r="C1282" t="s">
        <v>18</v>
      </c>
      <c r="D1282" t="s">
        <v>39</v>
      </c>
      <c r="E1282" t="s">
        <v>34</v>
      </c>
      <c r="F1282">
        <v>646</v>
      </c>
      <c r="G1282">
        <v>19</v>
      </c>
      <c r="H1282">
        <v>19</v>
      </c>
      <c r="I1282">
        <v>12274</v>
      </c>
      <c r="J1282">
        <v>613.70000000000005</v>
      </c>
      <c r="K1282">
        <v>11660.3</v>
      </c>
      <c r="L1282">
        <v>12274</v>
      </c>
      <c r="M1282">
        <v>-613.70000000000073</v>
      </c>
      <c r="N1282">
        <v>45086</v>
      </c>
      <c r="O1282">
        <v>6</v>
      </c>
      <c r="P1282" t="s">
        <v>45</v>
      </c>
      <c r="Q1282">
        <v>2023</v>
      </c>
    </row>
    <row r="1283" spans="1:17" x14ac:dyDescent="0.3">
      <c r="A1283" t="s">
        <v>16</v>
      </c>
      <c r="B1283" t="s">
        <v>36</v>
      </c>
      <c r="C1283" t="s">
        <v>24</v>
      </c>
      <c r="D1283" t="s">
        <v>124</v>
      </c>
      <c r="E1283" t="s">
        <v>34</v>
      </c>
      <c r="F1283">
        <v>42</v>
      </c>
      <c r="G1283">
        <v>15</v>
      </c>
      <c r="H1283">
        <v>34</v>
      </c>
      <c r="I1283">
        <v>1428</v>
      </c>
      <c r="J1283">
        <v>71.400000000000006</v>
      </c>
      <c r="K1283">
        <v>1356.6</v>
      </c>
      <c r="L1283">
        <v>630</v>
      </c>
      <c r="M1283">
        <v>726.59999999999991</v>
      </c>
      <c r="N1283">
        <v>45301</v>
      </c>
      <c r="O1283">
        <v>1</v>
      </c>
      <c r="P1283" t="s">
        <v>58</v>
      </c>
      <c r="Q1283">
        <v>2024</v>
      </c>
    </row>
    <row r="1284" spans="1:17" x14ac:dyDescent="0.3">
      <c r="A1284" t="s">
        <v>16</v>
      </c>
      <c r="B1284" t="s">
        <v>36</v>
      </c>
      <c r="C1284" t="s">
        <v>24</v>
      </c>
      <c r="D1284" t="s">
        <v>124</v>
      </c>
      <c r="E1284" t="s">
        <v>34</v>
      </c>
      <c r="F1284">
        <v>685</v>
      </c>
      <c r="G1284">
        <v>15</v>
      </c>
      <c r="H1284">
        <v>34</v>
      </c>
      <c r="I1284">
        <v>23290</v>
      </c>
      <c r="J1284">
        <v>1164.5</v>
      </c>
      <c r="K1284">
        <v>22125.5</v>
      </c>
      <c r="L1284">
        <v>10275</v>
      </c>
      <c r="M1284">
        <v>11850.5</v>
      </c>
      <c r="N1284">
        <v>45509</v>
      </c>
      <c r="O1284">
        <v>8</v>
      </c>
      <c r="P1284" t="s">
        <v>62</v>
      </c>
      <c r="Q1284">
        <v>2024</v>
      </c>
    </row>
    <row r="1285" spans="1:17" x14ac:dyDescent="0.3">
      <c r="A1285" t="s">
        <v>25</v>
      </c>
      <c r="B1285" t="s">
        <v>23</v>
      </c>
      <c r="C1285" t="s">
        <v>24</v>
      </c>
      <c r="D1285" t="s">
        <v>125</v>
      </c>
      <c r="E1285" t="s">
        <v>34</v>
      </c>
      <c r="F1285">
        <v>126</v>
      </c>
      <c r="G1285">
        <v>10</v>
      </c>
      <c r="H1285">
        <v>19</v>
      </c>
      <c r="I1285">
        <v>2394</v>
      </c>
      <c r="J1285">
        <v>119.7</v>
      </c>
      <c r="K1285">
        <v>2274.3000000000002</v>
      </c>
      <c r="L1285">
        <v>1260</v>
      </c>
      <c r="M1285">
        <v>1014.3000000000002</v>
      </c>
      <c r="N1285">
        <v>45564</v>
      </c>
      <c r="O1285">
        <v>9</v>
      </c>
      <c r="P1285" t="s">
        <v>40</v>
      </c>
      <c r="Q1285">
        <v>2024</v>
      </c>
    </row>
    <row r="1286" spans="1:17" x14ac:dyDescent="0.3">
      <c r="A1286" t="s">
        <v>16</v>
      </c>
      <c r="B1286" t="s">
        <v>23</v>
      </c>
      <c r="C1286" t="s">
        <v>24</v>
      </c>
      <c r="D1286" t="s">
        <v>163</v>
      </c>
      <c r="E1286" t="s">
        <v>34</v>
      </c>
      <c r="F1286">
        <v>263</v>
      </c>
      <c r="G1286">
        <v>15</v>
      </c>
      <c r="H1286">
        <v>34</v>
      </c>
      <c r="I1286">
        <v>8942</v>
      </c>
      <c r="J1286">
        <v>447.1</v>
      </c>
      <c r="K1286">
        <v>8494.9</v>
      </c>
      <c r="L1286">
        <v>3945</v>
      </c>
      <c r="M1286">
        <v>4549.8999999999996</v>
      </c>
      <c r="N1286">
        <v>45158</v>
      </c>
      <c r="O1286">
        <v>8</v>
      </c>
      <c r="P1286" t="s">
        <v>62</v>
      </c>
      <c r="Q1286">
        <v>2023</v>
      </c>
    </row>
    <row r="1287" spans="1:17" x14ac:dyDescent="0.3">
      <c r="A1287" t="s">
        <v>16</v>
      </c>
      <c r="B1287" t="s">
        <v>17</v>
      </c>
      <c r="C1287" t="s">
        <v>24</v>
      </c>
      <c r="D1287" t="s">
        <v>105</v>
      </c>
      <c r="E1287" t="s">
        <v>34</v>
      </c>
      <c r="F1287">
        <v>797</v>
      </c>
      <c r="G1287">
        <v>12</v>
      </c>
      <c r="H1287">
        <v>26</v>
      </c>
      <c r="I1287">
        <v>20722</v>
      </c>
      <c r="J1287">
        <v>1036.1000000000001</v>
      </c>
      <c r="K1287">
        <v>19685.900000000001</v>
      </c>
      <c r="L1287">
        <v>9564</v>
      </c>
      <c r="M1287">
        <v>10121.900000000001</v>
      </c>
      <c r="N1287">
        <v>45217</v>
      </c>
      <c r="O1287">
        <v>10</v>
      </c>
      <c r="P1287" t="s">
        <v>55</v>
      </c>
      <c r="Q1287">
        <v>2023</v>
      </c>
    </row>
    <row r="1288" spans="1:17" x14ac:dyDescent="0.3">
      <c r="A1288" t="s">
        <v>16</v>
      </c>
      <c r="B1288" t="s">
        <v>36</v>
      </c>
      <c r="C1288" t="s">
        <v>28</v>
      </c>
      <c r="D1288" t="s">
        <v>69</v>
      </c>
      <c r="E1288" t="s">
        <v>34</v>
      </c>
      <c r="F1288">
        <v>304</v>
      </c>
      <c r="G1288">
        <v>20</v>
      </c>
      <c r="H1288">
        <v>25</v>
      </c>
      <c r="I1288">
        <v>7600</v>
      </c>
      <c r="J1288">
        <v>380</v>
      </c>
      <c r="K1288">
        <v>7220</v>
      </c>
      <c r="L1288">
        <v>6080</v>
      </c>
      <c r="M1288">
        <v>1140</v>
      </c>
      <c r="N1288">
        <v>45645</v>
      </c>
      <c r="O1288">
        <v>12</v>
      </c>
      <c r="P1288" t="s">
        <v>77</v>
      </c>
      <c r="Q1288">
        <v>2024</v>
      </c>
    </row>
    <row r="1289" spans="1:17" x14ac:dyDescent="0.3">
      <c r="A1289" t="s">
        <v>27</v>
      </c>
      <c r="B1289" t="s">
        <v>20</v>
      </c>
      <c r="C1289" t="s">
        <v>28</v>
      </c>
      <c r="D1289" t="s">
        <v>128</v>
      </c>
      <c r="E1289" t="s">
        <v>34</v>
      </c>
      <c r="F1289">
        <v>806</v>
      </c>
      <c r="G1289">
        <v>14</v>
      </c>
      <c r="H1289">
        <v>16</v>
      </c>
      <c r="I1289">
        <v>12896</v>
      </c>
      <c r="J1289">
        <v>644.80000000000007</v>
      </c>
      <c r="K1289">
        <v>12251.2</v>
      </c>
      <c r="L1289">
        <v>11284</v>
      </c>
      <c r="M1289">
        <v>967.20000000000073</v>
      </c>
      <c r="N1289">
        <v>45098</v>
      </c>
      <c r="O1289">
        <v>6</v>
      </c>
      <c r="P1289" t="s">
        <v>45</v>
      </c>
      <c r="Q1289">
        <v>2023</v>
      </c>
    </row>
    <row r="1290" spans="1:17" x14ac:dyDescent="0.3">
      <c r="A1290" t="s">
        <v>16</v>
      </c>
      <c r="B1290" t="s">
        <v>36</v>
      </c>
      <c r="C1290" t="s">
        <v>28</v>
      </c>
      <c r="D1290" t="s">
        <v>69</v>
      </c>
      <c r="E1290" t="s">
        <v>34</v>
      </c>
      <c r="F1290">
        <v>423</v>
      </c>
      <c r="G1290">
        <v>20</v>
      </c>
      <c r="H1290">
        <v>25</v>
      </c>
      <c r="I1290">
        <v>10575</v>
      </c>
      <c r="J1290">
        <v>528.75</v>
      </c>
      <c r="K1290">
        <v>10046.25</v>
      </c>
      <c r="L1290">
        <v>8460</v>
      </c>
      <c r="M1290">
        <v>1586.25</v>
      </c>
      <c r="N1290">
        <v>45054</v>
      </c>
      <c r="O1290">
        <v>5</v>
      </c>
      <c r="P1290" t="s">
        <v>46</v>
      </c>
      <c r="Q1290">
        <v>2023</v>
      </c>
    </row>
    <row r="1291" spans="1:17" x14ac:dyDescent="0.3">
      <c r="A1291" t="s">
        <v>16</v>
      </c>
      <c r="B1291" t="s">
        <v>20</v>
      </c>
      <c r="C1291" t="s">
        <v>28</v>
      </c>
      <c r="D1291" t="s">
        <v>64</v>
      </c>
      <c r="E1291" t="s">
        <v>34</v>
      </c>
      <c r="F1291">
        <v>810</v>
      </c>
      <c r="G1291">
        <v>14</v>
      </c>
      <c r="H1291">
        <v>22</v>
      </c>
      <c r="I1291">
        <v>17820</v>
      </c>
      <c r="J1291">
        <v>891</v>
      </c>
      <c r="K1291">
        <v>16929</v>
      </c>
      <c r="L1291">
        <v>11340</v>
      </c>
      <c r="M1291">
        <v>5589</v>
      </c>
      <c r="N1291">
        <v>45620</v>
      </c>
      <c r="O1291">
        <v>11</v>
      </c>
      <c r="P1291" t="s">
        <v>43</v>
      </c>
      <c r="Q1291">
        <v>2024</v>
      </c>
    </row>
    <row r="1292" spans="1:17" x14ac:dyDescent="0.3">
      <c r="A1292" t="s">
        <v>16</v>
      </c>
      <c r="B1292" t="s">
        <v>17</v>
      </c>
      <c r="C1292" t="s">
        <v>28</v>
      </c>
      <c r="D1292" t="s">
        <v>60</v>
      </c>
      <c r="E1292" t="s">
        <v>34</v>
      </c>
      <c r="F1292">
        <v>730</v>
      </c>
      <c r="G1292">
        <v>17</v>
      </c>
      <c r="H1292">
        <v>38</v>
      </c>
      <c r="I1292">
        <v>27740</v>
      </c>
      <c r="J1292">
        <v>1387</v>
      </c>
      <c r="K1292">
        <v>26353</v>
      </c>
      <c r="L1292">
        <v>12410</v>
      </c>
      <c r="M1292">
        <v>13943</v>
      </c>
      <c r="N1292">
        <v>45594</v>
      </c>
      <c r="O1292">
        <v>10</v>
      </c>
      <c r="P1292" t="s">
        <v>55</v>
      </c>
      <c r="Q1292">
        <v>2024</v>
      </c>
    </row>
    <row r="1293" spans="1:17" x14ac:dyDescent="0.3">
      <c r="A1293" t="s">
        <v>26</v>
      </c>
      <c r="B1293" t="s">
        <v>17</v>
      </c>
      <c r="C1293" t="s">
        <v>28</v>
      </c>
      <c r="D1293" t="s">
        <v>132</v>
      </c>
      <c r="E1293" t="s">
        <v>34</v>
      </c>
      <c r="F1293">
        <v>646</v>
      </c>
      <c r="G1293">
        <v>14</v>
      </c>
      <c r="H1293">
        <v>19</v>
      </c>
      <c r="I1293">
        <v>12274</v>
      </c>
      <c r="J1293">
        <v>613.70000000000005</v>
      </c>
      <c r="K1293">
        <v>11660.3</v>
      </c>
      <c r="L1293">
        <v>9044</v>
      </c>
      <c r="M1293">
        <v>2616.2999999999993</v>
      </c>
      <c r="N1293">
        <v>45084</v>
      </c>
      <c r="O1293">
        <v>6</v>
      </c>
      <c r="P1293" t="s">
        <v>45</v>
      </c>
      <c r="Q1293">
        <v>2023</v>
      </c>
    </row>
    <row r="1294" spans="1:17" x14ac:dyDescent="0.3">
      <c r="A1294" t="s">
        <v>25</v>
      </c>
      <c r="B1294" t="s">
        <v>23</v>
      </c>
      <c r="C1294" t="s">
        <v>28</v>
      </c>
      <c r="D1294" t="s">
        <v>133</v>
      </c>
      <c r="E1294" t="s">
        <v>34</v>
      </c>
      <c r="F1294">
        <v>912</v>
      </c>
      <c r="G1294">
        <v>11</v>
      </c>
      <c r="H1294">
        <v>24</v>
      </c>
      <c r="I1294">
        <v>21888</v>
      </c>
      <c r="J1294">
        <v>1094.4000000000001</v>
      </c>
      <c r="K1294">
        <v>20793.599999999999</v>
      </c>
      <c r="L1294">
        <v>10032</v>
      </c>
      <c r="M1294">
        <v>10761.599999999999</v>
      </c>
      <c r="N1294">
        <v>45408</v>
      </c>
      <c r="O1294">
        <v>4</v>
      </c>
      <c r="P1294" t="s">
        <v>75</v>
      </c>
      <c r="Q1294">
        <v>2024</v>
      </c>
    </row>
    <row r="1295" spans="1:17" x14ac:dyDescent="0.3">
      <c r="A1295" t="s">
        <v>16</v>
      </c>
      <c r="B1295" t="s">
        <v>22</v>
      </c>
      <c r="C1295" t="s">
        <v>28</v>
      </c>
      <c r="D1295" t="s">
        <v>93</v>
      </c>
      <c r="E1295" t="s">
        <v>34</v>
      </c>
      <c r="F1295">
        <v>197</v>
      </c>
      <c r="G1295">
        <v>12</v>
      </c>
      <c r="H1295">
        <v>27</v>
      </c>
      <c r="I1295">
        <v>5319</v>
      </c>
      <c r="J1295">
        <v>265.95</v>
      </c>
      <c r="K1295">
        <v>5053.05</v>
      </c>
      <c r="L1295">
        <v>2364</v>
      </c>
      <c r="M1295">
        <v>2689.05</v>
      </c>
      <c r="N1295">
        <v>45344</v>
      </c>
      <c r="O1295">
        <v>2</v>
      </c>
      <c r="P1295" t="s">
        <v>52</v>
      </c>
      <c r="Q1295">
        <v>2024</v>
      </c>
    </row>
    <row r="1296" spans="1:17" x14ac:dyDescent="0.3">
      <c r="A1296" t="s">
        <v>21</v>
      </c>
      <c r="B1296" t="s">
        <v>17</v>
      </c>
      <c r="C1296" t="s">
        <v>28</v>
      </c>
      <c r="D1296" t="s">
        <v>71</v>
      </c>
      <c r="E1296" t="s">
        <v>34</v>
      </c>
      <c r="F1296">
        <v>501</v>
      </c>
      <c r="G1296">
        <v>17</v>
      </c>
      <c r="H1296">
        <v>25</v>
      </c>
      <c r="I1296">
        <v>12525</v>
      </c>
      <c r="J1296">
        <v>626.25</v>
      </c>
      <c r="K1296">
        <v>11898.75</v>
      </c>
      <c r="L1296">
        <v>8517</v>
      </c>
      <c r="M1296">
        <v>3381.75</v>
      </c>
      <c r="N1296">
        <v>45162</v>
      </c>
      <c r="O1296">
        <v>8</v>
      </c>
      <c r="P1296" t="s">
        <v>62</v>
      </c>
      <c r="Q1296">
        <v>2023</v>
      </c>
    </row>
    <row r="1297" spans="1:17" x14ac:dyDescent="0.3">
      <c r="A1297" t="s">
        <v>16</v>
      </c>
      <c r="B1297" t="s">
        <v>17</v>
      </c>
      <c r="C1297" t="s">
        <v>28</v>
      </c>
      <c r="D1297" t="s">
        <v>60</v>
      </c>
      <c r="E1297" t="s">
        <v>34</v>
      </c>
      <c r="F1297">
        <v>598</v>
      </c>
      <c r="G1297">
        <v>17</v>
      </c>
      <c r="H1297">
        <v>38</v>
      </c>
      <c r="I1297">
        <v>22724</v>
      </c>
      <c r="J1297">
        <v>1136.2</v>
      </c>
      <c r="K1297">
        <v>21587.8</v>
      </c>
      <c r="L1297">
        <v>10166</v>
      </c>
      <c r="M1297">
        <v>11421.8</v>
      </c>
      <c r="N1297">
        <v>45238</v>
      </c>
      <c r="O1297">
        <v>11</v>
      </c>
      <c r="P1297" t="s">
        <v>43</v>
      </c>
      <c r="Q1297">
        <v>2023</v>
      </c>
    </row>
    <row r="1298" spans="1:17" x14ac:dyDescent="0.3">
      <c r="A1298" t="s">
        <v>16</v>
      </c>
      <c r="B1298" t="s">
        <v>20</v>
      </c>
      <c r="C1298" t="s">
        <v>28</v>
      </c>
      <c r="D1298" t="s">
        <v>64</v>
      </c>
      <c r="E1298" t="s">
        <v>34</v>
      </c>
      <c r="F1298">
        <v>91</v>
      </c>
      <c r="G1298">
        <v>14</v>
      </c>
      <c r="H1298">
        <v>22</v>
      </c>
      <c r="I1298">
        <v>2002</v>
      </c>
      <c r="J1298">
        <v>100.10000000000001</v>
      </c>
      <c r="K1298">
        <v>1901.9</v>
      </c>
      <c r="L1298">
        <v>1274</v>
      </c>
      <c r="M1298">
        <v>627.90000000000009</v>
      </c>
      <c r="N1298">
        <v>45365</v>
      </c>
      <c r="O1298">
        <v>3</v>
      </c>
      <c r="P1298" t="s">
        <v>38</v>
      </c>
      <c r="Q1298">
        <v>2024</v>
      </c>
    </row>
    <row r="1299" spans="1:17" x14ac:dyDescent="0.3">
      <c r="A1299" t="s">
        <v>25</v>
      </c>
      <c r="B1299" t="s">
        <v>20</v>
      </c>
      <c r="C1299" t="s">
        <v>28</v>
      </c>
      <c r="D1299" t="s">
        <v>65</v>
      </c>
      <c r="E1299" t="s">
        <v>34</v>
      </c>
      <c r="F1299">
        <v>726</v>
      </c>
      <c r="G1299">
        <v>16</v>
      </c>
      <c r="H1299">
        <v>24</v>
      </c>
      <c r="I1299">
        <v>17424</v>
      </c>
      <c r="J1299">
        <v>871.2</v>
      </c>
      <c r="K1299">
        <v>16552.8</v>
      </c>
      <c r="L1299">
        <v>11616</v>
      </c>
      <c r="M1299">
        <v>4936.7999999999993</v>
      </c>
      <c r="N1299">
        <v>45406</v>
      </c>
      <c r="O1299">
        <v>4</v>
      </c>
      <c r="P1299" t="s">
        <v>75</v>
      </c>
      <c r="Q1299">
        <v>2024</v>
      </c>
    </row>
    <row r="1300" spans="1:17" x14ac:dyDescent="0.3">
      <c r="A1300" t="s">
        <v>21</v>
      </c>
      <c r="B1300" t="s">
        <v>22</v>
      </c>
      <c r="C1300" t="s">
        <v>29</v>
      </c>
      <c r="D1300" t="s">
        <v>198</v>
      </c>
      <c r="E1300" t="s">
        <v>34</v>
      </c>
      <c r="F1300">
        <v>652</v>
      </c>
      <c r="G1300">
        <v>12</v>
      </c>
      <c r="H1300">
        <v>18</v>
      </c>
      <c r="I1300">
        <v>11736</v>
      </c>
      <c r="J1300">
        <v>586.80000000000007</v>
      </c>
      <c r="K1300">
        <v>11149.2</v>
      </c>
      <c r="L1300">
        <v>7824</v>
      </c>
      <c r="M1300">
        <v>3325.2000000000007</v>
      </c>
      <c r="N1300">
        <v>45539</v>
      </c>
      <c r="O1300">
        <v>9</v>
      </c>
      <c r="P1300" t="s">
        <v>40</v>
      </c>
      <c r="Q1300">
        <v>2024</v>
      </c>
    </row>
    <row r="1301" spans="1:17" x14ac:dyDescent="0.3">
      <c r="A1301" t="s">
        <v>16</v>
      </c>
      <c r="B1301" t="s">
        <v>17</v>
      </c>
      <c r="C1301" t="s">
        <v>29</v>
      </c>
      <c r="D1301" t="s">
        <v>113</v>
      </c>
      <c r="E1301" t="s">
        <v>34</v>
      </c>
      <c r="F1301">
        <v>623</v>
      </c>
      <c r="G1301">
        <v>18</v>
      </c>
      <c r="H1301">
        <v>23</v>
      </c>
      <c r="I1301">
        <v>14329</v>
      </c>
      <c r="J1301">
        <v>716.45</v>
      </c>
      <c r="K1301">
        <v>13612.55</v>
      </c>
      <c r="L1301">
        <v>11214</v>
      </c>
      <c r="M1301">
        <v>2398.5499999999993</v>
      </c>
      <c r="N1301">
        <v>45655</v>
      </c>
      <c r="O1301">
        <v>12</v>
      </c>
      <c r="P1301" t="s">
        <v>77</v>
      </c>
      <c r="Q1301">
        <v>2024</v>
      </c>
    </row>
    <row r="1302" spans="1:17" x14ac:dyDescent="0.3">
      <c r="A1302" t="s">
        <v>16</v>
      </c>
      <c r="B1302" t="s">
        <v>22</v>
      </c>
      <c r="C1302" t="s">
        <v>29</v>
      </c>
      <c r="D1302" t="s">
        <v>94</v>
      </c>
      <c r="E1302" t="s">
        <v>34</v>
      </c>
      <c r="F1302">
        <v>448</v>
      </c>
      <c r="G1302">
        <v>19</v>
      </c>
      <c r="H1302">
        <v>22</v>
      </c>
      <c r="I1302">
        <v>9856</v>
      </c>
      <c r="J1302">
        <v>492.8</v>
      </c>
      <c r="K1302">
        <v>9363.2000000000007</v>
      </c>
      <c r="L1302">
        <v>8512</v>
      </c>
      <c r="M1302">
        <v>851.20000000000073</v>
      </c>
      <c r="N1302">
        <v>45223</v>
      </c>
      <c r="O1302">
        <v>10</v>
      </c>
      <c r="P1302" t="s">
        <v>55</v>
      </c>
      <c r="Q1302">
        <v>2023</v>
      </c>
    </row>
    <row r="1303" spans="1:17" x14ac:dyDescent="0.3">
      <c r="A1303" t="s">
        <v>25</v>
      </c>
      <c r="B1303" t="s">
        <v>23</v>
      </c>
      <c r="C1303" t="s">
        <v>29</v>
      </c>
      <c r="D1303" t="s">
        <v>138</v>
      </c>
      <c r="E1303" t="s">
        <v>34</v>
      </c>
      <c r="F1303">
        <v>335</v>
      </c>
      <c r="G1303">
        <v>16</v>
      </c>
      <c r="H1303">
        <v>31</v>
      </c>
      <c r="I1303">
        <v>10385</v>
      </c>
      <c r="J1303">
        <v>519.25</v>
      </c>
      <c r="K1303">
        <v>9865.75</v>
      </c>
      <c r="L1303">
        <v>5360</v>
      </c>
      <c r="M1303">
        <v>4505.75</v>
      </c>
      <c r="N1303">
        <v>45357</v>
      </c>
      <c r="O1303">
        <v>3</v>
      </c>
      <c r="P1303" t="s">
        <v>38</v>
      </c>
      <c r="Q1303">
        <v>2024</v>
      </c>
    </row>
    <row r="1304" spans="1:17" x14ac:dyDescent="0.3">
      <c r="A1304" t="s">
        <v>21</v>
      </c>
      <c r="B1304" t="s">
        <v>20</v>
      </c>
      <c r="C1304" t="s">
        <v>29</v>
      </c>
      <c r="D1304" t="s">
        <v>171</v>
      </c>
      <c r="E1304" t="s">
        <v>34</v>
      </c>
      <c r="F1304">
        <v>412</v>
      </c>
      <c r="G1304">
        <v>20</v>
      </c>
      <c r="H1304">
        <v>38</v>
      </c>
      <c r="I1304">
        <v>15656</v>
      </c>
      <c r="J1304">
        <v>782.80000000000007</v>
      </c>
      <c r="K1304">
        <v>14873.2</v>
      </c>
      <c r="L1304">
        <v>8240</v>
      </c>
      <c r="M1304">
        <v>6633.2000000000007</v>
      </c>
      <c r="N1304">
        <v>45512</v>
      </c>
      <c r="O1304">
        <v>8</v>
      </c>
      <c r="P1304" t="s">
        <v>62</v>
      </c>
      <c r="Q1304">
        <v>2024</v>
      </c>
    </row>
    <row r="1305" spans="1:17" x14ac:dyDescent="0.3">
      <c r="A1305" t="s">
        <v>25</v>
      </c>
      <c r="B1305" t="s">
        <v>23</v>
      </c>
      <c r="C1305" t="s">
        <v>29</v>
      </c>
      <c r="D1305" t="s">
        <v>138</v>
      </c>
      <c r="E1305" t="s">
        <v>34</v>
      </c>
      <c r="F1305">
        <v>826</v>
      </c>
      <c r="G1305">
        <v>16</v>
      </c>
      <c r="H1305">
        <v>31</v>
      </c>
      <c r="I1305">
        <v>25606</v>
      </c>
      <c r="J1305">
        <v>1280.3000000000002</v>
      </c>
      <c r="K1305">
        <v>24325.7</v>
      </c>
      <c r="L1305">
        <v>13216</v>
      </c>
      <c r="M1305">
        <v>11109.7</v>
      </c>
      <c r="N1305">
        <v>45282</v>
      </c>
      <c r="O1305">
        <v>12</v>
      </c>
      <c r="P1305" t="s">
        <v>77</v>
      </c>
      <c r="Q1305">
        <v>2023</v>
      </c>
    </row>
    <row r="1306" spans="1:17" x14ac:dyDescent="0.3">
      <c r="A1306" t="s">
        <v>27</v>
      </c>
      <c r="B1306" t="s">
        <v>23</v>
      </c>
      <c r="C1306" t="s">
        <v>29</v>
      </c>
      <c r="D1306" t="s">
        <v>186</v>
      </c>
      <c r="E1306" t="s">
        <v>34</v>
      </c>
      <c r="F1306">
        <v>684</v>
      </c>
      <c r="G1306">
        <v>18</v>
      </c>
      <c r="H1306">
        <v>35</v>
      </c>
      <c r="I1306">
        <v>23940</v>
      </c>
      <c r="J1306">
        <v>1197</v>
      </c>
      <c r="K1306">
        <v>22743</v>
      </c>
      <c r="L1306">
        <v>12312</v>
      </c>
      <c r="M1306">
        <v>10431</v>
      </c>
      <c r="N1306">
        <v>45164</v>
      </c>
      <c r="O1306">
        <v>8</v>
      </c>
      <c r="P1306" t="s">
        <v>62</v>
      </c>
      <c r="Q1306">
        <v>2023</v>
      </c>
    </row>
    <row r="1307" spans="1:17" x14ac:dyDescent="0.3">
      <c r="A1307" t="s">
        <v>25</v>
      </c>
      <c r="B1307" t="s">
        <v>20</v>
      </c>
      <c r="C1307" t="s">
        <v>29</v>
      </c>
      <c r="D1307" t="s">
        <v>74</v>
      </c>
      <c r="E1307" t="s">
        <v>34</v>
      </c>
      <c r="F1307">
        <v>495</v>
      </c>
      <c r="G1307">
        <v>13</v>
      </c>
      <c r="H1307">
        <v>26</v>
      </c>
      <c r="I1307">
        <v>12870</v>
      </c>
      <c r="J1307">
        <v>643.5</v>
      </c>
      <c r="K1307">
        <v>12226.5</v>
      </c>
      <c r="L1307">
        <v>6435</v>
      </c>
      <c r="M1307">
        <v>5791.5</v>
      </c>
      <c r="N1307">
        <v>45040</v>
      </c>
      <c r="O1307">
        <v>4</v>
      </c>
      <c r="P1307" t="s">
        <v>75</v>
      </c>
      <c r="Q1307">
        <v>2023</v>
      </c>
    </row>
    <row r="1308" spans="1:17" x14ac:dyDescent="0.3">
      <c r="A1308" t="s">
        <v>26</v>
      </c>
      <c r="B1308" t="s">
        <v>17</v>
      </c>
      <c r="C1308" t="s">
        <v>30</v>
      </c>
      <c r="D1308" t="s">
        <v>140</v>
      </c>
      <c r="E1308" t="s">
        <v>34</v>
      </c>
      <c r="F1308">
        <v>462</v>
      </c>
      <c r="G1308">
        <v>16</v>
      </c>
      <c r="H1308">
        <v>36</v>
      </c>
      <c r="I1308">
        <v>16632</v>
      </c>
      <c r="J1308">
        <v>831.6</v>
      </c>
      <c r="K1308">
        <v>15800.4</v>
      </c>
      <c r="L1308">
        <v>7392</v>
      </c>
      <c r="M1308">
        <v>8408.4</v>
      </c>
      <c r="N1308">
        <v>45711</v>
      </c>
      <c r="O1308">
        <v>2</v>
      </c>
      <c r="P1308" t="s">
        <v>52</v>
      </c>
      <c r="Q1308">
        <v>2025</v>
      </c>
    </row>
    <row r="1309" spans="1:17" x14ac:dyDescent="0.3">
      <c r="A1309" t="s">
        <v>21</v>
      </c>
      <c r="B1309" t="s">
        <v>17</v>
      </c>
      <c r="C1309" t="s">
        <v>30</v>
      </c>
      <c r="D1309" t="s">
        <v>173</v>
      </c>
      <c r="E1309" t="s">
        <v>34</v>
      </c>
      <c r="F1309">
        <v>558</v>
      </c>
      <c r="G1309">
        <v>16</v>
      </c>
      <c r="H1309">
        <v>31</v>
      </c>
      <c r="I1309">
        <v>17298</v>
      </c>
      <c r="J1309">
        <v>864.90000000000009</v>
      </c>
      <c r="K1309">
        <v>16433.099999999999</v>
      </c>
      <c r="L1309">
        <v>8928</v>
      </c>
      <c r="M1309">
        <v>7505.0999999999985</v>
      </c>
      <c r="N1309">
        <v>45553</v>
      </c>
      <c r="O1309">
        <v>9</v>
      </c>
      <c r="P1309" t="s">
        <v>40</v>
      </c>
      <c r="Q1309">
        <v>2024</v>
      </c>
    </row>
    <row r="1310" spans="1:17" x14ac:dyDescent="0.3">
      <c r="A1310" t="s">
        <v>26</v>
      </c>
      <c r="B1310" t="s">
        <v>17</v>
      </c>
      <c r="C1310" t="s">
        <v>31</v>
      </c>
      <c r="D1310" t="s">
        <v>181</v>
      </c>
      <c r="E1310" t="s">
        <v>34</v>
      </c>
      <c r="F1310">
        <v>919</v>
      </c>
      <c r="G1310">
        <v>14</v>
      </c>
      <c r="H1310">
        <v>20</v>
      </c>
      <c r="I1310">
        <v>18380</v>
      </c>
      <c r="J1310">
        <v>919</v>
      </c>
      <c r="K1310">
        <v>17461</v>
      </c>
      <c r="L1310">
        <v>12866</v>
      </c>
      <c r="M1310">
        <v>4595</v>
      </c>
      <c r="N1310">
        <v>45752</v>
      </c>
      <c r="O1310">
        <v>4</v>
      </c>
      <c r="P1310" t="s">
        <v>75</v>
      </c>
      <c r="Q1310">
        <v>2025</v>
      </c>
    </row>
    <row r="1311" spans="1:17" x14ac:dyDescent="0.3">
      <c r="A1311" t="s">
        <v>16</v>
      </c>
      <c r="B1311" t="s">
        <v>22</v>
      </c>
      <c r="C1311" t="s">
        <v>31</v>
      </c>
      <c r="D1311" t="s">
        <v>87</v>
      </c>
      <c r="E1311" t="s">
        <v>34</v>
      </c>
      <c r="F1311">
        <v>564</v>
      </c>
      <c r="G1311">
        <v>19</v>
      </c>
      <c r="H1311">
        <v>19</v>
      </c>
      <c r="I1311">
        <v>10716</v>
      </c>
      <c r="J1311">
        <v>535.80000000000007</v>
      </c>
      <c r="K1311">
        <v>10180.200000000001</v>
      </c>
      <c r="L1311">
        <v>10716</v>
      </c>
      <c r="M1311">
        <v>-535.79999999999927</v>
      </c>
      <c r="N1311">
        <v>45136</v>
      </c>
      <c r="O1311">
        <v>7</v>
      </c>
      <c r="P1311" t="s">
        <v>48</v>
      </c>
      <c r="Q1311">
        <v>2023</v>
      </c>
    </row>
    <row r="1312" spans="1:17" x14ac:dyDescent="0.3">
      <c r="A1312" t="s">
        <v>25</v>
      </c>
      <c r="B1312" t="s">
        <v>23</v>
      </c>
      <c r="C1312" t="s">
        <v>31</v>
      </c>
      <c r="D1312" t="s">
        <v>161</v>
      </c>
      <c r="E1312" t="s">
        <v>34</v>
      </c>
      <c r="F1312">
        <v>839</v>
      </c>
      <c r="G1312">
        <v>19</v>
      </c>
      <c r="H1312">
        <v>32</v>
      </c>
      <c r="I1312">
        <v>26848</v>
      </c>
      <c r="J1312">
        <v>1342.4</v>
      </c>
      <c r="K1312">
        <v>25505.599999999999</v>
      </c>
      <c r="L1312">
        <v>15941</v>
      </c>
      <c r="M1312">
        <v>9564.5999999999985</v>
      </c>
      <c r="N1312">
        <v>45590</v>
      </c>
      <c r="O1312">
        <v>10</v>
      </c>
      <c r="P1312" t="s">
        <v>55</v>
      </c>
      <c r="Q1312">
        <v>2024</v>
      </c>
    </row>
    <row r="1313" spans="1:17" x14ac:dyDescent="0.3">
      <c r="A1313" t="s">
        <v>25</v>
      </c>
      <c r="B1313" t="s">
        <v>20</v>
      </c>
      <c r="C1313" t="s">
        <v>31</v>
      </c>
      <c r="D1313" t="s">
        <v>195</v>
      </c>
      <c r="E1313" t="s">
        <v>34</v>
      </c>
      <c r="F1313">
        <v>480</v>
      </c>
      <c r="G1313">
        <v>16</v>
      </c>
      <c r="H1313">
        <v>34</v>
      </c>
      <c r="I1313">
        <v>16320</v>
      </c>
      <c r="J1313">
        <v>816</v>
      </c>
      <c r="K1313">
        <v>15504</v>
      </c>
      <c r="L1313">
        <v>7680</v>
      </c>
      <c r="M1313">
        <v>7824</v>
      </c>
      <c r="N1313">
        <v>45530</v>
      </c>
      <c r="O1313">
        <v>8</v>
      </c>
      <c r="P1313" t="s">
        <v>62</v>
      </c>
      <c r="Q1313">
        <v>2024</v>
      </c>
    </row>
    <row r="1314" spans="1:17" x14ac:dyDescent="0.3">
      <c r="A1314" t="s">
        <v>16</v>
      </c>
      <c r="B1314" t="s">
        <v>23</v>
      </c>
      <c r="C1314" t="s">
        <v>18</v>
      </c>
      <c r="D1314" t="s">
        <v>96</v>
      </c>
      <c r="E1314" t="s">
        <v>34</v>
      </c>
      <c r="F1314">
        <v>642</v>
      </c>
      <c r="G1314">
        <v>14</v>
      </c>
      <c r="H1314">
        <v>35</v>
      </c>
      <c r="I1314">
        <v>22470</v>
      </c>
      <c r="J1314">
        <v>1123.5</v>
      </c>
      <c r="K1314">
        <v>21346.5</v>
      </c>
      <c r="L1314">
        <v>8988</v>
      </c>
      <c r="M1314">
        <v>12358.5</v>
      </c>
      <c r="N1314">
        <v>45245</v>
      </c>
      <c r="O1314">
        <v>11</v>
      </c>
      <c r="P1314" t="s">
        <v>43</v>
      </c>
      <c r="Q1314">
        <v>2023</v>
      </c>
    </row>
    <row r="1315" spans="1:17" x14ac:dyDescent="0.3">
      <c r="A1315" t="s">
        <v>16</v>
      </c>
      <c r="B1315" t="s">
        <v>36</v>
      </c>
      <c r="C1315" t="s">
        <v>18</v>
      </c>
      <c r="D1315" t="s">
        <v>97</v>
      </c>
      <c r="E1315" t="s">
        <v>34</v>
      </c>
      <c r="F1315">
        <v>571</v>
      </c>
      <c r="G1315">
        <v>11</v>
      </c>
      <c r="H1315">
        <v>19</v>
      </c>
      <c r="I1315">
        <v>10849</v>
      </c>
      <c r="J1315">
        <v>542.45000000000005</v>
      </c>
      <c r="K1315">
        <v>10306.549999999999</v>
      </c>
      <c r="L1315">
        <v>6281</v>
      </c>
      <c r="M1315">
        <v>4025.5499999999993</v>
      </c>
      <c r="N1315">
        <v>45643</v>
      </c>
      <c r="O1315">
        <v>12</v>
      </c>
      <c r="P1315" t="s">
        <v>77</v>
      </c>
      <c r="Q1315">
        <v>2024</v>
      </c>
    </row>
    <row r="1316" spans="1:17" x14ac:dyDescent="0.3">
      <c r="A1316" t="s">
        <v>16</v>
      </c>
      <c r="B1316" t="s">
        <v>36</v>
      </c>
      <c r="C1316" t="s">
        <v>18</v>
      </c>
      <c r="D1316" t="s">
        <v>97</v>
      </c>
      <c r="E1316" t="s">
        <v>34</v>
      </c>
      <c r="F1316">
        <v>767</v>
      </c>
      <c r="G1316">
        <v>11</v>
      </c>
      <c r="H1316">
        <v>19</v>
      </c>
      <c r="I1316">
        <v>14573</v>
      </c>
      <c r="J1316">
        <v>728.65000000000009</v>
      </c>
      <c r="K1316">
        <v>13844.35</v>
      </c>
      <c r="L1316">
        <v>8437</v>
      </c>
      <c r="M1316">
        <v>5407.35</v>
      </c>
      <c r="N1316">
        <v>45371</v>
      </c>
      <c r="O1316">
        <v>3</v>
      </c>
      <c r="P1316" t="s">
        <v>38</v>
      </c>
      <c r="Q1316">
        <v>2024</v>
      </c>
    </row>
    <row r="1317" spans="1:17" x14ac:dyDescent="0.3">
      <c r="A1317" t="s">
        <v>16</v>
      </c>
      <c r="B1317" t="s">
        <v>20</v>
      </c>
      <c r="C1317" t="s">
        <v>18</v>
      </c>
      <c r="D1317" t="s">
        <v>39</v>
      </c>
      <c r="E1317" t="s">
        <v>34</v>
      </c>
      <c r="F1317">
        <v>969</v>
      </c>
      <c r="G1317">
        <v>19</v>
      </c>
      <c r="H1317">
        <v>19</v>
      </c>
      <c r="I1317">
        <v>18411</v>
      </c>
      <c r="J1317">
        <v>920.55000000000007</v>
      </c>
      <c r="K1317">
        <v>17490.45</v>
      </c>
      <c r="L1317">
        <v>18411</v>
      </c>
      <c r="M1317">
        <v>-920.54999999999927</v>
      </c>
      <c r="N1317">
        <v>45324</v>
      </c>
      <c r="O1317">
        <v>2</v>
      </c>
      <c r="P1317" t="s">
        <v>52</v>
      </c>
      <c r="Q1317">
        <v>2024</v>
      </c>
    </row>
    <row r="1318" spans="1:17" x14ac:dyDescent="0.3">
      <c r="A1318" t="s">
        <v>16</v>
      </c>
      <c r="B1318" t="s">
        <v>22</v>
      </c>
      <c r="C1318" t="s">
        <v>24</v>
      </c>
      <c r="D1318" t="s">
        <v>50</v>
      </c>
      <c r="E1318" t="s">
        <v>34</v>
      </c>
      <c r="F1318">
        <v>997</v>
      </c>
      <c r="G1318">
        <v>12</v>
      </c>
      <c r="H1318">
        <v>35</v>
      </c>
      <c r="I1318">
        <v>34895</v>
      </c>
      <c r="J1318">
        <v>1744.75</v>
      </c>
      <c r="K1318">
        <v>33150.25</v>
      </c>
      <c r="L1318">
        <v>11964</v>
      </c>
      <c r="M1318">
        <v>21186.25</v>
      </c>
      <c r="N1318">
        <v>45185</v>
      </c>
      <c r="O1318">
        <v>9</v>
      </c>
      <c r="P1318" t="s">
        <v>40</v>
      </c>
      <c r="Q1318">
        <v>2023</v>
      </c>
    </row>
    <row r="1319" spans="1:17" x14ac:dyDescent="0.3">
      <c r="A1319" t="s">
        <v>16</v>
      </c>
      <c r="B1319" t="s">
        <v>36</v>
      </c>
      <c r="C1319" t="s">
        <v>24</v>
      </c>
      <c r="D1319" t="s">
        <v>124</v>
      </c>
      <c r="E1319" t="s">
        <v>34</v>
      </c>
      <c r="F1319">
        <v>472</v>
      </c>
      <c r="G1319">
        <v>15</v>
      </c>
      <c r="H1319">
        <v>34</v>
      </c>
      <c r="I1319">
        <v>16048</v>
      </c>
      <c r="J1319">
        <v>802.40000000000009</v>
      </c>
      <c r="K1319">
        <v>15245.6</v>
      </c>
      <c r="L1319">
        <v>7080</v>
      </c>
      <c r="M1319">
        <v>8165.6</v>
      </c>
      <c r="N1319">
        <v>45519</v>
      </c>
      <c r="O1319">
        <v>8</v>
      </c>
      <c r="P1319" t="s">
        <v>62</v>
      </c>
      <c r="Q1319">
        <v>2024</v>
      </c>
    </row>
    <row r="1320" spans="1:17" x14ac:dyDescent="0.3">
      <c r="A1320" t="s">
        <v>21</v>
      </c>
      <c r="B1320" t="s">
        <v>20</v>
      </c>
      <c r="C1320" t="s">
        <v>28</v>
      </c>
      <c r="D1320" t="s">
        <v>111</v>
      </c>
      <c r="E1320" t="s">
        <v>34</v>
      </c>
      <c r="F1320">
        <v>46</v>
      </c>
      <c r="G1320">
        <v>16</v>
      </c>
      <c r="H1320">
        <v>27</v>
      </c>
      <c r="I1320">
        <v>1242</v>
      </c>
      <c r="J1320">
        <v>62.1</v>
      </c>
      <c r="K1320">
        <v>1179.9000000000001</v>
      </c>
      <c r="L1320">
        <v>736</v>
      </c>
      <c r="M1320">
        <v>443.90000000000009</v>
      </c>
      <c r="N1320">
        <v>45262</v>
      </c>
      <c r="O1320">
        <v>12</v>
      </c>
      <c r="P1320" t="s">
        <v>77</v>
      </c>
      <c r="Q1320">
        <v>2023</v>
      </c>
    </row>
    <row r="1321" spans="1:17" x14ac:dyDescent="0.3">
      <c r="A1321" t="s">
        <v>16</v>
      </c>
      <c r="B1321" t="s">
        <v>17</v>
      </c>
      <c r="C1321" t="s">
        <v>28</v>
      </c>
      <c r="D1321" t="s">
        <v>60</v>
      </c>
      <c r="E1321" t="s">
        <v>34</v>
      </c>
      <c r="F1321">
        <v>569</v>
      </c>
      <c r="G1321">
        <v>17</v>
      </c>
      <c r="H1321">
        <v>38</v>
      </c>
      <c r="I1321">
        <v>21622</v>
      </c>
      <c r="J1321">
        <v>1081.1000000000001</v>
      </c>
      <c r="K1321">
        <v>20540.900000000001</v>
      </c>
      <c r="L1321">
        <v>9673</v>
      </c>
      <c r="M1321">
        <v>10867.900000000001</v>
      </c>
      <c r="N1321">
        <v>45041</v>
      </c>
      <c r="O1321">
        <v>4</v>
      </c>
      <c r="P1321" t="s">
        <v>75</v>
      </c>
      <c r="Q1321">
        <v>2023</v>
      </c>
    </row>
    <row r="1322" spans="1:17" x14ac:dyDescent="0.3">
      <c r="A1322" t="s">
        <v>21</v>
      </c>
      <c r="B1322" t="s">
        <v>36</v>
      </c>
      <c r="C1322" t="s">
        <v>28</v>
      </c>
      <c r="D1322" t="s">
        <v>107</v>
      </c>
      <c r="E1322" t="s">
        <v>34</v>
      </c>
      <c r="F1322">
        <v>132</v>
      </c>
      <c r="G1322">
        <v>13</v>
      </c>
      <c r="H1322">
        <v>31</v>
      </c>
      <c r="I1322">
        <v>4092</v>
      </c>
      <c r="J1322">
        <v>204.60000000000002</v>
      </c>
      <c r="K1322">
        <v>3887.4</v>
      </c>
      <c r="L1322">
        <v>1716</v>
      </c>
      <c r="M1322">
        <v>2171.4</v>
      </c>
      <c r="N1322">
        <v>45297</v>
      </c>
      <c r="O1322">
        <v>1</v>
      </c>
      <c r="P1322" t="s">
        <v>58</v>
      </c>
      <c r="Q1322">
        <v>2024</v>
      </c>
    </row>
    <row r="1323" spans="1:17" x14ac:dyDescent="0.3">
      <c r="A1323" t="s">
        <v>25</v>
      </c>
      <c r="B1323" t="s">
        <v>22</v>
      </c>
      <c r="C1323" t="s">
        <v>28</v>
      </c>
      <c r="D1323" t="s">
        <v>130</v>
      </c>
      <c r="E1323" t="s">
        <v>34</v>
      </c>
      <c r="F1323">
        <v>616</v>
      </c>
      <c r="G1323">
        <v>18</v>
      </c>
      <c r="H1323">
        <v>27</v>
      </c>
      <c r="I1323">
        <v>16632</v>
      </c>
      <c r="J1323">
        <v>831.6</v>
      </c>
      <c r="K1323">
        <v>15800.4</v>
      </c>
      <c r="L1323">
        <v>11088</v>
      </c>
      <c r="M1323">
        <v>4712.3999999999996</v>
      </c>
      <c r="N1323">
        <v>45169</v>
      </c>
      <c r="O1323">
        <v>8</v>
      </c>
      <c r="P1323" t="s">
        <v>62</v>
      </c>
      <c r="Q1323">
        <v>2023</v>
      </c>
    </row>
    <row r="1324" spans="1:17" x14ac:dyDescent="0.3">
      <c r="A1324" t="s">
        <v>16</v>
      </c>
      <c r="B1324" t="s">
        <v>20</v>
      </c>
      <c r="C1324" t="s">
        <v>30</v>
      </c>
      <c r="D1324" t="s">
        <v>114</v>
      </c>
      <c r="E1324" t="s">
        <v>34</v>
      </c>
      <c r="F1324">
        <v>34</v>
      </c>
      <c r="G1324">
        <v>13</v>
      </c>
      <c r="H1324">
        <v>38</v>
      </c>
      <c r="I1324">
        <v>1292</v>
      </c>
      <c r="J1324">
        <v>64.600000000000009</v>
      </c>
      <c r="K1324">
        <v>1227.4000000000001</v>
      </c>
      <c r="L1324">
        <v>442</v>
      </c>
      <c r="M1324">
        <v>785.40000000000009</v>
      </c>
      <c r="N1324">
        <v>45173</v>
      </c>
      <c r="O1324">
        <v>9</v>
      </c>
      <c r="P1324" t="s">
        <v>40</v>
      </c>
      <c r="Q1324">
        <v>2023</v>
      </c>
    </row>
    <row r="1325" spans="1:17" x14ac:dyDescent="0.3">
      <c r="A1325" t="s">
        <v>25</v>
      </c>
      <c r="B1325" t="s">
        <v>22</v>
      </c>
      <c r="C1325" t="s">
        <v>31</v>
      </c>
      <c r="D1325" t="s">
        <v>192</v>
      </c>
      <c r="E1325" t="s">
        <v>34</v>
      </c>
      <c r="F1325">
        <v>914</v>
      </c>
      <c r="G1325">
        <v>10</v>
      </c>
      <c r="H1325">
        <v>38</v>
      </c>
      <c r="I1325">
        <v>34732</v>
      </c>
      <c r="J1325">
        <v>1736.6000000000001</v>
      </c>
      <c r="K1325">
        <v>32995.4</v>
      </c>
      <c r="L1325">
        <v>9140</v>
      </c>
      <c r="M1325">
        <v>23855.4</v>
      </c>
      <c r="N1325">
        <v>45632</v>
      </c>
      <c r="O1325">
        <v>12</v>
      </c>
      <c r="P1325" t="s">
        <v>77</v>
      </c>
      <c r="Q1325">
        <v>2024</v>
      </c>
    </row>
    <row r="1326" spans="1:17" x14ac:dyDescent="0.3">
      <c r="A1326" t="s">
        <v>25</v>
      </c>
      <c r="B1326" t="s">
        <v>36</v>
      </c>
      <c r="C1326" t="s">
        <v>31</v>
      </c>
      <c r="D1326" t="s">
        <v>88</v>
      </c>
      <c r="E1326" t="s">
        <v>34</v>
      </c>
      <c r="F1326">
        <v>698</v>
      </c>
      <c r="G1326">
        <v>15</v>
      </c>
      <c r="H1326">
        <v>34</v>
      </c>
      <c r="I1326">
        <v>23732</v>
      </c>
      <c r="J1326">
        <v>1186.6000000000001</v>
      </c>
      <c r="K1326">
        <v>22545.4</v>
      </c>
      <c r="L1326">
        <v>10470</v>
      </c>
      <c r="M1326">
        <v>12075.400000000001</v>
      </c>
      <c r="N1326">
        <v>45507</v>
      </c>
      <c r="O1326">
        <v>8</v>
      </c>
      <c r="P1326" t="s">
        <v>62</v>
      </c>
      <c r="Q1326">
        <v>2024</v>
      </c>
    </row>
    <row r="1327" spans="1:17" x14ac:dyDescent="0.3">
      <c r="A1327" t="s">
        <v>27</v>
      </c>
      <c r="B1327" t="s">
        <v>23</v>
      </c>
      <c r="C1327" t="s">
        <v>18</v>
      </c>
      <c r="D1327" t="s">
        <v>102</v>
      </c>
      <c r="E1327" t="s">
        <v>34</v>
      </c>
      <c r="F1327">
        <v>792</v>
      </c>
      <c r="G1327">
        <v>16</v>
      </c>
      <c r="H1327">
        <v>37</v>
      </c>
      <c r="I1327">
        <v>29304</v>
      </c>
      <c r="J1327">
        <v>1465.2</v>
      </c>
      <c r="K1327">
        <v>27838.799999999999</v>
      </c>
      <c r="L1327">
        <v>12672</v>
      </c>
      <c r="M1327">
        <v>15166.8</v>
      </c>
      <c r="N1327">
        <v>45039</v>
      </c>
      <c r="O1327">
        <v>4</v>
      </c>
      <c r="P1327" t="s">
        <v>75</v>
      </c>
      <c r="Q1327">
        <v>2023</v>
      </c>
    </row>
    <row r="1328" spans="1:17" x14ac:dyDescent="0.3">
      <c r="A1328" t="s">
        <v>26</v>
      </c>
      <c r="B1328" t="s">
        <v>22</v>
      </c>
      <c r="C1328" t="s">
        <v>18</v>
      </c>
      <c r="D1328" t="s">
        <v>145</v>
      </c>
      <c r="E1328" t="s">
        <v>34</v>
      </c>
      <c r="F1328">
        <v>418</v>
      </c>
      <c r="G1328">
        <v>10</v>
      </c>
      <c r="H1328">
        <v>23</v>
      </c>
      <c r="I1328">
        <v>9614</v>
      </c>
      <c r="J1328">
        <v>480.70000000000005</v>
      </c>
      <c r="K1328">
        <v>9133.2999999999993</v>
      </c>
      <c r="L1328">
        <v>4180</v>
      </c>
      <c r="M1328">
        <v>4953.2999999999993</v>
      </c>
      <c r="N1328">
        <v>45392</v>
      </c>
      <c r="O1328">
        <v>4</v>
      </c>
      <c r="P1328" t="s">
        <v>75</v>
      </c>
      <c r="Q1328">
        <v>2024</v>
      </c>
    </row>
    <row r="1329" spans="1:17" x14ac:dyDescent="0.3">
      <c r="A1329" t="s">
        <v>27</v>
      </c>
      <c r="B1329" t="s">
        <v>17</v>
      </c>
      <c r="C1329" t="s">
        <v>18</v>
      </c>
      <c r="D1329" t="s">
        <v>188</v>
      </c>
      <c r="E1329" t="s">
        <v>34</v>
      </c>
      <c r="F1329">
        <v>477</v>
      </c>
      <c r="G1329">
        <v>16</v>
      </c>
      <c r="H1329">
        <v>27</v>
      </c>
      <c r="I1329">
        <v>12879</v>
      </c>
      <c r="J1329">
        <v>643.95000000000005</v>
      </c>
      <c r="K1329">
        <v>12235.05</v>
      </c>
      <c r="L1329">
        <v>7632</v>
      </c>
      <c r="M1329">
        <v>4603.0499999999993</v>
      </c>
      <c r="N1329">
        <v>45054</v>
      </c>
      <c r="O1329">
        <v>5</v>
      </c>
      <c r="P1329" t="s">
        <v>46</v>
      </c>
      <c r="Q1329">
        <v>2023</v>
      </c>
    </row>
    <row r="1330" spans="1:17" x14ac:dyDescent="0.3">
      <c r="A1330" t="s">
        <v>27</v>
      </c>
      <c r="B1330" t="s">
        <v>36</v>
      </c>
      <c r="C1330" t="s">
        <v>18</v>
      </c>
      <c r="D1330" t="s">
        <v>162</v>
      </c>
      <c r="E1330" t="s">
        <v>34</v>
      </c>
      <c r="F1330">
        <v>755</v>
      </c>
      <c r="G1330">
        <v>17</v>
      </c>
      <c r="H1330">
        <v>23</v>
      </c>
      <c r="I1330">
        <v>17365</v>
      </c>
      <c r="J1330">
        <v>868.25</v>
      </c>
      <c r="K1330">
        <v>16496.75</v>
      </c>
      <c r="L1330">
        <v>12835</v>
      </c>
      <c r="M1330">
        <v>3661.75</v>
      </c>
      <c r="N1330">
        <v>45077</v>
      </c>
      <c r="O1330">
        <v>5</v>
      </c>
      <c r="P1330" t="s">
        <v>46</v>
      </c>
      <c r="Q1330">
        <v>2023</v>
      </c>
    </row>
    <row r="1331" spans="1:17" x14ac:dyDescent="0.3">
      <c r="A1331" t="s">
        <v>21</v>
      </c>
      <c r="B1331" t="s">
        <v>20</v>
      </c>
      <c r="C1331" t="s">
        <v>18</v>
      </c>
      <c r="D1331" t="s">
        <v>42</v>
      </c>
      <c r="E1331" t="s">
        <v>34</v>
      </c>
      <c r="F1331">
        <v>297</v>
      </c>
      <c r="G1331">
        <v>14</v>
      </c>
      <c r="H1331">
        <v>21</v>
      </c>
      <c r="I1331">
        <v>6237</v>
      </c>
      <c r="J1331">
        <v>311.85000000000002</v>
      </c>
      <c r="K1331">
        <v>5925.15</v>
      </c>
      <c r="L1331">
        <v>4158</v>
      </c>
      <c r="M1331">
        <v>1767.1499999999996</v>
      </c>
      <c r="N1331">
        <v>45154</v>
      </c>
      <c r="O1331">
        <v>8</v>
      </c>
      <c r="P1331" t="s">
        <v>62</v>
      </c>
      <c r="Q1331">
        <v>2023</v>
      </c>
    </row>
    <row r="1332" spans="1:17" x14ac:dyDescent="0.3">
      <c r="A1332" t="s">
        <v>21</v>
      </c>
      <c r="B1332" t="s">
        <v>17</v>
      </c>
      <c r="C1332" t="s">
        <v>18</v>
      </c>
      <c r="D1332" t="s">
        <v>167</v>
      </c>
      <c r="E1332" t="s">
        <v>34</v>
      </c>
      <c r="F1332">
        <v>594</v>
      </c>
      <c r="G1332">
        <v>10</v>
      </c>
      <c r="H1332">
        <v>23</v>
      </c>
      <c r="I1332">
        <v>13662</v>
      </c>
      <c r="J1332">
        <v>683.1</v>
      </c>
      <c r="K1332">
        <v>12978.9</v>
      </c>
      <c r="L1332">
        <v>5940</v>
      </c>
      <c r="M1332">
        <v>7038.9</v>
      </c>
      <c r="N1332">
        <v>45421</v>
      </c>
      <c r="O1332">
        <v>5</v>
      </c>
      <c r="P1332" t="s">
        <v>46</v>
      </c>
      <c r="Q1332">
        <v>2024</v>
      </c>
    </row>
    <row r="1333" spans="1:17" x14ac:dyDescent="0.3">
      <c r="A1333" t="s">
        <v>26</v>
      </c>
      <c r="B1333" t="s">
        <v>23</v>
      </c>
      <c r="C1333" t="s">
        <v>18</v>
      </c>
      <c r="D1333" t="s">
        <v>183</v>
      </c>
      <c r="E1333" t="s">
        <v>34</v>
      </c>
      <c r="F1333">
        <v>447</v>
      </c>
      <c r="G1333">
        <v>12</v>
      </c>
      <c r="H1333">
        <v>26</v>
      </c>
      <c r="I1333">
        <v>11622</v>
      </c>
      <c r="J1333">
        <v>581.1</v>
      </c>
      <c r="K1333">
        <v>11040.9</v>
      </c>
      <c r="L1333">
        <v>5364</v>
      </c>
      <c r="M1333">
        <v>5676.9</v>
      </c>
      <c r="N1333">
        <v>45320</v>
      </c>
      <c r="O1333">
        <v>1</v>
      </c>
      <c r="P1333" t="s">
        <v>58</v>
      </c>
      <c r="Q1333">
        <v>2024</v>
      </c>
    </row>
    <row r="1334" spans="1:17" x14ac:dyDescent="0.3">
      <c r="A1334" t="s">
        <v>16</v>
      </c>
      <c r="B1334" t="s">
        <v>17</v>
      </c>
      <c r="C1334" t="s">
        <v>24</v>
      </c>
      <c r="D1334" t="s">
        <v>105</v>
      </c>
      <c r="E1334" t="s">
        <v>34</v>
      </c>
      <c r="F1334">
        <v>204</v>
      </c>
      <c r="G1334">
        <v>12</v>
      </c>
      <c r="H1334">
        <v>26</v>
      </c>
      <c r="I1334">
        <v>5304</v>
      </c>
      <c r="J1334">
        <v>265.2</v>
      </c>
      <c r="K1334">
        <v>5038.8</v>
      </c>
      <c r="L1334">
        <v>2448</v>
      </c>
      <c r="M1334">
        <v>2590.8000000000002</v>
      </c>
      <c r="N1334">
        <v>45744</v>
      </c>
      <c r="O1334">
        <v>3</v>
      </c>
      <c r="P1334" t="s">
        <v>38</v>
      </c>
      <c r="Q1334">
        <v>2025</v>
      </c>
    </row>
    <row r="1335" spans="1:17" x14ac:dyDescent="0.3">
      <c r="A1335" t="s">
        <v>16</v>
      </c>
      <c r="B1335" t="s">
        <v>20</v>
      </c>
      <c r="C1335" t="s">
        <v>24</v>
      </c>
      <c r="D1335" t="s">
        <v>57</v>
      </c>
      <c r="E1335" t="s">
        <v>34</v>
      </c>
      <c r="F1335">
        <v>398</v>
      </c>
      <c r="G1335">
        <v>16</v>
      </c>
      <c r="H1335">
        <v>31</v>
      </c>
      <c r="I1335">
        <v>12338</v>
      </c>
      <c r="J1335">
        <v>616.90000000000009</v>
      </c>
      <c r="K1335">
        <v>11721.1</v>
      </c>
      <c r="L1335">
        <v>6368</v>
      </c>
      <c r="M1335">
        <v>5353.1</v>
      </c>
      <c r="N1335">
        <v>45149</v>
      </c>
      <c r="O1335">
        <v>8</v>
      </c>
      <c r="P1335" t="s">
        <v>62</v>
      </c>
      <c r="Q1335">
        <v>2023</v>
      </c>
    </row>
    <row r="1336" spans="1:17" x14ac:dyDescent="0.3">
      <c r="A1336" t="s">
        <v>16</v>
      </c>
      <c r="B1336" t="s">
        <v>17</v>
      </c>
      <c r="C1336" t="s">
        <v>24</v>
      </c>
      <c r="D1336" t="s">
        <v>105</v>
      </c>
      <c r="E1336" t="s">
        <v>34</v>
      </c>
      <c r="F1336">
        <v>498</v>
      </c>
      <c r="G1336">
        <v>12</v>
      </c>
      <c r="H1336">
        <v>26</v>
      </c>
      <c r="I1336">
        <v>12948</v>
      </c>
      <c r="J1336">
        <v>647.40000000000009</v>
      </c>
      <c r="K1336">
        <v>12300.6</v>
      </c>
      <c r="L1336">
        <v>5976</v>
      </c>
      <c r="M1336">
        <v>6324.6</v>
      </c>
      <c r="N1336">
        <v>45205</v>
      </c>
      <c r="O1336">
        <v>10</v>
      </c>
      <c r="P1336" t="s">
        <v>55</v>
      </c>
      <c r="Q1336">
        <v>2023</v>
      </c>
    </row>
    <row r="1337" spans="1:17" x14ac:dyDescent="0.3">
      <c r="A1337" t="s">
        <v>16</v>
      </c>
      <c r="B1337" t="s">
        <v>17</v>
      </c>
      <c r="C1337" t="s">
        <v>24</v>
      </c>
      <c r="D1337" t="s">
        <v>105</v>
      </c>
      <c r="E1337" t="s">
        <v>34</v>
      </c>
      <c r="F1337">
        <v>278</v>
      </c>
      <c r="G1337">
        <v>12</v>
      </c>
      <c r="H1337">
        <v>26</v>
      </c>
      <c r="I1337">
        <v>7228</v>
      </c>
      <c r="J1337">
        <v>361.40000000000003</v>
      </c>
      <c r="K1337">
        <v>6866.6</v>
      </c>
      <c r="L1337">
        <v>3336</v>
      </c>
      <c r="M1337">
        <v>3530.6000000000004</v>
      </c>
      <c r="N1337">
        <v>45532</v>
      </c>
      <c r="O1337">
        <v>8</v>
      </c>
      <c r="P1337" t="s">
        <v>62</v>
      </c>
      <c r="Q1337">
        <v>2024</v>
      </c>
    </row>
    <row r="1338" spans="1:17" x14ac:dyDescent="0.3">
      <c r="A1338" t="s">
        <v>16</v>
      </c>
      <c r="B1338" t="s">
        <v>23</v>
      </c>
      <c r="C1338" t="s">
        <v>24</v>
      </c>
      <c r="D1338" t="s">
        <v>163</v>
      </c>
      <c r="E1338" t="s">
        <v>34</v>
      </c>
      <c r="F1338">
        <v>947</v>
      </c>
      <c r="G1338">
        <v>15</v>
      </c>
      <c r="H1338">
        <v>34</v>
      </c>
      <c r="I1338">
        <v>32198</v>
      </c>
      <c r="J1338">
        <v>1609.9</v>
      </c>
      <c r="K1338">
        <v>30588.1</v>
      </c>
      <c r="L1338">
        <v>14205</v>
      </c>
      <c r="M1338">
        <v>16383.099999999999</v>
      </c>
      <c r="N1338">
        <v>45183</v>
      </c>
      <c r="O1338">
        <v>9</v>
      </c>
      <c r="P1338" t="s">
        <v>40</v>
      </c>
      <c r="Q1338">
        <v>2023</v>
      </c>
    </row>
    <row r="1339" spans="1:17" x14ac:dyDescent="0.3">
      <c r="A1339" t="s">
        <v>21</v>
      </c>
      <c r="B1339" t="s">
        <v>17</v>
      </c>
      <c r="C1339" t="s">
        <v>24</v>
      </c>
      <c r="D1339" t="s">
        <v>152</v>
      </c>
      <c r="E1339" t="s">
        <v>34</v>
      </c>
      <c r="F1339">
        <v>987</v>
      </c>
      <c r="G1339">
        <v>16</v>
      </c>
      <c r="H1339">
        <v>24</v>
      </c>
      <c r="I1339">
        <v>23688</v>
      </c>
      <c r="J1339">
        <v>1184.4000000000001</v>
      </c>
      <c r="K1339">
        <v>22503.599999999999</v>
      </c>
      <c r="L1339">
        <v>15792</v>
      </c>
      <c r="M1339">
        <v>6711.5999999999985</v>
      </c>
      <c r="N1339">
        <v>45325</v>
      </c>
      <c r="O1339">
        <v>2</v>
      </c>
      <c r="P1339" t="s">
        <v>52</v>
      </c>
      <c r="Q1339">
        <v>2024</v>
      </c>
    </row>
    <row r="1340" spans="1:17" x14ac:dyDescent="0.3">
      <c r="A1340" t="s">
        <v>16</v>
      </c>
      <c r="B1340" t="s">
        <v>23</v>
      </c>
      <c r="C1340" t="s">
        <v>28</v>
      </c>
      <c r="D1340" t="s">
        <v>66</v>
      </c>
      <c r="E1340" t="s">
        <v>34</v>
      </c>
      <c r="F1340">
        <v>585</v>
      </c>
      <c r="G1340">
        <v>11</v>
      </c>
      <c r="H1340">
        <v>21</v>
      </c>
      <c r="I1340">
        <v>12285</v>
      </c>
      <c r="J1340">
        <v>614.25</v>
      </c>
      <c r="K1340">
        <v>11670.75</v>
      </c>
      <c r="L1340">
        <v>6435</v>
      </c>
      <c r="M1340">
        <v>5235.75</v>
      </c>
      <c r="N1340">
        <v>45496</v>
      </c>
      <c r="O1340">
        <v>7</v>
      </c>
      <c r="P1340" t="s">
        <v>48</v>
      </c>
      <c r="Q1340">
        <v>2024</v>
      </c>
    </row>
    <row r="1341" spans="1:17" x14ac:dyDescent="0.3">
      <c r="A1341" t="s">
        <v>21</v>
      </c>
      <c r="B1341" t="s">
        <v>17</v>
      </c>
      <c r="C1341" t="s">
        <v>28</v>
      </c>
      <c r="D1341" t="s">
        <v>71</v>
      </c>
      <c r="E1341" t="s">
        <v>34</v>
      </c>
      <c r="F1341">
        <v>27</v>
      </c>
      <c r="G1341">
        <v>17</v>
      </c>
      <c r="H1341">
        <v>25</v>
      </c>
      <c r="I1341">
        <v>675</v>
      </c>
      <c r="J1341">
        <v>6.75</v>
      </c>
      <c r="K1341">
        <v>668.25</v>
      </c>
      <c r="L1341">
        <v>459</v>
      </c>
      <c r="M1341">
        <v>209.25</v>
      </c>
      <c r="N1341">
        <v>45494</v>
      </c>
      <c r="O1341">
        <v>7</v>
      </c>
      <c r="P1341" t="s">
        <v>48</v>
      </c>
      <c r="Q1341">
        <v>2024</v>
      </c>
    </row>
    <row r="1342" spans="1:17" x14ac:dyDescent="0.3">
      <c r="A1342" t="s">
        <v>21</v>
      </c>
      <c r="B1342" t="s">
        <v>17</v>
      </c>
      <c r="C1342" t="s">
        <v>28</v>
      </c>
      <c r="D1342" t="s">
        <v>71</v>
      </c>
      <c r="E1342" t="s">
        <v>34</v>
      </c>
      <c r="F1342">
        <v>981</v>
      </c>
      <c r="G1342">
        <v>17</v>
      </c>
      <c r="H1342">
        <v>25</v>
      </c>
      <c r="I1342">
        <v>24525</v>
      </c>
      <c r="J1342">
        <v>1226.25</v>
      </c>
      <c r="K1342">
        <v>23298.75</v>
      </c>
      <c r="L1342">
        <v>16677</v>
      </c>
      <c r="M1342">
        <v>6621.75</v>
      </c>
      <c r="N1342">
        <v>45576</v>
      </c>
      <c r="O1342">
        <v>10</v>
      </c>
      <c r="P1342" t="s">
        <v>55</v>
      </c>
      <c r="Q1342">
        <v>2024</v>
      </c>
    </row>
    <row r="1343" spans="1:17" x14ac:dyDescent="0.3">
      <c r="A1343" t="s">
        <v>25</v>
      </c>
      <c r="B1343" t="s">
        <v>36</v>
      </c>
      <c r="C1343" t="s">
        <v>28</v>
      </c>
      <c r="D1343" t="s">
        <v>70</v>
      </c>
      <c r="E1343" t="s">
        <v>34</v>
      </c>
      <c r="F1343">
        <v>295</v>
      </c>
      <c r="G1343">
        <v>15</v>
      </c>
      <c r="H1343">
        <v>16</v>
      </c>
      <c r="I1343">
        <v>4720</v>
      </c>
      <c r="J1343">
        <v>236</v>
      </c>
      <c r="K1343">
        <v>4484</v>
      </c>
      <c r="L1343">
        <v>4425</v>
      </c>
      <c r="M1343">
        <v>59</v>
      </c>
      <c r="N1343">
        <v>45550</v>
      </c>
      <c r="O1343">
        <v>9</v>
      </c>
      <c r="P1343" t="s">
        <v>40</v>
      </c>
      <c r="Q1343">
        <v>2024</v>
      </c>
    </row>
    <row r="1344" spans="1:17" x14ac:dyDescent="0.3">
      <c r="A1344" t="s">
        <v>16</v>
      </c>
      <c r="B1344" t="s">
        <v>22</v>
      </c>
      <c r="C1344" t="s">
        <v>28</v>
      </c>
      <c r="D1344" t="s">
        <v>93</v>
      </c>
      <c r="E1344" t="s">
        <v>34</v>
      </c>
      <c r="F1344">
        <v>155</v>
      </c>
      <c r="G1344">
        <v>12</v>
      </c>
      <c r="H1344">
        <v>27</v>
      </c>
      <c r="I1344">
        <v>4185</v>
      </c>
      <c r="J1344">
        <v>209.25</v>
      </c>
      <c r="K1344">
        <v>3975.75</v>
      </c>
      <c r="L1344">
        <v>1860</v>
      </c>
      <c r="M1344">
        <v>2115.75</v>
      </c>
      <c r="N1344">
        <v>45363</v>
      </c>
      <c r="O1344">
        <v>3</v>
      </c>
      <c r="P1344" t="s">
        <v>38</v>
      </c>
      <c r="Q1344">
        <v>2024</v>
      </c>
    </row>
    <row r="1345" spans="1:17" x14ac:dyDescent="0.3">
      <c r="A1345" t="s">
        <v>16</v>
      </c>
      <c r="B1345" t="s">
        <v>17</v>
      </c>
      <c r="C1345" t="s">
        <v>28</v>
      </c>
      <c r="D1345" t="s">
        <v>60</v>
      </c>
      <c r="E1345" t="s">
        <v>34</v>
      </c>
      <c r="F1345">
        <v>806</v>
      </c>
      <c r="G1345">
        <v>17</v>
      </c>
      <c r="H1345">
        <v>38</v>
      </c>
      <c r="I1345">
        <v>30628</v>
      </c>
      <c r="J1345">
        <v>1531.4</v>
      </c>
      <c r="K1345">
        <v>29096.6</v>
      </c>
      <c r="L1345">
        <v>13702</v>
      </c>
      <c r="M1345">
        <v>15394.599999999999</v>
      </c>
      <c r="N1345">
        <v>45310</v>
      </c>
      <c r="O1345">
        <v>1</v>
      </c>
      <c r="P1345" t="s">
        <v>58</v>
      </c>
      <c r="Q1345">
        <v>2024</v>
      </c>
    </row>
    <row r="1346" spans="1:17" x14ac:dyDescent="0.3">
      <c r="A1346" t="s">
        <v>25</v>
      </c>
      <c r="B1346" t="s">
        <v>17</v>
      </c>
      <c r="C1346" t="s">
        <v>28</v>
      </c>
      <c r="D1346" t="s">
        <v>63</v>
      </c>
      <c r="E1346" t="s">
        <v>34</v>
      </c>
      <c r="F1346">
        <v>403</v>
      </c>
      <c r="G1346">
        <v>11</v>
      </c>
      <c r="H1346">
        <v>21</v>
      </c>
      <c r="I1346">
        <v>8463</v>
      </c>
      <c r="J1346">
        <v>423.15000000000003</v>
      </c>
      <c r="K1346">
        <v>8039.85</v>
      </c>
      <c r="L1346">
        <v>4433</v>
      </c>
      <c r="M1346">
        <v>3606.8500000000004</v>
      </c>
      <c r="N1346">
        <v>45651</v>
      </c>
      <c r="O1346">
        <v>12</v>
      </c>
      <c r="P1346" t="s">
        <v>77</v>
      </c>
      <c r="Q1346">
        <v>2024</v>
      </c>
    </row>
    <row r="1347" spans="1:17" x14ac:dyDescent="0.3">
      <c r="A1347" t="s">
        <v>16</v>
      </c>
      <c r="B1347" t="s">
        <v>36</v>
      </c>
      <c r="C1347" t="s">
        <v>28</v>
      </c>
      <c r="D1347" t="s">
        <v>69</v>
      </c>
      <c r="E1347" t="s">
        <v>34</v>
      </c>
      <c r="F1347">
        <v>526</v>
      </c>
      <c r="G1347">
        <v>20</v>
      </c>
      <c r="H1347">
        <v>25</v>
      </c>
      <c r="I1347">
        <v>13150</v>
      </c>
      <c r="J1347">
        <v>657.5</v>
      </c>
      <c r="K1347">
        <v>12492.5</v>
      </c>
      <c r="L1347">
        <v>10520</v>
      </c>
      <c r="M1347">
        <v>1972.5</v>
      </c>
      <c r="N1347">
        <v>45485</v>
      </c>
      <c r="O1347">
        <v>7</v>
      </c>
      <c r="P1347" t="s">
        <v>48</v>
      </c>
      <c r="Q1347">
        <v>2024</v>
      </c>
    </row>
    <row r="1348" spans="1:17" x14ac:dyDescent="0.3">
      <c r="A1348" t="s">
        <v>16</v>
      </c>
      <c r="B1348" t="s">
        <v>22</v>
      </c>
      <c r="C1348" t="s">
        <v>28</v>
      </c>
      <c r="D1348" t="s">
        <v>93</v>
      </c>
      <c r="E1348" t="s">
        <v>34</v>
      </c>
      <c r="F1348">
        <v>168</v>
      </c>
      <c r="G1348">
        <v>12</v>
      </c>
      <c r="H1348">
        <v>27</v>
      </c>
      <c r="I1348">
        <v>4536</v>
      </c>
      <c r="J1348">
        <v>226.8</v>
      </c>
      <c r="K1348">
        <v>4309.2</v>
      </c>
      <c r="L1348">
        <v>2016</v>
      </c>
      <c r="M1348">
        <v>2293.1999999999998</v>
      </c>
      <c r="N1348">
        <v>45756</v>
      </c>
      <c r="O1348">
        <v>4</v>
      </c>
      <c r="P1348" t="s">
        <v>75</v>
      </c>
      <c r="Q1348">
        <v>2025</v>
      </c>
    </row>
    <row r="1349" spans="1:17" x14ac:dyDescent="0.3">
      <c r="A1349" t="s">
        <v>26</v>
      </c>
      <c r="B1349" t="s">
        <v>23</v>
      </c>
      <c r="C1349" t="s">
        <v>29</v>
      </c>
      <c r="D1349" t="s">
        <v>136</v>
      </c>
      <c r="E1349" t="s">
        <v>34</v>
      </c>
      <c r="F1349">
        <v>905</v>
      </c>
      <c r="G1349">
        <v>12</v>
      </c>
      <c r="H1349">
        <v>30</v>
      </c>
      <c r="I1349">
        <v>27150</v>
      </c>
      <c r="J1349">
        <v>1357.5</v>
      </c>
      <c r="K1349">
        <v>25792.5</v>
      </c>
      <c r="L1349">
        <v>10860</v>
      </c>
      <c r="M1349">
        <v>14932.5</v>
      </c>
      <c r="N1349">
        <v>45727</v>
      </c>
      <c r="O1349">
        <v>3</v>
      </c>
      <c r="P1349" t="s">
        <v>38</v>
      </c>
      <c r="Q1349">
        <v>2025</v>
      </c>
    </row>
    <row r="1350" spans="1:17" x14ac:dyDescent="0.3">
      <c r="A1350" t="s">
        <v>16</v>
      </c>
      <c r="B1350" t="s">
        <v>36</v>
      </c>
      <c r="C1350" t="s">
        <v>29</v>
      </c>
      <c r="D1350" t="s">
        <v>134</v>
      </c>
      <c r="E1350" t="s">
        <v>34</v>
      </c>
      <c r="F1350">
        <v>891</v>
      </c>
      <c r="G1350">
        <v>13</v>
      </c>
      <c r="H1350">
        <v>38</v>
      </c>
      <c r="I1350">
        <v>33858</v>
      </c>
      <c r="J1350">
        <v>1692.9</v>
      </c>
      <c r="K1350">
        <v>32165.1</v>
      </c>
      <c r="L1350">
        <v>11583</v>
      </c>
      <c r="M1350">
        <v>20582.099999999999</v>
      </c>
      <c r="N1350">
        <v>45074</v>
      </c>
      <c r="O1350">
        <v>5</v>
      </c>
      <c r="P1350" t="s">
        <v>46</v>
      </c>
      <c r="Q1350">
        <v>2023</v>
      </c>
    </row>
    <row r="1351" spans="1:17" x14ac:dyDescent="0.3">
      <c r="A1351" t="s">
        <v>27</v>
      </c>
      <c r="B1351" t="s">
        <v>36</v>
      </c>
      <c r="C1351" t="s">
        <v>29</v>
      </c>
      <c r="D1351" t="s">
        <v>179</v>
      </c>
      <c r="E1351" t="s">
        <v>34</v>
      </c>
      <c r="F1351">
        <v>416</v>
      </c>
      <c r="G1351">
        <v>20</v>
      </c>
      <c r="H1351">
        <v>33</v>
      </c>
      <c r="I1351">
        <v>13728</v>
      </c>
      <c r="J1351">
        <v>686.40000000000009</v>
      </c>
      <c r="K1351">
        <v>13041.6</v>
      </c>
      <c r="L1351">
        <v>8320</v>
      </c>
      <c r="M1351">
        <v>4721.6000000000004</v>
      </c>
      <c r="N1351">
        <v>45518</v>
      </c>
      <c r="O1351">
        <v>8</v>
      </c>
      <c r="P1351" t="s">
        <v>62</v>
      </c>
      <c r="Q1351">
        <v>2024</v>
      </c>
    </row>
    <row r="1352" spans="1:17" x14ac:dyDescent="0.3">
      <c r="A1352" t="s">
        <v>27</v>
      </c>
      <c r="B1352" t="s">
        <v>17</v>
      </c>
      <c r="C1352" t="s">
        <v>29</v>
      </c>
      <c r="D1352" t="s">
        <v>189</v>
      </c>
      <c r="E1352" t="s">
        <v>34</v>
      </c>
      <c r="F1352">
        <v>146</v>
      </c>
      <c r="G1352">
        <v>11</v>
      </c>
      <c r="H1352">
        <v>20</v>
      </c>
      <c r="I1352">
        <v>2920</v>
      </c>
      <c r="J1352">
        <v>146</v>
      </c>
      <c r="K1352">
        <v>2774</v>
      </c>
      <c r="L1352">
        <v>1606</v>
      </c>
      <c r="M1352">
        <v>1168</v>
      </c>
      <c r="N1352">
        <v>45283</v>
      </c>
      <c r="O1352">
        <v>12</v>
      </c>
      <c r="P1352" t="s">
        <v>77</v>
      </c>
      <c r="Q1352">
        <v>2023</v>
      </c>
    </row>
    <row r="1353" spans="1:17" x14ac:dyDescent="0.3">
      <c r="A1353" t="s">
        <v>27</v>
      </c>
      <c r="B1353" t="s">
        <v>20</v>
      </c>
      <c r="C1353" t="s">
        <v>29</v>
      </c>
      <c r="D1353" t="s">
        <v>166</v>
      </c>
      <c r="E1353" t="s">
        <v>34</v>
      </c>
      <c r="F1353">
        <v>590</v>
      </c>
      <c r="G1353">
        <v>18</v>
      </c>
      <c r="H1353">
        <v>30</v>
      </c>
      <c r="I1353">
        <v>17700</v>
      </c>
      <c r="J1353">
        <v>885</v>
      </c>
      <c r="K1353">
        <v>16815</v>
      </c>
      <c r="L1353">
        <v>10620</v>
      </c>
      <c r="M1353">
        <v>6195</v>
      </c>
      <c r="N1353">
        <v>45712</v>
      </c>
      <c r="O1353">
        <v>2</v>
      </c>
      <c r="P1353" t="s">
        <v>52</v>
      </c>
      <c r="Q1353">
        <v>2025</v>
      </c>
    </row>
    <row r="1354" spans="1:17" x14ac:dyDescent="0.3">
      <c r="A1354" t="s">
        <v>16</v>
      </c>
      <c r="B1354" t="s">
        <v>23</v>
      </c>
      <c r="C1354" t="s">
        <v>30</v>
      </c>
      <c r="D1354" t="s">
        <v>119</v>
      </c>
      <c r="E1354" t="s">
        <v>34</v>
      </c>
      <c r="F1354">
        <v>920</v>
      </c>
      <c r="G1354">
        <v>18</v>
      </c>
      <c r="H1354">
        <v>19</v>
      </c>
      <c r="I1354">
        <v>17480</v>
      </c>
      <c r="J1354">
        <v>874</v>
      </c>
      <c r="K1354">
        <v>16606</v>
      </c>
      <c r="L1354">
        <v>16560</v>
      </c>
      <c r="M1354">
        <v>46</v>
      </c>
      <c r="N1354">
        <v>45436</v>
      </c>
      <c r="O1354">
        <v>5</v>
      </c>
      <c r="P1354" t="s">
        <v>46</v>
      </c>
      <c r="Q1354">
        <v>2024</v>
      </c>
    </row>
    <row r="1355" spans="1:17" x14ac:dyDescent="0.3">
      <c r="A1355" t="s">
        <v>27</v>
      </c>
      <c r="B1355" t="s">
        <v>36</v>
      </c>
      <c r="C1355" t="s">
        <v>30</v>
      </c>
      <c r="D1355" t="s">
        <v>149</v>
      </c>
      <c r="E1355" t="s">
        <v>34</v>
      </c>
      <c r="F1355">
        <v>34</v>
      </c>
      <c r="G1355">
        <v>10</v>
      </c>
      <c r="H1355">
        <v>38</v>
      </c>
      <c r="I1355">
        <v>1292</v>
      </c>
      <c r="J1355">
        <v>64.600000000000009</v>
      </c>
      <c r="K1355">
        <v>1227.4000000000001</v>
      </c>
      <c r="L1355">
        <v>340</v>
      </c>
      <c r="M1355">
        <v>887.40000000000009</v>
      </c>
      <c r="N1355">
        <v>45120</v>
      </c>
      <c r="O1355">
        <v>7</v>
      </c>
      <c r="P1355" t="s">
        <v>48</v>
      </c>
      <c r="Q1355">
        <v>2023</v>
      </c>
    </row>
    <row r="1356" spans="1:17" x14ac:dyDescent="0.3">
      <c r="A1356" t="s">
        <v>27</v>
      </c>
      <c r="B1356" t="s">
        <v>17</v>
      </c>
      <c r="C1356" t="s">
        <v>30</v>
      </c>
      <c r="D1356" t="s">
        <v>80</v>
      </c>
      <c r="E1356" t="s">
        <v>34</v>
      </c>
      <c r="F1356">
        <v>859</v>
      </c>
      <c r="G1356">
        <v>16</v>
      </c>
      <c r="H1356">
        <v>16</v>
      </c>
      <c r="I1356">
        <v>13744</v>
      </c>
      <c r="J1356">
        <v>687.2</v>
      </c>
      <c r="K1356">
        <v>13056.8</v>
      </c>
      <c r="L1356">
        <v>13744</v>
      </c>
      <c r="M1356">
        <v>-687.20000000000073</v>
      </c>
      <c r="N1356">
        <v>45720</v>
      </c>
      <c r="O1356">
        <v>3</v>
      </c>
      <c r="P1356" t="s">
        <v>38</v>
      </c>
      <c r="Q1356">
        <v>2025</v>
      </c>
    </row>
    <row r="1357" spans="1:17" x14ac:dyDescent="0.3">
      <c r="A1357" t="s">
        <v>27</v>
      </c>
      <c r="B1357" t="s">
        <v>17</v>
      </c>
      <c r="C1357" t="s">
        <v>30</v>
      </c>
      <c r="D1357" t="s">
        <v>80</v>
      </c>
      <c r="E1357" t="s">
        <v>34</v>
      </c>
      <c r="F1357">
        <v>766</v>
      </c>
      <c r="G1357">
        <v>16</v>
      </c>
      <c r="H1357">
        <v>16</v>
      </c>
      <c r="I1357">
        <v>12256</v>
      </c>
      <c r="J1357">
        <v>612.80000000000007</v>
      </c>
      <c r="K1357">
        <v>11643.2</v>
      </c>
      <c r="L1357">
        <v>12256</v>
      </c>
      <c r="M1357">
        <v>-612.79999999999927</v>
      </c>
      <c r="N1357">
        <v>45388</v>
      </c>
      <c r="O1357">
        <v>4</v>
      </c>
      <c r="P1357" t="s">
        <v>75</v>
      </c>
      <c r="Q1357">
        <v>2024</v>
      </c>
    </row>
    <row r="1358" spans="1:17" x14ac:dyDescent="0.3">
      <c r="A1358" t="s">
        <v>27</v>
      </c>
      <c r="B1358" t="s">
        <v>36</v>
      </c>
      <c r="C1358" t="s">
        <v>30</v>
      </c>
      <c r="D1358" t="s">
        <v>149</v>
      </c>
      <c r="E1358" t="s">
        <v>34</v>
      </c>
      <c r="F1358">
        <v>900</v>
      </c>
      <c r="G1358">
        <v>10</v>
      </c>
      <c r="H1358">
        <v>38</v>
      </c>
      <c r="I1358">
        <v>34200</v>
      </c>
      <c r="J1358">
        <v>1710</v>
      </c>
      <c r="K1358">
        <v>32490</v>
      </c>
      <c r="L1358">
        <v>9000</v>
      </c>
      <c r="M1358">
        <v>23490</v>
      </c>
      <c r="N1358">
        <v>45412</v>
      </c>
      <c r="O1358">
        <v>4</v>
      </c>
      <c r="P1358" t="s">
        <v>75</v>
      </c>
      <c r="Q1358">
        <v>2024</v>
      </c>
    </row>
    <row r="1359" spans="1:17" x14ac:dyDescent="0.3">
      <c r="A1359" t="s">
        <v>16</v>
      </c>
      <c r="B1359" t="s">
        <v>22</v>
      </c>
      <c r="C1359" t="s">
        <v>30</v>
      </c>
      <c r="D1359" t="s">
        <v>84</v>
      </c>
      <c r="E1359" t="s">
        <v>34</v>
      </c>
      <c r="F1359">
        <v>621</v>
      </c>
      <c r="G1359">
        <v>20</v>
      </c>
      <c r="H1359">
        <v>23</v>
      </c>
      <c r="I1359">
        <v>14283</v>
      </c>
      <c r="J1359">
        <v>714.15000000000009</v>
      </c>
      <c r="K1359">
        <v>13568.85</v>
      </c>
      <c r="L1359">
        <v>12420</v>
      </c>
      <c r="M1359">
        <v>1148.8500000000004</v>
      </c>
      <c r="N1359">
        <v>45463</v>
      </c>
      <c r="O1359">
        <v>6</v>
      </c>
      <c r="P1359" t="s">
        <v>45</v>
      </c>
      <c r="Q1359">
        <v>2024</v>
      </c>
    </row>
    <row r="1360" spans="1:17" x14ac:dyDescent="0.3">
      <c r="A1360" t="s">
        <v>27</v>
      </c>
      <c r="B1360" t="s">
        <v>17</v>
      </c>
      <c r="C1360" t="s">
        <v>31</v>
      </c>
      <c r="D1360" t="s">
        <v>144</v>
      </c>
      <c r="E1360" t="s">
        <v>34</v>
      </c>
      <c r="F1360">
        <v>338</v>
      </c>
      <c r="G1360">
        <v>20</v>
      </c>
      <c r="H1360">
        <v>31</v>
      </c>
      <c r="I1360">
        <v>10478</v>
      </c>
      <c r="J1360">
        <v>523.9</v>
      </c>
      <c r="K1360">
        <v>9954.1</v>
      </c>
      <c r="L1360">
        <v>6760</v>
      </c>
      <c r="M1360">
        <v>3194.1000000000004</v>
      </c>
      <c r="N1360">
        <v>45577</v>
      </c>
      <c r="O1360">
        <v>10</v>
      </c>
      <c r="P1360" t="s">
        <v>55</v>
      </c>
      <c r="Q1360">
        <v>2024</v>
      </c>
    </row>
    <row r="1361" spans="1:17" x14ac:dyDescent="0.3">
      <c r="A1361" t="s">
        <v>26</v>
      </c>
      <c r="B1361" t="s">
        <v>36</v>
      </c>
      <c r="C1361" t="s">
        <v>31</v>
      </c>
      <c r="D1361" t="s">
        <v>193</v>
      </c>
      <c r="E1361" t="s">
        <v>34</v>
      </c>
      <c r="F1361">
        <v>92</v>
      </c>
      <c r="G1361">
        <v>16</v>
      </c>
      <c r="H1361">
        <v>29</v>
      </c>
      <c r="I1361">
        <v>2668</v>
      </c>
      <c r="J1361">
        <v>133.4</v>
      </c>
      <c r="K1361">
        <v>2534.6</v>
      </c>
      <c r="L1361">
        <v>1472</v>
      </c>
      <c r="M1361">
        <v>1062.5999999999999</v>
      </c>
      <c r="N1361">
        <v>45081</v>
      </c>
      <c r="O1361">
        <v>6</v>
      </c>
      <c r="P1361" t="s">
        <v>45</v>
      </c>
      <c r="Q1361">
        <v>2023</v>
      </c>
    </row>
    <row r="1362" spans="1:17" x14ac:dyDescent="0.3">
      <c r="A1362" t="s">
        <v>25</v>
      </c>
      <c r="B1362" t="s">
        <v>22</v>
      </c>
      <c r="C1362" t="s">
        <v>31</v>
      </c>
      <c r="D1362" t="s">
        <v>192</v>
      </c>
      <c r="E1362" t="s">
        <v>34</v>
      </c>
      <c r="F1362">
        <v>869</v>
      </c>
      <c r="G1362">
        <v>10</v>
      </c>
      <c r="H1362">
        <v>38</v>
      </c>
      <c r="I1362">
        <v>33022</v>
      </c>
      <c r="J1362">
        <v>1651.1000000000001</v>
      </c>
      <c r="K1362">
        <v>31370.9</v>
      </c>
      <c r="L1362">
        <v>8690</v>
      </c>
      <c r="M1362">
        <v>22680.9</v>
      </c>
      <c r="N1362">
        <v>45600</v>
      </c>
      <c r="O1362">
        <v>11</v>
      </c>
      <c r="P1362" t="s">
        <v>43</v>
      </c>
      <c r="Q1362">
        <v>2024</v>
      </c>
    </row>
    <row r="1363" spans="1:17" x14ac:dyDescent="0.3">
      <c r="A1363" t="s">
        <v>21</v>
      </c>
      <c r="B1363" t="s">
        <v>17</v>
      </c>
      <c r="C1363" t="s">
        <v>31</v>
      </c>
      <c r="D1363" t="s">
        <v>191</v>
      </c>
      <c r="E1363" t="s">
        <v>34</v>
      </c>
      <c r="F1363">
        <v>238</v>
      </c>
      <c r="G1363">
        <v>11</v>
      </c>
      <c r="H1363">
        <v>17</v>
      </c>
      <c r="I1363">
        <v>4046</v>
      </c>
      <c r="J1363">
        <v>202.3</v>
      </c>
      <c r="K1363">
        <v>3843.7</v>
      </c>
      <c r="L1363">
        <v>2618</v>
      </c>
      <c r="M1363">
        <v>1225.6999999999998</v>
      </c>
      <c r="N1363">
        <v>45679</v>
      </c>
      <c r="O1363">
        <v>1</v>
      </c>
      <c r="P1363" t="s">
        <v>58</v>
      </c>
      <c r="Q1363">
        <v>2025</v>
      </c>
    </row>
    <row r="1364" spans="1:17" x14ac:dyDescent="0.3">
      <c r="A1364" t="s">
        <v>25</v>
      </c>
      <c r="B1364" t="s">
        <v>36</v>
      </c>
      <c r="C1364" t="s">
        <v>31</v>
      </c>
      <c r="D1364" t="s">
        <v>88</v>
      </c>
      <c r="E1364" t="s">
        <v>34</v>
      </c>
      <c r="F1364">
        <v>287</v>
      </c>
      <c r="G1364">
        <v>15</v>
      </c>
      <c r="H1364">
        <v>34</v>
      </c>
      <c r="I1364">
        <v>9758</v>
      </c>
      <c r="J1364">
        <v>487.90000000000003</v>
      </c>
      <c r="K1364">
        <v>9270.1</v>
      </c>
      <c r="L1364">
        <v>4305</v>
      </c>
      <c r="M1364">
        <v>4965.1000000000004</v>
      </c>
      <c r="N1364">
        <v>45081</v>
      </c>
      <c r="O1364">
        <v>6</v>
      </c>
      <c r="P1364" t="s">
        <v>45</v>
      </c>
      <c r="Q1364">
        <v>2023</v>
      </c>
    </row>
    <row r="1365" spans="1:17" x14ac:dyDescent="0.3">
      <c r="A1365" t="s">
        <v>16</v>
      </c>
      <c r="B1365" t="s">
        <v>22</v>
      </c>
      <c r="C1365" t="s">
        <v>31</v>
      </c>
      <c r="D1365" t="s">
        <v>87</v>
      </c>
      <c r="E1365" t="s">
        <v>34</v>
      </c>
      <c r="F1365">
        <v>612</v>
      </c>
      <c r="G1365">
        <v>19</v>
      </c>
      <c r="H1365">
        <v>19</v>
      </c>
      <c r="I1365">
        <v>11628</v>
      </c>
      <c r="J1365">
        <v>581.4</v>
      </c>
      <c r="K1365">
        <v>11046.6</v>
      </c>
      <c r="L1365">
        <v>11628</v>
      </c>
      <c r="M1365">
        <v>-581.39999999999964</v>
      </c>
      <c r="N1365">
        <v>45610</v>
      </c>
      <c r="O1365">
        <v>11</v>
      </c>
      <c r="P1365" t="s">
        <v>43</v>
      </c>
      <c r="Q1365">
        <v>2024</v>
      </c>
    </row>
    <row r="1366" spans="1:17" x14ac:dyDescent="0.3">
      <c r="A1366" t="s">
        <v>16</v>
      </c>
      <c r="B1366" t="s">
        <v>23</v>
      </c>
      <c r="C1366" t="s">
        <v>31</v>
      </c>
      <c r="D1366" t="s">
        <v>157</v>
      </c>
      <c r="E1366" t="s">
        <v>34</v>
      </c>
      <c r="F1366">
        <v>371</v>
      </c>
      <c r="G1366">
        <v>14</v>
      </c>
      <c r="H1366">
        <v>32</v>
      </c>
      <c r="I1366">
        <v>11872</v>
      </c>
      <c r="J1366">
        <v>593.6</v>
      </c>
      <c r="K1366">
        <v>11278.4</v>
      </c>
      <c r="L1366">
        <v>5194</v>
      </c>
      <c r="M1366">
        <v>6084.4</v>
      </c>
      <c r="N1366">
        <v>45676</v>
      </c>
      <c r="O1366">
        <v>1</v>
      </c>
      <c r="P1366" t="s">
        <v>58</v>
      </c>
      <c r="Q1366">
        <v>2025</v>
      </c>
    </row>
    <row r="1367" spans="1:17" x14ac:dyDescent="0.3">
      <c r="A1367" t="s">
        <v>21</v>
      </c>
      <c r="B1367" t="s">
        <v>23</v>
      </c>
      <c r="C1367" t="s">
        <v>31</v>
      </c>
      <c r="D1367" t="s">
        <v>197</v>
      </c>
      <c r="E1367" t="s">
        <v>34</v>
      </c>
      <c r="F1367">
        <v>17</v>
      </c>
      <c r="G1367">
        <v>16</v>
      </c>
      <c r="H1367">
        <v>35</v>
      </c>
      <c r="I1367">
        <v>595</v>
      </c>
      <c r="J1367">
        <v>5.95</v>
      </c>
      <c r="K1367">
        <v>589.04999999999995</v>
      </c>
      <c r="L1367">
        <v>272</v>
      </c>
      <c r="M1367">
        <v>317.04999999999995</v>
      </c>
      <c r="N1367">
        <v>45653</v>
      </c>
      <c r="O1367">
        <v>12</v>
      </c>
      <c r="P1367" t="s">
        <v>77</v>
      </c>
      <c r="Q1367">
        <v>2024</v>
      </c>
    </row>
    <row r="1368" spans="1:17" x14ac:dyDescent="0.3">
      <c r="A1368" t="s">
        <v>26</v>
      </c>
      <c r="B1368" t="s">
        <v>22</v>
      </c>
      <c r="C1368" t="s">
        <v>18</v>
      </c>
      <c r="D1368" t="s">
        <v>145</v>
      </c>
      <c r="E1368" t="s">
        <v>34</v>
      </c>
      <c r="F1368">
        <v>526</v>
      </c>
      <c r="G1368">
        <v>10</v>
      </c>
      <c r="H1368">
        <v>23</v>
      </c>
      <c r="I1368">
        <v>12098</v>
      </c>
      <c r="J1368">
        <v>604.9</v>
      </c>
      <c r="K1368">
        <v>11493.1</v>
      </c>
      <c r="L1368">
        <v>5260</v>
      </c>
      <c r="M1368">
        <v>6233.1</v>
      </c>
      <c r="N1368">
        <v>45358</v>
      </c>
      <c r="O1368">
        <v>3</v>
      </c>
      <c r="P1368" t="s">
        <v>38</v>
      </c>
      <c r="Q1368">
        <v>2024</v>
      </c>
    </row>
    <row r="1369" spans="1:17" x14ac:dyDescent="0.3">
      <c r="A1369" t="s">
        <v>26</v>
      </c>
      <c r="B1369" t="s">
        <v>20</v>
      </c>
      <c r="C1369" t="s">
        <v>18</v>
      </c>
      <c r="D1369" t="s">
        <v>170</v>
      </c>
      <c r="E1369" t="s">
        <v>34</v>
      </c>
      <c r="F1369">
        <v>374</v>
      </c>
      <c r="G1369">
        <v>18</v>
      </c>
      <c r="H1369">
        <v>29</v>
      </c>
      <c r="I1369">
        <v>10846</v>
      </c>
      <c r="J1369">
        <v>542.30000000000007</v>
      </c>
      <c r="K1369">
        <v>10303.700000000001</v>
      </c>
      <c r="L1369">
        <v>6732</v>
      </c>
      <c r="M1369">
        <v>3571.7000000000007</v>
      </c>
      <c r="N1369">
        <v>45736</v>
      </c>
      <c r="O1369">
        <v>3</v>
      </c>
      <c r="P1369" t="s">
        <v>38</v>
      </c>
      <c r="Q1369">
        <v>2025</v>
      </c>
    </row>
    <row r="1370" spans="1:17" x14ac:dyDescent="0.3">
      <c r="A1370" t="s">
        <v>26</v>
      </c>
      <c r="B1370" t="s">
        <v>20</v>
      </c>
      <c r="C1370" t="s">
        <v>18</v>
      </c>
      <c r="D1370" t="s">
        <v>170</v>
      </c>
      <c r="E1370" t="s">
        <v>34</v>
      </c>
      <c r="F1370">
        <v>308</v>
      </c>
      <c r="G1370">
        <v>18</v>
      </c>
      <c r="H1370">
        <v>29</v>
      </c>
      <c r="I1370">
        <v>8932</v>
      </c>
      <c r="J1370">
        <v>446.6</v>
      </c>
      <c r="K1370">
        <v>8485.4</v>
      </c>
      <c r="L1370">
        <v>5544</v>
      </c>
      <c r="M1370">
        <v>2941.3999999999996</v>
      </c>
      <c r="N1370">
        <v>45249</v>
      </c>
      <c r="O1370">
        <v>11</v>
      </c>
      <c r="P1370" t="s">
        <v>43</v>
      </c>
      <c r="Q1370">
        <v>2023</v>
      </c>
    </row>
    <row r="1371" spans="1:17" x14ac:dyDescent="0.3">
      <c r="A1371" t="s">
        <v>27</v>
      </c>
      <c r="B1371" t="s">
        <v>23</v>
      </c>
      <c r="C1371" t="s">
        <v>24</v>
      </c>
      <c r="D1371" t="s">
        <v>56</v>
      </c>
      <c r="E1371" t="s">
        <v>34</v>
      </c>
      <c r="F1371">
        <v>48</v>
      </c>
      <c r="G1371">
        <v>16</v>
      </c>
      <c r="H1371">
        <v>23</v>
      </c>
      <c r="I1371">
        <v>1104</v>
      </c>
      <c r="J1371">
        <v>55.2</v>
      </c>
      <c r="K1371">
        <v>1048.8</v>
      </c>
      <c r="L1371">
        <v>768</v>
      </c>
      <c r="M1371">
        <v>280.79999999999995</v>
      </c>
      <c r="N1371">
        <v>45085</v>
      </c>
      <c r="O1371">
        <v>6</v>
      </c>
      <c r="P1371" t="s">
        <v>45</v>
      </c>
      <c r="Q1371">
        <v>2023</v>
      </c>
    </row>
    <row r="1372" spans="1:17" x14ac:dyDescent="0.3">
      <c r="A1372" t="s">
        <v>16</v>
      </c>
      <c r="B1372" t="s">
        <v>20</v>
      </c>
      <c r="C1372" t="s">
        <v>28</v>
      </c>
      <c r="D1372" t="s">
        <v>64</v>
      </c>
      <c r="E1372" t="s">
        <v>34</v>
      </c>
      <c r="F1372">
        <v>57</v>
      </c>
      <c r="G1372">
        <v>14</v>
      </c>
      <c r="H1372">
        <v>22</v>
      </c>
      <c r="I1372">
        <v>1254</v>
      </c>
      <c r="J1372">
        <v>62.7</v>
      </c>
      <c r="K1372">
        <v>1191.3</v>
      </c>
      <c r="L1372">
        <v>798</v>
      </c>
      <c r="M1372">
        <v>393.29999999999995</v>
      </c>
      <c r="N1372">
        <v>45563</v>
      </c>
      <c r="O1372">
        <v>9</v>
      </c>
      <c r="P1372" t="s">
        <v>40</v>
      </c>
      <c r="Q1372">
        <v>2024</v>
      </c>
    </row>
    <row r="1373" spans="1:17" x14ac:dyDescent="0.3">
      <c r="A1373" t="s">
        <v>21</v>
      </c>
      <c r="B1373" t="s">
        <v>17</v>
      </c>
      <c r="C1373" t="s">
        <v>28</v>
      </c>
      <c r="D1373" t="s">
        <v>71</v>
      </c>
      <c r="E1373" t="s">
        <v>34</v>
      </c>
      <c r="F1373">
        <v>340</v>
      </c>
      <c r="G1373">
        <v>17</v>
      </c>
      <c r="H1373">
        <v>25</v>
      </c>
      <c r="I1373">
        <v>8500</v>
      </c>
      <c r="J1373">
        <v>425</v>
      </c>
      <c r="K1373">
        <v>8075</v>
      </c>
      <c r="L1373">
        <v>5780</v>
      </c>
      <c r="M1373">
        <v>2295</v>
      </c>
      <c r="N1373">
        <v>45661</v>
      </c>
      <c r="O1373">
        <v>1</v>
      </c>
      <c r="P1373" t="s">
        <v>58</v>
      </c>
      <c r="Q1373">
        <v>2025</v>
      </c>
    </row>
    <row r="1374" spans="1:17" x14ac:dyDescent="0.3">
      <c r="A1374" t="s">
        <v>16</v>
      </c>
      <c r="B1374" t="s">
        <v>23</v>
      </c>
      <c r="C1374" t="s">
        <v>28</v>
      </c>
      <c r="D1374" t="s">
        <v>66</v>
      </c>
      <c r="E1374" t="s">
        <v>34</v>
      </c>
      <c r="F1374">
        <v>885</v>
      </c>
      <c r="G1374">
        <v>11</v>
      </c>
      <c r="H1374">
        <v>21</v>
      </c>
      <c r="I1374">
        <v>18585</v>
      </c>
      <c r="J1374">
        <v>929.25</v>
      </c>
      <c r="K1374">
        <v>17655.75</v>
      </c>
      <c r="L1374">
        <v>9735</v>
      </c>
      <c r="M1374">
        <v>7920.75</v>
      </c>
      <c r="N1374">
        <v>45085</v>
      </c>
      <c r="O1374">
        <v>6</v>
      </c>
      <c r="P1374" t="s">
        <v>45</v>
      </c>
      <c r="Q1374">
        <v>2023</v>
      </c>
    </row>
    <row r="1375" spans="1:17" x14ac:dyDescent="0.3">
      <c r="A1375" t="s">
        <v>16</v>
      </c>
      <c r="B1375" t="s">
        <v>23</v>
      </c>
      <c r="C1375" t="s">
        <v>28</v>
      </c>
      <c r="D1375" t="s">
        <v>66</v>
      </c>
      <c r="E1375" t="s">
        <v>34</v>
      </c>
      <c r="F1375">
        <v>381</v>
      </c>
      <c r="G1375">
        <v>11</v>
      </c>
      <c r="H1375">
        <v>21</v>
      </c>
      <c r="I1375">
        <v>8001</v>
      </c>
      <c r="J1375">
        <v>400.05</v>
      </c>
      <c r="K1375">
        <v>7600.95</v>
      </c>
      <c r="L1375">
        <v>4191</v>
      </c>
      <c r="M1375">
        <v>3409.95</v>
      </c>
      <c r="N1375">
        <v>45440</v>
      </c>
      <c r="O1375">
        <v>5</v>
      </c>
      <c r="P1375" t="s">
        <v>46</v>
      </c>
      <c r="Q1375">
        <v>2024</v>
      </c>
    </row>
    <row r="1376" spans="1:17" x14ac:dyDescent="0.3">
      <c r="A1376" t="s">
        <v>21</v>
      </c>
      <c r="B1376" t="s">
        <v>17</v>
      </c>
      <c r="C1376" t="s">
        <v>28</v>
      </c>
      <c r="D1376" t="s">
        <v>71</v>
      </c>
      <c r="E1376" t="s">
        <v>34</v>
      </c>
      <c r="F1376">
        <v>810</v>
      </c>
      <c r="G1376">
        <v>17</v>
      </c>
      <c r="H1376">
        <v>25</v>
      </c>
      <c r="I1376">
        <v>20250</v>
      </c>
      <c r="J1376">
        <v>1012.5</v>
      </c>
      <c r="K1376">
        <v>19237.5</v>
      </c>
      <c r="L1376">
        <v>13770</v>
      </c>
      <c r="M1376">
        <v>5467.5</v>
      </c>
      <c r="N1376">
        <v>45228</v>
      </c>
      <c r="O1376">
        <v>10</v>
      </c>
      <c r="P1376" t="s">
        <v>55</v>
      </c>
      <c r="Q1376">
        <v>2023</v>
      </c>
    </row>
    <row r="1377" spans="1:17" x14ac:dyDescent="0.3">
      <c r="A1377" t="s">
        <v>16</v>
      </c>
      <c r="B1377" t="s">
        <v>36</v>
      </c>
      <c r="C1377" t="s">
        <v>28</v>
      </c>
      <c r="D1377" t="s">
        <v>69</v>
      </c>
      <c r="E1377" t="s">
        <v>34</v>
      </c>
      <c r="F1377">
        <v>770</v>
      </c>
      <c r="G1377">
        <v>20</v>
      </c>
      <c r="H1377">
        <v>25</v>
      </c>
      <c r="I1377">
        <v>19250</v>
      </c>
      <c r="J1377">
        <v>962.5</v>
      </c>
      <c r="K1377">
        <v>18287.5</v>
      </c>
      <c r="L1377">
        <v>15400</v>
      </c>
      <c r="M1377">
        <v>2887.5</v>
      </c>
      <c r="N1377">
        <v>45752</v>
      </c>
      <c r="O1377">
        <v>4</v>
      </c>
      <c r="P1377" t="s">
        <v>75</v>
      </c>
      <c r="Q1377">
        <v>2025</v>
      </c>
    </row>
    <row r="1378" spans="1:17" x14ac:dyDescent="0.3">
      <c r="A1378" t="s">
        <v>26</v>
      </c>
      <c r="B1378" t="s">
        <v>20</v>
      </c>
      <c r="C1378" t="s">
        <v>28</v>
      </c>
      <c r="D1378" t="s">
        <v>129</v>
      </c>
      <c r="E1378" t="s">
        <v>34</v>
      </c>
      <c r="F1378">
        <v>562</v>
      </c>
      <c r="G1378">
        <v>12</v>
      </c>
      <c r="H1378">
        <v>31</v>
      </c>
      <c r="I1378">
        <v>17422</v>
      </c>
      <c r="J1378">
        <v>871.1</v>
      </c>
      <c r="K1378">
        <v>16550.900000000001</v>
      </c>
      <c r="L1378">
        <v>6744</v>
      </c>
      <c r="M1378">
        <v>9806.9000000000015</v>
      </c>
      <c r="N1378">
        <v>45644</v>
      </c>
      <c r="O1378">
        <v>12</v>
      </c>
      <c r="P1378" t="s">
        <v>77</v>
      </c>
      <c r="Q1378">
        <v>2024</v>
      </c>
    </row>
    <row r="1379" spans="1:17" x14ac:dyDescent="0.3">
      <c r="A1379" t="s">
        <v>21</v>
      </c>
      <c r="B1379" t="s">
        <v>20</v>
      </c>
      <c r="C1379" t="s">
        <v>28</v>
      </c>
      <c r="D1379" t="s">
        <v>111</v>
      </c>
      <c r="E1379" t="s">
        <v>34</v>
      </c>
      <c r="F1379">
        <v>692</v>
      </c>
      <c r="G1379">
        <v>16</v>
      </c>
      <c r="H1379">
        <v>27</v>
      </c>
      <c r="I1379">
        <v>18684</v>
      </c>
      <c r="J1379">
        <v>934.2</v>
      </c>
      <c r="K1379">
        <v>17749.8</v>
      </c>
      <c r="L1379">
        <v>11072</v>
      </c>
      <c r="M1379">
        <v>6677.7999999999993</v>
      </c>
      <c r="N1379">
        <v>45488</v>
      </c>
      <c r="O1379">
        <v>7</v>
      </c>
      <c r="P1379" t="s">
        <v>48</v>
      </c>
      <c r="Q1379">
        <v>2024</v>
      </c>
    </row>
    <row r="1380" spans="1:17" x14ac:dyDescent="0.3">
      <c r="A1380" t="s">
        <v>16</v>
      </c>
      <c r="B1380" t="s">
        <v>36</v>
      </c>
      <c r="C1380" t="s">
        <v>28</v>
      </c>
      <c r="D1380" t="s">
        <v>69</v>
      </c>
      <c r="E1380" t="s">
        <v>34</v>
      </c>
      <c r="F1380">
        <v>236</v>
      </c>
      <c r="G1380">
        <v>20</v>
      </c>
      <c r="H1380">
        <v>25</v>
      </c>
      <c r="I1380">
        <v>5900</v>
      </c>
      <c r="J1380">
        <v>295</v>
      </c>
      <c r="K1380">
        <v>5605</v>
      </c>
      <c r="L1380">
        <v>4720</v>
      </c>
      <c r="M1380">
        <v>885</v>
      </c>
      <c r="N1380">
        <v>45661</v>
      </c>
      <c r="O1380">
        <v>1</v>
      </c>
      <c r="P1380" t="s">
        <v>58</v>
      </c>
      <c r="Q1380">
        <v>2025</v>
      </c>
    </row>
    <row r="1381" spans="1:17" x14ac:dyDescent="0.3">
      <c r="A1381" t="s">
        <v>16</v>
      </c>
      <c r="B1381" t="s">
        <v>23</v>
      </c>
      <c r="C1381" t="s">
        <v>28</v>
      </c>
      <c r="D1381" t="s">
        <v>66</v>
      </c>
      <c r="E1381" t="s">
        <v>34</v>
      </c>
      <c r="F1381">
        <v>517</v>
      </c>
      <c r="G1381">
        <v>11</v>
      </c>
      <c r="H1381">
        <v>21</v>
      </c>
      <c r="I1381">
        <v>10857</v>
      </c>
      <c r="J1381">
        <v>542.85</v>
      </c>
      <c r="K1381">
        <v>10314.15</v>
      </c>
      <c r="L1381">
        <v>5687</v>
      </c>
      <c r="M1381">
        <v>4627.1499999999996</v>
      </c>
      <c r="N1381">
        <v>45169</v>
      </c>
      <c r="O1381">
        <v>8</v>
      </c>
      <c r="P1381" t="s">
        <v>62</v>
      </c>
      <c r="Q1381">
        <v>2023</v>
      </c>
    </row>
    <row r="1382" spans="1:17" x14ac:dyDescent="0.3">
      <c r="A1382" t="s">
        <v>25</v>
      </c>
      <c r="B1382" t="s">
        <v>36</v>
      </c>
      <c r="C1382" t="s">
        <v>28</v>
      </c>
      <c r="D1382" t="s">
        <v>70</v>
      </c>
      <c r="E1382" t="s">
        <v>34</v>
      </c>
      <c r="F1382">
        <v>706</v>
      </c>
      <c r="G1382">
        <v>15</v>
      </c>
      <c r="H1382">
        <v>16</v>
      </c>
      <c r="I1382">
        <v>11296</v>
      </c>
      <c r="J1382">
        <v>564.80000000000007</v>
      </c>
      <c r="K1382">
        <v>10731.2</v>
      </c>
      <c r="L1382">
        <v>10590</v>
      </c>
      <c r="M1382">
        <v>141.20000000000073</v>
      </c>
      <c r="N1382">
        <v>45081</v>
      </c>
      <c r="O1382">
        <v>6</v>
      </c>
      <c r="P1382" t="s">
        <v>45</v>
      </c>
      <c r="Q1382">
        <v>2023</v>
      </c>
    </row>
    <row r="1383" spans="1:17" x14ac:dyDescent="0.3">
      <c r="A1383" t="s">
        <v>16</v>
      </c>
      <c r="B1383" t="s">
        <v>22</v>
      </c>
      <c r="C1383" t="s">
        <v>28</v>
      </c>
      <c r="D1383" t="s">
        <v>93</v>
      </c>
      <c r="E1383" t="s">
        <v>34</v>
      </c>
      <c r="F1383">
        <v>884</v>
      </c>
      <c r="G1383">
        <v>12</v>
      </c>
      <c r="H1383">
        <v>27</v>
      </c>
      <c r="I1383">
        <v>23868</v>
      </c>
      <c r="J1383">
        <v>1193.4000000000001</v>
      </c>
      <c r="K1383">
        <v>22674.6</v>
      </c>
      <c r="L1383">
        <v>10608</v>
      </c>
      <c r="M1383">
        <v>12066.599999999999</v>
      </c>
      <c r="N1383">
        <v>45354</v>
      </c>
      <c r="O1383">
        <v>3</v>
      </c>
      <c r="P1383" t="s">
        <v>38</v>
      </c>
      <c r="Q1383">
        <v>2024</v>
      </c>
    </row>
    <row r="1384" spans="1:17" x14ac:dyDescent="0.3">
      <c r="A1384" t="s">
        <v>25</v>
      </c>
      <c r="B1384" t="s">
        <v>23</v>
      </c>
      <c r="C1384" t="s">
        <v>29</v>
      </c>
      <c r="D1384" t="s">
        <v>138</v>
      </c>
      <c r="E1384" t="s">
        <v>34</v>
      </c>
      <c r="F1384">
        <v>234</v>
      </c>
      <c r="G1384">
        <v>16</v>
      </c>
      <c r="H1384">
        <v>31</v>
      </c>
      <c r="I1384">
        <v>7254</v>
      </c>
      <c r="J1384">
        <v>362.70000000000005</v>
      </c>
      <c r="K1384">
        <v>6891.3</v>
      </c>
      <c r="L1384">
        <v>3744</v>
      </c>
      <c r="M1384">
        <v>3147.3</v>
      </c>
      <c r="N1384">
        <v>45499</v>
      </c>
      <c r="O1384">
        <v>7</v>
      </c>
      <c r="P1384" t="s">
        <v>48</v>
      </c>
      <c r="Q1384">
        <v>2024</v>
      </c>
    </row>
    <row r="1385" spans="1:17" x14ac:dyDescent="0.3">
      <c r="A1385" t="s">
        <v>21</v>
      </c>
      <c r="B1385" t="s">
        <v>22</v>
      </c>
      <c r="C1385" t="s">
        <v>29</v>
      </c>
      <c r="D1385" t="s">
        <v>198</v>
      </c>
      <c r="E1385" t="s">
        <v>34</v>
      </c>
      <c r="F1385">
        <v>142</v>
      </c>
      <c r="G1385">
        <v>12</v>
      </c>
      <c r="H1385">
        <v>18</v>
      </c>
      <c r="I1385">
        <v>2556</v>
      </c>
      <c r="J1385">
        <v>127.80000000000001</v>
      </c>
      <c r="K1385">
        <v>2428.1999999999998</v>
      </c>
      <c r="L1385">
        <v>1704</v>
      </c>
      <c r="M1385">
        <v>724.19999999999982</v>
      </c>
      <c r="N1385">
        <v>45525</v>
      </c>
      <c r="O1385">
        <v>8</v>
      </c>
      <c r="P1385" t="s">
        <v>62</v>
      </c>
      <c r="Q1385">
        <v>2024</v>
      </c>
    </row>
    <row r="1386" spans="1:17" x14ac:dyDescent="0.3">
      <c r="A1386" t="s">
        <v>26</v>
      </c>
      <c r="B1386" t="s">
        <v>22</v>
      </c>
      <c r="C1386" t="s">
        <v>29</v>
      </c>
      <c r="D1386" t="s">
        <v>73</v>
      </c>
      <c r="E1386" t="s">
        <v>34</v>
      </c>
      <c r="F1386">
        <v>327</v>
      </c>
      <c r="G1386">
        <v>16</v>
      </c>
      <c r="H1386">
        <v>20</v>
      </c>
      <c r="I1386">
        <v>6540</v>
      </c>
      <c r="J1386">
        <v>327</v>
      </c>
      <c r="K1386">
        <v>6213</v>
      </c>
      <c r="L1386">
        <v>5232</v>
      </c>
      <c r="M1386">
        <v>981</v>
      </c>
      <c r="N1386">
        <v>45282</v>
      </c>
      <c r="O1386">
        <v>12</v>
      </c>
      <c r="P1386" t="s">
        <v>77</v>
      </c>
      <c r="Q1386">
        <v>2023</v>
      </c>
    </row>
    <row r="1387" spans="1:17" x14ac:dyDescent="0.3">
      <c r="A1387" t="s">
        <v>27</v>
      </c>
      <c r="B1387" t="s">
        <v>36</v>
      </c>
      <c r="C1387" t="s">
        <v>29</v>
      </c>
      <c r="D1387" t="s">
        <v>179</v>
      </c>
      <c r="E1387" t="s">
        <v>34</v>
      </c>
      <c r="F1387">
        <v>854</v>
      </c>
      <c r="G1387">
        <v>20</v>
      </c>
      <c r="H1387">
        <v>33</v>
      </c>
      <c r="I1387">
        <v>28182</v>
      </c>
      <c r="J1387">
        <v>1409.1000000000001</v>
      </c>
      <c r="K1387">
        <v>26772.9</v>
      </c>
      <c r="L1387">
        <v>17080</v>
      </c>
      <c r="M1387">
        <v>9692.9000000000015</v>
      </c>
      <c r="N1387">
        <v>45292</v>
      </c>
      <c r="O1387">
        <v>1</v>
      </c>
      <c r="P1387" t="s">
        <v>58</v>
      </c>
      <c r="Q1387">
        <v>2024</v>
      </c>
    </row>
    <row r="1388" spans="1:17" x14ac:dyDescent="0.3">
      <c r="A1388" t="s">
        <v>26</v>
      </c>
      <c r="B1388" t="s">
        <v>36</v>
      </c>
      <c r="C1388" t="s">
        <v>29</v>
      </c>
      <c r="D1388" t="s">
        <v>78</v>
      </c>
      <c r="E1388" t="s">
        <v>34</v>
      </c>
      <c r="F1388">
        <v>406</v>
      </c>
      <c r="G1388">
        <v>12</v>
      </c>
      <c r="H1388">
        <v>36</v>
      </c>
      <c r="I1388">
        <v>14616</v>
      </c>
      <c r="J1388">
        <v>730.80000000000007</v>
      </c>
      <c r="K1388">
        <v>13885.2</v>
      </c>
      <c r="L1388">
        <v>4872</v>
      </c>
      <c r="M1388">
        <v>9013.2000000000007</v>
      </c>
      <c r="N1388">
        <v>45540</v>
      </c>
      <c r="O1388">
        <v>9</v>
      </c>
      <c r="P1388" t="s">
        <v>40</v>
      </c>
      <c r="Q1388">
        <v>2024</v>
      </c>
    </row>
    <row r="1389" spans="1:17" x14ac:dyDescent="0.3">
      <c r="A1389" t="s">
        <v>25</v>
      </c>
      <c r="B1389" t="s">
        <v>36</v>
      </c>
      <c r="C1389" t="s">
        <v>29</v>
      </c>
      <c r="D1389" t="s">
        <v>154</v>
      </c>
      <c r="E1389" t="s">
        <v>34</v>
      </c>
      <c r="F1389">
        <v>512</v>
      </c>
      <c r="G1389">
        <v>19</v>
      </c>
      <c r="H1389">
        <v>28</v>
      </c>
      <c r="I1389">
        <v>14336</v>
      </c>
      <c r="J1389">
        <v>716.80000000000007</v>
      </c>
      <c r="K1389">
        <v>13619.2</v>
      </c>
      <c r="L1389">
        <v>9728</v>
      </c>
      <c r="M1389">
        <v>3891.2000000000007</v>
      </c>
      <c r="N1389">
        <v>45465</v>
      </c>
      <c r="O1389">
        <v>6</v>
      </c>
      <c r="P1389" t="s">
        <v>45</v>
      </c>
      <c r="Q1389">
        <v>2024</v>
      </c>
    </row>
    <row r="1390" spans="1:17" x14ac:dyDescent="0.3">
      <c r="A1390" t="s">
        <v>16</v>
      </c>
      <c r="B1390" t="s">
        <v>17</v>
      </c>
      <c r="C1390" t="s">
        <v>30</v>
      </c>
      <c r="D1390" t="s">
        <v>86</v>
      </c>
      <c r="E1390" t="s">
        <v>34</v>
      </c>
      <c r="F1390">
        <v>922</v>
      </c>
      <c r="G1390">
        <v>15</v>
      </c>
      <c r="H1390">
        <v>36</v>
      </c>
      <c r="I1390">
        <v>33192</v>
      </c>
      <c r="J1390">
        <v>1659.6000000000001</v>
      </c>
      <c r="K1390">
        <v>31532.400000000001</v>
      </c>
      <c r="L1390">
        <v>13830</v>
      </c>
      <c r="M1390">
        <v>17702.400000000001</v>
      </c>
      <c r="N1390">
        <v>45448</v>
      </c>
      <c r="O1390">
        <v>6</v>
      </c>
      <c r="P1390" t="s">
        <v>45</v>
      </c>
      <c r="Q1390">
        <v>2024</v>
      </c>
    </row>
    <row r="1391" spans="1:17" x14ac:dyDescent="0.3">
      <c r="A1391" t="s">
        <v>21</v>
      </c>
      <c r="B1391" t="s">
        <v>20</v>
      </c>
      <c r="C1391" t="s">
        <v>30</v>
      </c>
      <c r="D1391" t="s">
        <v>83</v>
      </c>
      <c r="E1391" t="s">
        <v>34</v>
      </c>
      <c r="F1391">
        <v>722</v>
      </c>
      <c r="G1391">
        <v>14</v>
      </c>
      <c r="H1391">
        <v>31</v>
      </c>
      <c r="I1391">
        <v>22382</v>
      </c>
      <c r="J1391">
        <v>1119.1000000000001</v>
      </c>
      <c r="K1391">
        <v>21262.9</v>
      </c>
      <c r="L1391">
        <v>10108</v>
      </c>
      <c r="M1391">
        <v>11154.900000000001</v>
      </c>
      <c r="N1391">
        <v>45300</v>
      </c>
      <c r="O1391">
        <v>1</v>
      </c>
      <c r="P1391" t="s">
        <v>58</v>
      </c>
      <c r="Q1391">
        <v>2024</v>
      </c>
    </row>
    <row r="1392" spans="1:17" x14ac:dyDescent="0.3">
      <c r="A1392" t="s">
        <v>16</v>
      </c>
      <c r="B1392" t="s">
        <v>36</v>
      </c>
      <c r="C1392" t="s">
        <v>30</v>
      </c>
      <c r="D1392" t="s">
        <v>141</v>
      </c>
      <c r="E1392" t="s">
        <v>34</v>
      </c>
      <c r="F1392">
        <v>714</v>
      </c>
      <c r="G1392">
        <v>13</v>
      </c>
      <c r="H1392">
        <v>25</v>
      </c>
      <c r="I1392">
        <v>17850</v>
      </c>
      <c r="J1392">
        <v>892.5</v>
      </c>
      <c r="K1392">
        <v>16957.5</v>
      </c>
      <c r="L1392">
        <v>9282</v>
      </c>
      <c r="M1392">
        <v>7675.5</v>
      </c>
      <c r="N1392">
        <v>45460</v>
      </c>
      <c r="O1392">
        <v>6</v>
      </c>
      <c r="P1392" t="s">
        <v>45</v>
      </c>
      <c r="Q1392">
        <v>2024</v>
      </c>
    </row>
    <row r="1393" spans="1:17" x14ac:dyDescent="0.3">
      <c r="A1393" t="s">
        <v>21</v>
      </c>
      <c r="B1393" t="s">
        <v>20</v>
      </c>
      <c r="C1393" t="s">
        <v>30</v>
      </c>
      <c r="D1393" t="s">
        <v>83</v>
      </c>
      <c r="E1393" t="s">
        <v>34</v>
      </c>
      <c r="F1393">
        <v>197</v>
      </c>
      <c r="G1393">
        <v>14</v>
      </c>
      <c r="H1393">
        <v>31</v>
      </c>
      <c r="I1393">
        <v>6107</v>
      </c>
      <c r="J1393">
        <v>305.35000000000002</v>
      </c>
      <c r="K1393">
        <v>5801.65</v>
      </c>
      <c r="L1393">
        <v>2758</v>
      </c>
      <c r="M1393">
        <v>3043.6499999999996</v>
      </c>
      <c r="N1393">
        <v>45437</v>
      </c>
      <c r="O1393">
        <v>5</v>
      </c>
      <c r="P1393" t="s">
        <v>46</v>
      </c>
      <c r="Q1393">
        <v>2024</v>
      </c>
    </row>
    <row r="1394" spans="1:17" x14ac:dyDescent="0.3">
      <c r="A1394" t="s">
        <v>26</v>
      </c>
      <c r="B1394" t="s">
        <v>17</v>
      </c>
      <c r="C1394" t="s">
        <v>30</v>
      </c>
      <c r="D1394" t="s">
        <v>140</v>
      </c>
      <c r="E1394" t="s">
        <v>34</v>
      </c>
      <c r="F1394">
        <v>43</v>
      </c>
      <c r="G1394">
        <v>16</v>
      </c>
      <c r="H1394">
        <v>36</v>
      </c>
      <c r="I1394">
        <v>1548</v>
      </c>
      <c r="J1394">
        <v>77.400000000000006</v>
      </c>
      <c r="K1394">
        <v>1470.6</v>
      </c>
      <c r="L1394">
        <v>688</v>
      </c>
      <c r="M1394">
        <v>782.59999999999991</v>
      </c>
      <c r="N1394">
        <v>45751</v>
      </c>
      <c r="O1394">
        <v>4</v>
      </c>
      <c r="P1394" t="s">
        <v>75</v>
      </c>
      <c r="Q1394">
        <v>2025</v>
      </c>
    </row>
    <row r="1395" spans="1:17" x14ac:dyDescent="0.3">
      <c r="A1395" t="s">
        <v>26</v>
      </c>
      <c r="B1395" t="s">
        <v>20</v>
      </c>
      <c r="C1395" t="s">
        <v>30</v>
      </c>
      <c r="D1395" t="s">
        <v>151</v>
      </c>
      <c r="E1395" t="s">
        <v>34</v>
      </c>
      <c r="F1395">
        <v>688</v>
      </c>
      <c r="G1395">
        <v>13</v>
      </c>
      <c r="H1395">
        <v>27</v>
      </c>
      <c r="I1395">
        <v>18576</v>
      </c>
      <c r="J1395">
        <v>928.80000000000007</v>
      </c>
      <c r="K1395">
        <v>17647.2</v>
      </c>
      <c r="L1395">
        <v>8944</v>
      </c>
      <c r="M1395">
        <v>8703.2000000000007</v>
      </c>
      <c r="N1395">
        <v>45181</v>
      </c>
      <c r="O1395">
        <v>9</v>
      </c>
      <c r="P1395" t="s">
        <v>40</v>
      </c>
      <c r="Q1395">
        <v>2023</v>
      </c>
    </row>
    <row r="1396" spans="1:17" x14ac:dyDescent="0.3">
      <c r="A1396" t="s">
        <v>16</v>
      </c>
      <c r="B1396" t="s">
        <v>22</v>
      </c>
      <c r="C1396" t="s">
        <v>30</v>
      </c>
      <c r="D1396" t="s">
        <v>84</v>
      </c>
      <c r="E1396" t="s">
        <v>34</v>
      </c>
      <c r="F1396">
        <v>961</v>
      </c>
      <c r="G1396">
        <v>20</v>
      </c>
      <c r="H1396">
        <v>23</v>
      </c>
      <c r="I1396">
        <v>22103</v>
      </c>
      <c r="J1396">
        <v>1105.1500000000001</v>
      </c>
      <c r="K1396">
        <v>20997.85</v>
      </c>
      <c r="L1396">
        <v>19220</v>
      </c>
      <c r="M1396">
        <v>1777.8499999999985</v>
      </c>
      <c r="N1396">
        <v>45353</v>
      </c>
      <c r="O1396">
        <v>3</v>
      </c>
      <c r="P1396" t="s">
        <v>38</v>
      </c>
      <c r="Q1396">
        <v>2024</v>
      </c>
    </row>
    <row r="1397" spans="1:17" x14ac:dyDescent="0.3">
      <c r="A1397" t="s">
        <v>27</v>
      </c>
      <c r="B1397" t="s">
        <v>22</v>
      </c>
      <c r="C1397" t="s">
        <v>31</v>
      </c>
      <c r="D1397" t="s">
        <v>196</v>
      </c>
      <c r="E1397" t="s">
        <v>34</v>
      </c>
      <c r="F1397">
        <v>761</v>
      </c>
      <c r="G1397">
        <v>20</v>
      </c>
      <c r="H1397">
        <v>22</v>
      </c>
      <c r="I1397">
        <v>16742</v>
      </c>
      <c r="J1397">
        <v>837.1</v>
      </c>
      <c r="K1397">
        <v>15904.9</v>
      </c>
      <c r="L1397">
        <v>15220</v>
      </c>
      <c r="M1397">
        <v>684.89999999999964</v>
      </c>
      <c r="N1397">
        <v>45294</v>
      </c>
      <c r="O1397">
        <v>1</v>
      </c>
      <c r="P1397" t="s">
        <v>58</v>
      </c>
      <c r="Q1397">
        <v>2024</v>
      </c>
    </row>
    <row r="1398" spans="1:17" x14ac:dyDescent="0.3">
      <c r="A1398" t="s">
        <v>27</v>
      </c>
      <c r="B1398" t="s">
        <v>23</v>
      </c>
      <c r="C1398" t="s">
        <v>31</v>
      </c>
      <c r="D1398" t="s">
        <v>143</v>
      </c>
      <c r="E1398" t="s">
        <v>34</v>
      </c>
      <c r="F1398">
        <v>11</v>
      </c>
      <c r="G1398">
        <v>13</v>
      </c>
      <c r="H1398">
        <v>16</v>
      </c>
      <c r="I1398">
        <v>176</v>
      </c>
      <c r="J1398">
        <v>1.76</v>
      </c>
      <c r="K1398">
        <v>174.24</v>
      </c>
      <c r="L1398">
        <v>143</v>
      </c>
      <c r="M1398">
        <v>31.240000000000009</v>
      </c>
      <c r="N1398">
        <v>45452</v>
      </c>
      <c r="O1398">
        <v>6</v>
      </c>
      <c r="P1398" t="s">
        <v>45</v>
      </c>
      <c r="Q1398">
        <v>2024</v>
      </c>
    </row>
    <row r="1399" spans="1:17" x14ac:dyDescent="0.3">
      <c r="A1399" t="s">
        <v>16</v>
      </c>
      <c r="B1399" t="s">
        <v>23</v>
      </c>
      <c r="C1399" t="s">
        <v>24</v>
      </c>
      <c r="D1399" t="s">
        <v>163</v>
      </c>
      <c r="E1399" t="s">
        <v>34</v>
      </c>
      <c r="F1399">
        <v>933</v>
      </c>
      <c r="G1399">
        <v>15</v>
      </c>
      <c r="H1399">
        <v>34</v>
      </c>
      <c r="I1399">
        <v>31722</v>
      </c>
      <c r="J1399">
        <v>1586.1000000000001</v>
      </c>
      <c r="K1399">
        <v>30135.9</v>
      </c>
      <c r="L1399">
        <v>13995</v>
      </c>
      <c r="M1399">
        <v>16140.900000000001</v>
      </c>
      <c r="N1399">
        <v>45075</v>
      </c>
      <c r="O1399">
        <v>5</v>
      </c>
      <c r="P1399" t="s">
        <v>46</v>
      </c>
      <c r="Q1399">
        <v>2023</v>
      </c>
    </row>
    <row r="1400" spans="1:17" x14ac:dyDescent="0.3">
      <c r="A1400" t="s">
        <v>16</v>
      </c>
      <c r="B1400" t="s">
        <v>17</v>
      </c>
      <c r="C1400" t="s">
        <v>28</v>
      </c>
      <c r="D1400" t="s">
        <v>60</v>
      </c>
      <c r="E1400" t="s">
        <v>34</v>
      </c>
      <c r="F1400">
        <v>232</v>
      </c>
      <c r="G1400">
        <v>17</v>
      </c>
      <c r="H1400">
        <v>38</v>
      </c>
      <c r="I1400">
        <v>8816</v>
      </c>
      <c r="J1400">
        <v>440.8</v>
      </c>
      <c r="K1400">
        <v>8375.2000000000007</v>
      </c>
      <c r="L1400">
        <v>3944</v>
      </c>
      <c r="M1400">
        <v>4431.2000000000007</v>
      </c>
      <c r="N1400">
        <v>45354</v>
      </c>
      <c r="O1400">
        <v>3</v>
      </c>
      <c r="P1400" t="s">
        <v>38</v>
      </c>
      <c r="Q1400">
        <v>2024</v>
      </c>
    </row>
    <row r="1401" spans="1:17" x14ac:dyDescent="0.3">
      <c r="A1401" t="s">
        <v>25</v>
      </c>
      <c r="B1401" t="s">
        <v>36</v>
      </c>
      <c r="C1401" t="s">
        <v>30</v>
      </c>
      <c r="D1401" t="s">
        <v>190</v>
      </c>
      <c r="E1401" t="s">
        <v>34</v>
      </c>
      <c r="F1401">
        <v>738</v>
      </c>
      <c r="G1401">
        <v>10</v>
      </c>
      <c r="H1401">
        <v>16</v>
      </c>
      <c r="I1401">
        <v>11808</v>
      </c>
      <c r="J1401">
        <v>590.4</v>
      </c>
      <c r="K1401">
        <v>11217.6</v>
      </c>
      <c r="L1401">
        <v>7380</v>
      </c>
      <c r="M1401">
        <v>3837.6000000000004</v>
      </c>
      <c r="N1401">
        <v>45080</v>
      </c>
      <c r="O1401">
        <v>6</v>
      </c>
      <c r="P1401" t="s">
        <v>45</v>
      </c>
      <c r="Q1401">
        <v>2023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DataSource</vt:lpstr>
      <vt:lpstr>Prices</vt:lpstr>
      <vt:lpstr>ToCSV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Kamil Soszka</cp:lastModifiedBy>
  <cp:revision/>
  <dcterms:created xsi:type="dcterms:W3CDTF">2014-01-28T02:45:41Z</dcterms:created>
  <dcterms:modified xsi:type="dcterms:W3CDTF">2025-04-12T13:51:25Z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